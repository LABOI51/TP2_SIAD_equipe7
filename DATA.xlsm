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nt\Documents\Uni\SessionHiver2022\SIAD\TP2_SIAD_equipe7\"/>
    </mc:Choice>
  </mc:AlternateContent>
  <xr:revisionPtr revIDLastSave="0" documentId="13_ncr:1_{4531F5DE-5920-446A-BF48-A670E5181FB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emps" sheetId="1" r:id="rId1"/>
    <sheet name="Operateurs" sheetId="2" r:id="rId2"/>
    <sheet name="Explications" sheetId="3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3" l="1"/>
  <c r="M3586" i="1"/>
  <c r="N3586" i="1"/>
  <c r="O3586" i="1"/>
  <c r="M3587" i="1"/>
  <c r="N3587" i="1"/>
  <c r="O3587" i="1"/>
  <c r="M3588" i="1"/>
  <c r="N3588" i="1"/>
  <c r="Q3588" i="1" s="1"/>
  <c r="O3588" i="1"/>
  <c r="M3589" i="1"/>
  <c r="N3589" i="1"/>
  <c r="O3589" i="1"/>
  <c r="M3590" i="1"/>
  <c r="N3590" i="1"/>
  <c r="O3590" i="1"/>
  <c r="M3591" i="1"/>
  <c r="R3591" i="1" s="1"/>
  <c r="N3591" i="1"/>
  <c r="O3591" i="1"/>
  <c r="M3592" i="1"/>
  <c r="N3592" i="1"/>
  <c r="O3592" i="1"/>
  <c r="M3593" i="1"/>
  <c r="N3593" i="1"/>
  <c r="O3593" i="1"/>
  <c r="M3594" i="1"/>
  <c r="N3594" i="1"/>
  <c r="O3594" i="1"/>
  <c r="M3595" i="1"/>
  <c r="N3595" i="1"/>
  <c r="O3595" i="1"/>
  <c r="M3596" i="1"/>
  <c r="N3596" i="1"/>
  <c r="Q3596" i="1" s="1"/>
  <c r="O3596" i="1"/>
  <c r="M3597" i="1"/>
  <c r="N3597" i="1"/>
  <c r="O3597" i="1"/>
  <c r="M3598" i="1"/>
  <c r="N3598" i="1"/>
  <c r="O3598" i="1"/>
  <c r="M3599" i="1"/>
  <c r="R3599" i="1" s="1"/>
  <c r="N3599" i="1"/>
  <c r="O3599" i="1"/>
  <c r="M3600" i="1"/>
  <c r="N3600" i="1"/>
  <c r="O3600" i="1"/>
  <c r="M3601" i="1"/>
  <c r="N3601" i="1"/>
  <c r="O3601" i="1"/>
  <c r="M3602" i="1"/>
  <c r="N3602" i="1"/>
  <c r="O3602" i="1"/>
  <c r="M3603" i="1"/>
  <c r="N3603" i="1"/>
  <c r="O3603" i="1"/>
  <c r="M3604" i="1"/>
  <c r="N3604" i="1"/>
  <c r="Q3604" i="1" s="1"/>
  <c r="O3604" i="1"/>
  <c r="M3605" i="1"/>
  <c r="N3605" i="1"/>
  <c r="O3605" i="1"/>
  <c r="M3606" i="1"/>
  <c r="N3606" i="1"/>
  <c r="O3606" i="1"/>
  <c r="M3607" i="1"/>
  <c r="R3607" i="1" s="1"/>
  <c r="N3607" i="1"/>
  <c r="O3607" i="1"/>
  <c r="M3608" i="1"/>
  <c r="N3608" i="1"/>
  <c r="O3608" i="1"/>
  <c r="M3609" i="1"/>
  <c r="N3609" i="1"/>
  <c r="O3609" i="1"/>
  <c r="M3610" i="1"/>
  <c r="N3610" i="1"/>
  <c r="O3610" i="1"/>
  <c r="M3611" i="1"/>
  <c r="N3611" i="1"/>
  <c r="O3611" i="1"/>
  <c r="M3612" i="1"/>
  <c r="N3612" i="1"/>
  <c r="Q3612" i="1" s="1"/>
  <c r="O3612" i="1"/>
  <c r="M3613" i="1"/>
  <c r="N3613" i="1"/>
  <c r="O3613" i="1"/>
  <c r="M3614" i="1"/>
  <c r="N3614" i="1"/>
  <c r="O3614" i="1"/>
  <c r="M3615" i="1"/>
  <c r="R3615" i="1" s="1"/>
  <c r="N3615" i="1"/>
  <c r="O3615" i="1"/>
  <c r="M3616" i="1"/>
  <c r="N3616" i="1"/>
  <c r="O3616" i="1"/>
  <c r="M3617" i="1"/>
  <c r="N3617" i="1"/>
  <c r="O3617" i="1"/>
  <c r="M3618" i="1"/>
  <c r="N3618" i="1"/>
  <c r="O3618" i="1"/>
  <c r="M3619" i="1"/>
  <c r="N3619" i="1"/>
  <c r="O3619" i="1"/>
  <c r="M3620" i="1"/>
  <c r="N3620" i="1"/>
  <c r="Q3620" i="1" s="1"/>
  <c r="O3620" i="1"/>
  <c r="M3621" i="1"/>
  <c r="N3621" i="1"/>
  <c r="O3621" i="1"/>
  <c r="M3622" i="1"/>
  <c r="N3622" i="1"/>
  <c r="O3622" i="1"/>
  <c r="M3623" i="1"/>
  <c r="R3623" i="1" s="1"/>
  <c r="N3623" i="1"/>
  <c r="O3623" i="1"/>
  <c r="M3624" i="1"/>
  <c r="N3624" i="1"/>
  <c r="O3624" i="1"/>
  <c r="M3625" i="1"/>
  <c r="N3625" i="1"/>
  <c r="O3625" i="1"/>
  <c r="M3626" i="1"/>
  <c r="N3626" i="1"/>
  <c r="O3626" i="1"/>
  <c r="M3627" i="1"/>
  <c r="N3627" i="1"/>
  <c r="O3627" i="1"/>
  <c r="M3628" i="1"/>
  <c r="N3628" i="1"/>
  <c r="Q3628" i="1" s="1"/>
  <c r="O3628" i="1"/>
  <c r="M3629" i="1"/>
  <c r="N3629" i="1"/>
  <c r="O3629" i="1"/>
  <c r="M3630" i="1"/>
  <c r="N3630" i="1"/>
  <c r="O3630" i="1"/>
  <c r="M3631" i="1"/>
  <c r="R3631" i="1" s="1"/>
  <c r="N3631" i="1"/>
  <c r="O3631" i="1"/>
  <c r="M3632" i="1"/>
  <c r="N3632" i="1"/>
  <c r="O3632" i="1"/>
  <c r="M3633" i="1"/>
  <c r="N3633" i="1"/>
  <c r="O3633" i="1"/>
  <c r="M3634" i="1"/>
  <c r="N3634" i="1"/>
  <c r="O3634" i="1"/>
  <c r="M3635" i="1"/>
  <c r="N3635" i="1"/>
  <c r="O3635" i="1"/>
  <c r="M3636" i="1"/>
  <c r="N3636" i="1"/>
  <c r="Q3636" i="1" s="1"/>
  <c r="O3636" i="1"/>
  <c r="M3637" i="1"/>
  <c r="N3637" i="1"/>
  <c r="O3637" i="1"/>
  <c r="M3638" i="1"/>
  <c r="N3638" i="1"/>
  <c r="O3638" i="1"/>
  <c r="M3639" i="1"/>
  <c r="R3639" i="1" s="1"/>
  <c r="N3639" i="1"/>
  <c r="O3639" i="1"/>
  <c r="M3640" i="1"/>
  <c r="N3640" i="1"/>
  <c r="O3640" i="1"/>
  <c r="M3641" i="1"/>
  <c r="N3641" i="1"/>
  <c r="O3641" i="1"/>
  <c r="M3642" i="1"/>
  <c r="N3642" i="1"/>
  <c r="O3642" i="1"/>
  <c r="M3643" i="1"/>
  <c r="N3643" i="1"/>
  <c r="O3643" i="1"/>
  <c r="M3644" i="1"/>
  <c r="N3644" i="1"/>
  <c r="Q3644" i="1" s="1"/>
  <c r="O3644" i="1"/>
  <c r="M3645" i="1"/>
  <c r="N3645" i="1"/>
  <c r="O3645" i="1"/>
  <c r="M3646" i="1"/>
  <c r="N3646" i="1"/>
  <c r="O3646" i="1"/>
  <c r="M3647" i="1"/>
  <c r="R3647" i="1" s="1"/>
  <c r="N3647" i="1"/>
  <c r="O3647" i="1"/>
  <c r="M3648" i="1"/>
  <c r="N3648" i="1"/>
  <c r="O3648" i="1"/>
  <c r="M3649" i="1"/>
  <c r="N3649" i="1"/>
  <c r="O3649" i="1"/>
  <c r="M3650" i="1"/>
  <c r="N3650" i="1"/>
  <c r="O3650" i="1"/>
  <c r="M3651" i="1"/>
  <c r="N3651" i="1"/>
  <c r="O3651" i="1"/>
  <c r="M3652" i="1"/>
  <c r="N3652" i="1"/>
  <c r="Q3652" i="1" s="1"/>
  <c r="O3652" i="1"/>
  <c r="M3653" i="1"/>
  <c r="N3653" i="1"/>
  <c r="O3653" i="1"/>
  <c r="M3654" i="1"/>
  <c r="N3654" i="1"/>
  <c r="O3654" i="1"/>
  <c r="M3655" i="1"/>
  <c r="R3655" i="1" s="1"/>
  <c r="N3655" i="1"/>
  <c r="O3655" i="1"/>
  <c r="M3656" i="1"/>
  <c r="N3656" i="1"/>
  <c r="O3656" i="1"/>
  <c r="M3573" i="1"/>
  <c r="N3573" i="1"/>
  <c r="O3573" i="1"/>
  <c r="M3574" i="1"/>
  <c r="N3574" i="1"/>
  <c r="O3574" i="1"/>
  <c r="M3575" i="1"/>
  <c r="N3575" i="1"/>
  <c r="O3575" i="1"/>
  <c r="M3576" i="1"/>
  <c r="N3576" i="1"/>
  <c r="O3576" i="1"/>
  <c r="M3577" i="1"/>
  <c r="N3577" i="1"/>
  <c r="O3577" i="1"/>
  <c r="M3578" i="1"/>
  <c r="N3578" i="1"/>
  <c r="O3578" i="1"/>
  <c r="M3579" i="1"/>
  <c r="N3579" i="1"/>
  <c r="O3579" i="1"/>
  <c r="M3580" i="1"/>
  <c r="N3580" i="1"/>
  <c r="O3580" i="1"/>
  <c r="M3581" i="1"/>
  <c r="N3581" i="1"/>
  <c r="O3581" i="1"/>
  <c r="M3582" i="1"/>
  <c r="N3582" i="1"/>
  <c r="O3582" i="1"/>
  <c r="M3583" i="1"/>
  <c r="N3583" i="1"/>
  <c r="Q3583" i="1" s="1"/>
  <c r="O3583" i="1"/>
  <c r="M3584" i="1"/>
  <c r="N3584" i="1"/>
  <c r="O3584" i="1"/>
  <c r="M3585" i="1"/>
  <c r="N3585" i="1"/>
  <c r="O3585" i="1"/>
  <c r="M3" i="1"/>
  <c r="N3" i="1"/>
  <c r="O3" i="1"/>
  <c r="P3" i="1" s="1"/>
  <c r="M4" i="1"/>
  <c r="N4" i="1"/>
  <c r="O4" i="1"/>
  <c r="P4" i="1" s="1"/>
  <c r="M5" i="1"/>
  <c r="N5" i="1"/>
  <c r="O5" i="1"/>
  <c r="P5" i="1" s="1"/>
  <c r="M6" i="1"/>
  <c r="N6" i="1"/>
  <c r="O6" i="1"/>
  <c r="P6" i="1" s="1"/>
  <c r="M7" i="1"/>
  <c r="N7" i="1"/>
  <c r="O7" i="1"/>
  <c r="P7" i="1" s="1"/>
  <c r="M8" i="1"/>
  <c r="N8" i="1"/>
  <c r="O8" i="1"/>
  <c r="P8" i="1" s="1"/>
  <c r="M9" i="1"/>
  <c r="N9" i="1"/>
  <c r="O9" i="1"/>
  <c r="P9" i="1" s="1"/>
  <c r="M10" i="1"/>
  <c r="N10" i="1"/>
  <c r="O10" i="1"/>
  <c r="P10" i="1" s="1"/>
  <c r="M11" i="1"/>
  <c r="N11" i="1"/>
  <c r="O11" i="1"/>
  <c r="P11" i="1" s="1"/>
  <c r="M12" i="1"/>
  <c r="N12" i="1"/>
  <c r="O12" i="1"/>
  <c r="P12" i="1" s="1"/>
  <c r="M13" i="1"/>
  <c r="N13" i="1"/>
  <c r="O13" i="1"/>
  <c r="P13" i="1" s="1"/>
  <c r="M14" i="1"/>
  <c r="N14" i="1"/>
  <c r="O14" i="1"/>
  <c r="P14" i="1" s="1"/>
  <c r="M15" i="1"/>
  <c r="N15" i="1"/>
  <c r="O15" i="1"/>
  <c r="P15" i="1" s="1"/>
  <c r="M16" i="1"/>
  <c r="N16" i="1"/>
  <c r="O16" i="1"/>
  <c r="P16" i="1" s="1"/>
  <c r="M17" i="1"/>
  <c r="N17" i="1"/>
  <c r="O17" i="1"/>
  <c r="P17" i="1" s="1"/>
  <c r="M18" i="1"/>
  <c r="N18" i="1"/>
  <c r="O18" i="1"/>
  <c r="P18" i="1" s="1"/>
  <c r="M19" i="1"/>
  <c r="N19" i="1"/>
  <c r="O19" i="1"/>
  <c r="P19" i="1" s="1"/>
  <c r="M20" i="1"/>
  <c r="N20" i="1"/>
  <c r="O20" i="1"/>
  <c r="P20" i="1" s="1"/>
  <c r="M21" i="1"/>
  <c r="N21" i="1"/>
  <c r="O21" i="1"/>
  <c r="P21" i="1" s="1"/>
  <c r="M22" i="1"/>
  <c r="N22" i="1"/>
  <c r="O22" i="1"/>
  <c r="P22" i="1" s="1"/>
  <c r="M23" i="1"/>
  <c r="N23" i="1"/>
  <c r="O23" i="1"/>
  <c r="P23" i="1" s="1"/>
  <c r="M24" i="1"/>
  <c r="N24" i="1"/>
  <c r="O24" i="1"/>
  <c r="P24" i="1" s="1"/>
  <c r="M25" i="1"/>
  <c r="N25" i="1"/>
  <c r="O25" i="1"/>
  <c r="P25" i="1" s="1"/>
  <c r="M26" i="1"/>
  <c r="N26" i="1"/>
  <c r="O26" i="1"/>
  <c r="P26" i="1" s="1"/>
  <c r="M27" i="1"/>
  <c r="N27" i="1"/>
  <c r="O27" i="1"/>
  <c r="P27" i="1" s="1"/>
  <c r="M28" i="1"/>
  <c r="N28" i="1"/>
  <c r="O28" i="1"/>
  <c r="P28" i="1" s="1"/>
  <c r="M29" i="1"/>
  <c r="N29" i="1"/>
  <c r="O29" i="1"/>
  <c r="P29" i="1" s="1"/>
  <c r="M30" i="1"/>
  <c r="N30" i="1"/>
  <c r="O30" i="1"/>
  <c r="P30" i="1" s="1"/>
  <c r="M31" i="1"/>
  <c r="N31" i="1"/>
  <c r="O31" i="1"/>
  <c r="P31" i="1" s="1"/>
  <c r="M32" i="1"/>
  <c r="N32" i="1"/>
  <c r="O32" i="1"/>
  <c r="P32" i="1" s="1"/>
  <c r="M33" i="1"/>
  <c r="N33" i="1"/>
  <c r="O33" i="1"/>
  <c r="P33" i="1" s="1"/>
  <c r="M34" i="1"/>
  <c r="N34" i="1"/>
  <c r="O34" i="1"/>
  <c r="P34" i="1" s="1"/>
  <c r="M35" i="1"/>
  <c r="N35" i="1"/>
  <c r="O35" i="1"/>
  <c r="P35" i="1" s="1"/>
  <c r="M36" i="1"/>
  <c r="N36" i="1"/>
  <c r="O36" i="1"/>
  <c r="P36" i="1" s="1"/>
  <c r="M37" i="1"/>
  <c r="N37" i="1"/>
  <c r="O37" i="1"/>
  <c r="P37" i="1" s="1"/>
  <c r="M38" i="1"/>
  <c r="N38" i="1"/>
  <c r="O38" i="1"/>
  <c r="P38" i="1" s="1"/>
  <c r="M39" i="1"/>
  <c r="N39" i="1"/>
  <c r="O39" i="1"/>
  <c r="P39" i="1" s="1"/>
  <c r="M40" i="1"/>
  <c r="N40" i="1"/>
  <c r="O40" i="1"/>
  <c r="P40" i="1" s="1"/>
  <c r="M41" i="1"/>
  <c r="N41" i="1"/>
  <c r="O41" i="1"/>
  <c r="P41" i="1" s="1"/>
  <c r="M42" i="1"/>
  <c r="N42" i="1"/>
  <c r="O42" i="1"/>
  <c r="P42" i="1" s="1"/>
  <c r="M43" i="1"/>
  <c r="N43" i="1"/>
  <c r="O43" i="1"/>
  <c r="P43" i="1" s="1"/>
  <c r="M44" i="1"/>
  <c r="N44" i="1"/>
  <c r="O44" i="1"/>
  <c r="P44" i="1" s="1"/>
  <c r="M45" i="1"/>
  <c r="N45" i="1"/>
  <c r="O45" i="1"/>
  <c r="P45" i="1" s="1"/>
  <c r="M46" i="1"/>
  <c r="N46" i="1"/>
  <c r="O46" i="1"/>
  <c r="P46" i="1" s="1"/>
  <c r="M47" i="1"/>
  <c r="N47" i="1"/>
  <c r="O47" i="1"/>
  <c r="P47" i="1" s="1"/>
  <c r="M48" i="1"/>
  <c r="N48" i="1"/>
  <c r="O48" i="1"/>
  <c r="P48" i="1" s="1"/>
  <c r="M49" i="1"/>
  <c r="N49" i="1"/>
  <c r="O49" i="1"/>
  <c r="P49" i="1" s="1"/>
  <c r="M50" i="1"/>
  <c r="N50" i="1"/>
  <c r="O50" i="1"/>
  <c r="P50" i="1" s="1"/>
  <c r="M51" i="1"/>
  <c r="N51" i="1"/>
  <c r="O51" i="1"/>
  <c r="P51" i="1" s="1"/>
  <c r="M52" i="1"/>
  <c r="N52" i="1"/>
  <c r="O52" i="1"/>
  <c r="P52" i="1" s="1"/>
  <c r="M53" i="1"/>
  <c r="N53" i="1"/>
  <c r="O53" i="1"/>
  <c r="P53" i="1" s="1"/>
  <c r="M54" i="1"/>
  <c r="N54" i="1"/>
  <c r="O54" i="1"/>
  <c r="P54" i="1" s="1"/>
  <c r="M55" i="1"/>
  <c r="N55" i="1"/>
  <c r="O55" i="1"/>
  <c r="P55" i="1" s="1"/>
  <c r="M56" i="1"/>
  <c r="N56" i="1"/>
  <c r="O56" i="1"/>
  <c r="P56" i="1" s="1"/>
  <c r="M57" i="1"/>
  <c r="N57" i="1"/>
  <c r="O57" i="1"/>
  <c r="P57" i="1" s="1"/>
  <c r="M58" i="1"/>
  <c r="N58" i="1"/>
  <c r="O58" i="1"/>
  <c r="P58" i="1" s="1"/>
  <c r="M59" i="1"/>
  <c r="N59" i="1"/>
  <c r="O59" i="1"/>
  <c r="P59" i="1" s="1"/>
  <c r="M60" i="1"/>
  <c r="N60" i="1"/>
  <c r="O60" i="1"/>
  <c r="P60" i="1" s="1"/>
  <c r="M61" i="1"/>
  <c r="N61" i="1"/>
  <c r="O61" i="1"/>
  <c r="P61" i="1" s="1"/>
  <c r="M62" i="1"/>
  <c r="N62" i="1"/>
  <c r="O62" i="1"/>
  <c r="P62" i="1" s="1"/>
  <c r="M63" i="1"/>
  <c r="N63" i="1"/>
  <c r="O63" i="1"/>
  <c r="P63" i="1" s="1"/>
  <c r="M64" i="1"/>
  <c r="N64" i="1"/>
  <c r="O64" i="1"/>
  <c r="P64" i="1" s="1"/>
  <c r="M65" i="1"/>
  <c r="N65" i="1"/>
  <c r="O65" i="1"/>
  <c r="P65" i="1" s="1"/>
  <c r="M66" i="1"/>
  <c r="N66" i="1"/>
  <c r="O66" i="1"/>
  <c r="P66" i="1" s="1"/>
  <c r="M67" i="1"/>
  <c r="N67" i="1"/>
  <c r="O67" i="1"/>
  <c r="P67" i="1" s="1"/>
  <c r="M68" i="1"/>
  <c r="N68" i="1"/>
  <c r="O68" i="1"/>
  <c r="P68" i="1" s="1"/>
  <c r="M69" i="1"/>
  <c r="N69" i="1"/>
  <c r="O69" i="1"/>
  <c r="P69" i="1" s="1"/>
  <c r="M70" i="1"/>
  <c r="N70" i="1"/>
  <c r="O70" i="1"/>
  <c r="P70" i="1" s="1"/>
  <c r="M71" i="1"/>
  <c r="N71" i="1"/>
  <c r="O71" i="1"/>
  <c r="P71" i="1" s="1"/>
  <c r="M72" i="1"/>
  <c r="N72" i="1"/>
  <c r="O72" i="1"/>
  <c r="P72" i="1" s="1"/>
  <c r="M73" i="1"/>
  <c r="N73" i="1"/>
  <c r="O73" i="1"/>
  <c r="P73" i="1" s="1"/>
  <c r="M74" i="1"/>
  <c r="N74" i="1"/>
  <c r="O74" i="1"/>
  <c r="P74" i="1" s="1"/>
  <c r="M75" i="1"/>
  <c r="N75" i="1"/>
  <c r="O75" i="1"/>
  <c r="P75" i="1" s="1"/>
  <c r="M76" i="1"/>
  <c r="N76" i="1"/>
  <c r="O76" i="1"/>
  <c r="P76" i="1" s="1"/>
  <c r="M77" i="1"/>
  <c r="N77" i="1"/>
  <c r="O77" i="1"/>
  <c r="P77" i="1" s="1"/>
  <c r="M78" i="1"/>
  <c r="N78" i="1"/>
  <c r="O78" i="1"/>
  <c r="P78" i="1" s="1"/>
  <c r="M79" i="1"/>
  <c r="N79" i="1"/>
  <c r="O79" i="1"/>
  <c r="P79" i="1" s="1"/>
  <c r="M80" i="1"/>
  <c r="N80" i="1"/>
  <c r="O80" i="1"/>
  <c r="P80" i="1" s="1"/>
  <c r="M81" i="1"/>
  <c r="N81" i="1"/>
  <c r="O81" i="1"/>
  <c r="P81" i="1" s="1"/>
  <c r="M82" i="1"/>
  <c r="N82" i="1"/>
  <c r="O82" i="1"/>
  <c r="P82" i="1" s="1"/>
  <c r="M83" i="1"/>
  <c r="N83" i="1"/>
  <c r="O83" i="1"/>
  <c r="P83" i="1" s="1"/>
  <c r="M84" i="1"/>
  <c r="N84" i="1"/>
  <c r="O84" i="1"/>
  <c r="P84" i="1" s="1"/>
  <c r="M85" i="1"/>
  <c r="N85" i="1"/>
  <c r="O85" i="1"/>
  <c r="P85" i="1" s="1"/>
  <c r="M86" i="1"/>
  <c r="N86" i="1"/>
  <c r="O86" i="1"/>
  <c r="P86" i="1" s="1"/>
  <c r="M87" i="1"/>
  <c r="N87" i="1"/>
  <c r="O87" i="1"/>
  <c r="P87" i="1" s="1"/>
  <c r="M88" i="1"/>
  <c r="N88" i="1"/>
  <c r="O88" i="1"/>
  <c r="P88" i="1" s="1"/>
  <c r="M89" i="1"/>
  <c r="N89" i="1"/>
  <c r="O89" i="1"/>
  <c r="P89" i="1" s="1"/>
  <c r="M90" i="1"/>
  <c r="N90" i="1"/>
  <c r="O90" i="1"/>
  <c r="P90" i="1" s="1"/>
  <c r="M91" i="1"/>
  <c r="N91" i="1"/>
  <c r="O91" i="1"/>
  <c r="P91" i="1" s="1"/>
  <c r="M92" i="1"/>
  <c r="N92" i="1"/>
  <c r="O92" i="1"/>
  <c r="P92" i="1" s="1"/>
  <c r="M93" i="1"/>
  <c r="N93" i="1"/>
  <c r="O93" i="1"/>
  <c r="P93" i="1" s="1"/>
  <c r="M94" i="1"/>
  <c r="N94" i="1"/>
  <c r="O94" i="1"/>
  <c r="P94" i="1" s="1"/>
  <c r="M95" i="1"/>
  <c r="N95" i="1"/>
  <c r="O95" i="1"/>
  <c r="P95" i="1" s="1"/>
  <c r="M96" i="1"/>
  <c r="N96" i="1"/>
  <c r="O96" i="1"/>
  <c r="P96" i="1" s="1"/>
  <c r="M97" i="1"/>
  <c r="N97" i="1"/>
  <c r="O97" i="1"/>
  <c r="P97" i="1" s="1"/>
  <c r="M98" i="1"/>
  <c r="N98" i="1"/>
  <c r="O98" i="1"/>
  <c r="P98" i="1" s="1"/>
  <c r="M99" i="1"/>
  <c r="N99" i="1"/>
  <c r="O99" i="1"/>
  <c r="P99" i="1" s="1"/>
  <c r="M100" i="1"/>
  <c r="N100" i="1"/>
  <c r="O100" i="1"/>
  <c r="P100" i="1" s="1"/>
  <c r="M101" i="1"/>
  <c r="N101" i="1"/>
  <c r="O101" i="1"/>
  <c r="P101" i="1" s="1"/>
  <c r="M102" i="1"/>
  <c r="N102" i="1"/>
  <c r="O102" i="1"/>
  <c r="P102" i="1" s="1"/>
  <c r="M103" i="1"/>
  <c r="N103" i="1"/>
  <c r="O103" i="1"/>
  <c r="P103" i="1" s="1"/>
  <c r="M104" i="1"/>
  <c r="N104" i="1"/>
  <c r="O104" i="1"/>
  <c r="P104" i="1" s="1"/>
  <c r="M105" i="1"/>
  <c r="N105" i="1"/>
  <c r="O105" i="1"/>
  <c r="P105" i="1" s="1"/>
  <c r="M106" i="1"/>
  <c r="N106" i="1"/>
  <c r="O106" i="1"/>
  <c r="P106" i="1" s="1"/>
  <c r="M107" i="1"/>
  <c r="N107" i="1"/>
  <c r="O107" i="1"/>
  <c r="P107" i="1" s="1"/>
  <c r="M108" i="1"/>
  <c r="N108" i="1"/>
  <c r="O108" i="1"/>
  <c r="P108" i="1" s="1"/>
  <c r="M109" i="1"/>
  <c r="N109" i="1"/>
  <c r="O109" i="1"/>
  <c r="P109" i="1" s="1"/>
  <c r="M110" i="1"/>
  <c r="N110" i="1"/>
  <c r="O110" i="1"/>
  <c r="P110" i="1" s="1"/>
  <c r="M111" i="1"/>
  <c r="N111" i="1"/>
  <c r="O111" i="1"/>
  <c r="P111" i="1" s="1"/>
  <c r="M112" i="1"/>
  <c r="N112" i="1"/>
  <c r="O112" i="1"/>
  <c r="P112" i="1" s="1"/>
  <c r="M113" i="1"/>
  <c r="N113" i="1"/>
  <c r="O113" i="1"/>
  <c r="P113" i="1" s="1"/>
  <c r="M114" i="1"/>
  <c r="N114" i="1"/>
  <c r="O114" i="1"/>
  <c r="P114" i="1" s="1"/>
  <c r="M115" i="1"/>
  <c r="N115" i="1"/>
  <c r="O115" i="1"/>
  <c r="P115" i="1" s="1"/>
  <c r="M116" i="1"/>
  <c r="N116" i="1"/>
  <c r="O116" i="1"/>
  <c r="P116" i="1" s="1"/>
  <c r="M117" i="1"/>
  <c r="N117" i="1"/>
  <c r="O117" i="1"/>
  <c r="P117" i="1" s="1"/>
  <c r="M118" i="1"/>
  <c r="N118" i="1"/>
  <c r="O118" i="1"/>
  <c r="P118" i="1" s="1"/>
  <c r="M119" i="1"/>
  <c r="N119" i="1"/>
  <c r="O119" i="1"/>
  <c r="P119" i="1" s="1"/>
  <c r="M120" i="1"/>
  <c r="N120" i="1"/>
  <c r="O120" i="1"/>
  <c r="P120" i="1" s="1"/>
  <c r="M121" i="1"/>
  <c r="N121" i="1"/>
  <c r="O121" i="1"/>
  <c r="P121" i="1" s="1"/>
  <c r="M122" i="1"/>
  <c r="N122" i="1"/>
  <c r="O122" i="1"/>
  <c r="P122" i="1" s="1"/>
  <c r="M123" i="1"/>
  <c r="N123" i="1"/>
  <c r="O123" i="1"/>
  <c r="P123" i="1" s="1"/>
  <c r="M124" i="1"/>
  <c r="N124" i="1"/>
  <c r="O124" i="1"/>
  <c r="P124" i="1" s="1"/>
  <c r="M125" i="1"/>
  <c r="N125" i="1"/>
  <c r="O125" i="1"/>
  <c r="P125" i="1" s="1"/>
  <c r="M126" i="1"/>
  <c r="N126" i="1"/>
  <c r="O126" i="1"/>
  <c r="P126" i="1" s="1"/>
  <c r="M127" i="1"/>
  <c r="N127" i="1"/>
  <c r="O127" i="1"/>
  <c r="P127" i="1" s="1"/>
  <c r="M128" i="1"/>
  <c r="N128" i="1"/>
  <c r="O128" i="1"/>
  <c r="P128" i="1" s="1"/>
  <c r="M129" i="1"/>
  <c r="N129" i="1"/>
  <c r="O129" i="1"/>
  <c r="P129" i="1" s="1"/>
  <c r="M130" i="1"/>
  <c r="N130" i="1"/>
  <c r="O130" i="1"/>
  <c r="P130" i="1" s="1"/>
  <c r="M131" i="1"/>
  <c r="N131" i="1"/>
  <c r="O131" i="1"/>
  <c r="P131" i="1" s="1"/>
  <c r="M132" i="1"/>
  <c r="N132" i="1"/>
  <c r="O132" i="1"/>
  <c r="P132" i="1" s="1"/>
  <c r="M133" i="1"/>
  <c r="N133" i="1"/>
  <c r="O133" i="1"/>
  <c r="P133" i="1" s="1"/>
  <c r="M134" i="1"/>
  <c r="N134" i="1"/>
  <c r="O134" i="1"/>
  <c r="P134" i="1" s="1"/>
  <c r="M135" i="1"/>
  <c r="N135" i="1"/>
  <c r="O135" i="1"/>
  <c r="P135" i="1" s="1"/>
  <c r="M136" i="1"/>
  <c r="N136" i="1"/>
  <c r="O136" i="1"/>
  <c r="P136" i="1" s="1"/>
  <c r="M137" i="1"/>
  <c r="N137" i="1"/>
  <c r="O137" i="1"/>
  <c r="P137" i="1" s="1"/>
  <c r="M138" i="1"/>
  <c r="N138" i="1"/>
  <c r="O138" i="1"/>
  <c r="P138" i="1" s="1"/>
  <c r="M139" i="1"/>
  <c r="N139" i="1"/>
  <c r="O139" i="1"/>
  <c r="P139" i="1" s="1"/>
  <c r="M140" i="1"/>
  <c r="N140" i="1"/>
  <c r="O140" i="1"/>
  <c r="P140" i="1" s="1"/>
  <c r="M141" i="1"/>
  <c r="N141" i="1"/>
  <c r="O141" i="1"/>
  <c r="P141" i="1" s="1"/>
  <c r="M142" i="1"/>
  <c r="N142" i="1"/>
  <c r="O142" i="1"/>
  <c r="P142" i="1" s="1"/>
  <c r="M143" i="1"/>
  <c r="N143" i="1"/>
  <c r="O143" i="1"/>
  <c r="P143" i="1" s="1"/>
  <c r="M144" i="1"/>
  <c r="N144" i="1"/>
  <c r="O144" i="1"/>
  <c r="P144" i="1" s="1"/>
  <c r="M145" i="1"/>
  <c r="N145" i="1"/>
  <c r="O145" i="1"/>
  <c r="P145" i="1" s="1"/>
  <c r="M146" i="1"/>
  <c r="N146" i="1"/>
  <c r="O146" i="1"/>
  <c r="P146" i="1" s="1"/>
  <c r="M147" i="1"/>
  <c r="N147" i="1"/>
  <c r="O147" i="1"/>
  <c r="P147" i="1" s="1"/>
  <c r="M148" i="1"/>
  <c r="N148" i="1"/>
  <c r="O148" i="1"/>
  <c r="P148" i="1" s="1"/>
  <c r="M149" i="1"/>
  <c r="N149" i="1"/>
  <c r="O149" i="1"/>
  <c r="P149" i="1" s="1"/>
  <c r="M150" i="1"/>
  <c r="N150" i="1"/>
  <c r="O150" i="1"/>
  <c r="P150" i="1" s="1"/>
  <c r="M151" i="1"/>
  <c r="N151" i="1"/>
  <c r="O151" i="1"/>
  <c r="P151" i="1" s="1"/>
  <c r="M152" i="1"/>
  <c r="N152" i="1"/>
  <c r="O152" i="1"/>
  <c r="P152" i="1" s="1"/>
  <c r="M153" i="1"/>
  <c r="N153" i="1"/>
  <c r="O153" i="1"/>
  <c r="P153" i="1" s="1"/>
  <c r="M154" i="1"/>
  <c r="N154" i="1"/>
  <c r="O154" i="1"/>
  <c r="P154" i="1" s="1"/>
  <c r="M155" i="1"/>
  <c r="N155" i="1"/>
  <c r="O155" i="1"/>
  <c r="P155" i="1" s="1"/>
  <c r="M156" i="1"/>
  <c r="N156" i="1"/>
  <c r="O156" i="1"/>
  <c r="P156" i="1" s="1"/>
  <c r="M157" i="1"/>
  <c r="N157" i="1"/>
  <c r="O157" i="1"/>
  <c r="P157" i="1" s="1"/>
  <c r="M158" i="1"/>
  <c r="N158" i="1"/>
  <c r="O158" i="1"/>
  <c r="P158" i="1" s="1"/>
  <c r="M159" i="1"/>
  <c r="N159" i="1"/>
  <c r="O159" i="1"/>
  <c r="P159" i="1" s="1"/>
  <c r="M160" i="1"/>
  <c r="N160" i="1"/>
  <c r="O160" i="1"/>
  <c r="P160" i="1" s="1"/>
  <c r="M161" i="1"/>
  <c r="N161" i="1"/>
  <c r="O161" i="1"/>
  <c r="P161" i="1" s="1"/>
  <c r="M162" i="1"/>
  <c r="N162" i="1"/>
  <c r="O162" i="1"/>
  <c r="P162" i="1" s="1"/>
  <c r="M163" i="1"/>
  <c r="N163" i="1"/>
  <c r="O163" i="1"/>
  <c r="P163" i="1" s="1"/>
  <c r="M164" i="1"/>
  <c r="N164" i="1"/>
  <c r="O164" i="1"/>
  <c r="P164" i="1" s="1"/>
  <c r="M165" i="1"/>
  <c r="N165" i="1"/>
  <c r="O165" i="1"/>
  <c r="P165" i="1" s="1"/>
  <c r="M166" i="1"/>
  <c r="N166" i="1"/>
  <c r="O166" i="1"/>
  <c r="P166" i="1" s="1"/>
  <c r="M167" i="1"/>
  <c r="N167" i="1"/>
  <c r="O167" i="1"/>
  <c r="P167" i="1" s="1"/>
  <c r="M168" i="1"/>
  <c r="N168" i="1"/>
  <c r="O168" i="1"/>
  <c r="P168" i="1" s="1"/>
  <c r="M169" i="1"/>
  <c r="N169" i="1"/>
  <c r="O169" i="1"/>
  <c r="P169" i="1" s="1"/>
  <c r="M170" i="1"/>
  <c r="N170" i="1"/>
  <c r="O170" i="1"/>
  <c r="P170" i="1" s="1"/>
  <c r="M171" i="1"/>
  <c r="N171" i="1"/>
  <c r="O171" i="1"/>
  <c r="P171" i="1" s="1"/>
  <c r="M172" i="1"/>
  <c r="N172" i="1"/>
  <c r="O172" i="1"/>
  <c r="P172" i="1" s="1"/>
  <c r="M173" i="1"/>
  <c r="N173" i="1"/>
  <c r="O173" i="1"/>
  <c r="P173" i="1" s="1"/>
  <c r="M174" i="1"/>
  <c r="N174" i="1"/>
  <c r="O174" i="1"/>
  <c r="P174" i="1" s="1"/>
  <c r="M175" i="1"/>
  <c r="N175" i="1"/>
  <c r="O175" i="1"/>
  <c r="P175" i="1" s="1"/>
  <c r="M176" i="1"/>
  <c r="N176" i="1"/>
  <c r="O176" i="1"/>
  <c r="P176" i="1" s="1"/>
  <c r="M177" i="1"/>
  <c r="N177" i="1"/>
  <c r="O177" i="1"/>
  <c r="P177" i="1" s="1"/>
  <c r="M178" i="1"/>
  <c r="N178" i="1"/>
  <c r="O178" i="1"/>
  <c r="P178" i="1" s="1"/>
  <c r="M179" i="1"/>
  <c r="N179" i="1"/>
  <c r="O179" i="1"/>
  <c r="P179" i="1" s="1"/>
  <c r="M180" i="1"/>
  <c r="N180" i="1"/>
  <c r="O180" i="1"/>
  <c r="P180" i="1" s="1"/>
  <c r="M181" i="1"/>
  <c r="N181" i="1"/>
  <c r="O181" i="1"/>
  <c r="P181" i="1" s="1"/>
  <c r="M182" i="1"/>
  <c r="N182" i="1"/>
  <c r="O182" i="1"/>
  <c r="P182" i="1" s="1"/>
  <c r="M183" i="1"/>
  <c r="N183" i="1"/>
  <c r="O183" i="1"/>
  <c r="P183" i="1" s="1"/>
  <c r="M184" i="1"/>
  <c r="N184" i="1"/>
  <c r="O184" i="1"/>
  <c r="P184" i="1" s="1"/>
  <c r="M185" i="1"/>
  <c r="N185" i="1"/>
  <c r="O185" i="1"/>
  <c r="P185" i="1" s="1"/>
  <c r="M186" i="1"/>
  <c r="N186" i="1"/>
  <c r="O186" i="1"/>
  <c r="P186" i="1" s="1"/>
  <c r="M187" i="1"/>
  <c r="N187" i="1"/>
  <c r="O187" i="1"/>
  <c r="P187" i="1" s="1"/>
  <c r="M188" i="1"/>
  <c r="N188" i="1"/>
  <c r="O188" i="1"/>
  <c r="P188" i="1" s="1"/>
  <c r="M189" i="1"/>
  <c r="N189" i="1"/>
  <c r="O189" i="1"/>
  <c r="P189" i="1" s="1"/>
  <c r="M190" i="1"/>
  <c r="N190" i="1"/>
  <c r="O190" i="1"/>
  <c r="P190" i="1" s="1"/>
  <c r="M191" i="1"/>
  <c r="N191" i="1"/>
  <c r="O191" i="1"/>
  <c r="P191" i="1" s="1"/>
  <c r="M192" i="1"/>
  <c r="N192" i="1"/>
  <c r="O192" i="1"/>
  <c r="P192" i="1" s="1"/>
  <c r="M193" i="1"/>
  <c r="N193" i="1"/>
  <c r="O193" i="1"/>
  <c r="P193" i="1" s="1"/>
  <c r="M194" i="1"/>
  <c r="N194" i="1"/>
  <c r="O194" i="1"/>
  <c r="P194" i="1" s="1"/>
  <c r="M195" i="1"/>
  <c r="N195" i="1"/>
  <c r="O195" i="1"/>
  <c r="P195" i="1" s="1"/>
  <c r="M196" i="1"/>
  <c r="N196" i="1"/>
  <c r="O196" i="1"/>
  <c r="P196" i="1" s="1"/>
  <c r="M197" i="1"/>
  <c r="N197" i="1"/>
  <c r="O197" i="1"/>
  <c r="P197" i="1" s="1"/>
  <c r="M198" i="1"/>
  <c r="N198" i="1"/>
  <c r="O198" i="1"/>
  <c r="P198" i="1" s="1"/>
  <c r="M199" i="1"/>
  <c r="N199" i="1"/>
  <c r="O199" i="1"/>
  <c r="P199" i="1" s="1"/>
  <c r="M200" i="1"/>
  <c r="N200" i="1"/>
  <c r="O200" i="1"/>
  <c r="P200" i="1" s="1"/>
  <c r="M201" i="1"/>
  <c r="N201" i="1"/>
  <c r="O201" i="1"/>
  <c r="P201" i="1" s="1"/>
  <c r="M202" i="1"/>
  <c r="N202" i="1"/>
  <c r="O202" i="1"/>
  <c r="P202" i="1" s="1"/>
  <c r="M203" i="1"/>
  <c r="N203" i="1"/>
  <c r="O203" i="1"/>
  <c r="P203" i="1" s="1"/>
  <c r="M204" i="1"/>
  <c r="N204" i="1"/>
  <c r="O204" i="1"/>
  <c r="P204" i="1" s="1"/>
  <c r="M205" i="1"/>
  <c r="N205" i="1"/>
  <c r="O205" i="1"/>
  <c r="P205" i="1" s="1"/>
  <c r="M206" i="1"/>
  <c r="N206" i="1"/>
  <c r="O206" i="1"/>
  <c r="P206" i="1" s="1"/>
  <c r="M207" i="1"/>
  <c r="N207" i="1"/>
  <c r="O207" i="1"/>
  <c r="P207" i="1" s="1"/>
  <c r="M208" i="1"/>
  <c r="N208" i="1"/>
  <c r="O208" i="1"/>
  <c r="P208" i="1" s="1"/>
  <c r="M209" i="1"/>
  <c r="N209" i="1"/>
  <c r="O209" i="1"/>
  <c r="P209" i="1" s="1"/>
  <c r="M210" i="1"/>
  <c r="N210" i="1"/>
  <c r="O210" i="1"/>
  <c r="P210" i="1" s="1"/>
  <c r="M211" i="1"/>
  <c r="N211" i="1"/>
  <c r="O211" i="1"/>
  <c r="P211" i="1" s="1"/>
  <c r="M212" i="1"/>
  <c r="N212" i="1"/>
  <c r="O212" i="1"/>
  <c r="P212" i="1" s="1"/>
  <c r="M213" i="1"/>
  <c r="N213" i="1"/>
  <c r="O213" i="1"/>
  <c r="P213" i="1" s="1"/>
  <c r="M214" i="1"/>
  <c r="N214" i="1"/>
  <c r="O214" i="1"/>
  <c r="P214" i="1" s="1"/>
  <c r="M215" i="1"/>
  <c r="N215" i="1"/>
  <c r="O215" i="1"/>
  <c r="P215" i="1" s="1"/>
  <c r="M216" i="1"/>
  <c r="N216" i="1"/>
  <c r="O216" i="1"/>
  <c r="P216" i="1" s="1"/>
  <c r="M217" i="1"/>
  <c r="N217" i="1"/>
  <c r="O217" i="1"/>
  <c r="P217" i="1" s="1"/>
  <c r="M218" i="1"/>
  <c r="N218" i="1"/>
  <c r="O218" i="1"/>
  <c r="P218" i="1" s="1"/>
  <c r="M219" i="1"/>
  <c r="N219" i="1"/>
  <c r="O219" i="1"/>
  <c r="P219" i="1" s="1"/>
  <c r="M220" i="1"/>
  <c r="N220" i="1"/>
  <c r="O220" i="1"/>
  <c r="P220" i="1" s="1"/>
  <c r="M221" i="1"/>
  <c r="N221" i="1"/>
  <c r="O221" i="1"/>
  <c r="P221" i="1" s="1"/>
  <c r="M222" i="1"/>
  <c r="N222" i="1"/>
  <c r="O222" i="1"/>
  <c r="P222" i="1" s="1"/>
  <c r="M223" i="1"/>
  <c r="N223" i="1"/>
  <c r="O223" i="1"/>
  <c r="P223" i="1" s="1"/>
  <c r="M224" i="1"/>
  <c r="N224" i="1"/>
  <c r="O224" i="1"/>
  <c r="P224" i="1" s="1"/>
  <c r="M225" i="1"/>
  <c r="N225" i="1"/>
  <c r="O225" i="1"/>
  <c r="P225" i="1" s="1"/>
  <c r="M226" i="1"/>
  <c r="N226" i="1"/>
  <c r="O226" i="1"/>
  <c r="P226" i="1" s="1"/>
  <c r="M227" i="1"/>
  <c r="N227" i="1"/>
  <c r="O227" i="1"/>
  <c r="P227" i="1" s="1"/>
  <c r="M228" i="1"/>
  <c r="N228" i="1"/>
  <c r="O228" i="1"/>
  <c r="P228" i="1" s="1"/>
  <c r="M229" i="1"/>
  <c r="N229" i="1"/>
  <c r="O229" i="1"/>
  <c r="P229" i="1" s="1"/>
  <c r="M230" i="1"/>
  <c r="N230" i="1"/>
  <c r="O230" i="1"/>
  <c r="P230" i="1" s="1"/>
  <c r="M231" i="1"/>
  <c r="N231" i="1"/>
  <c r="O231" i="1"/>
  <c r="P231" i="1" s="1"/>
  <c r="M232" i="1"/>
  <c r="N232" i="1"/>
  <c r="O232" i="1"/>
  <c r="P232" i="1" s="1"/>
  <c r="M233" i="1"/>
  <c r="N233" i="1"/>
  <c r="O233" i="1"/>
  <c r="P233" i="1" s="1"/>
  <c r="M234" i="1"/>
  <c r="N234" i="1"/>
  <c r="O234" i="1"/>
  <c r="P234" i="1" s="1"/>
  <c r="M235" i="1"/>
  <c r="N235" i="1"/>
  <c r="O235" i="1"/>
  <c r="P235" i="1" s="1"/>
  <c r="M236" i="1"/>
  <c r="N236" i="1"/>
  <c r="O236" i="1"/>
  <c r="P236" i="1" s="1"/>
  <c r="M237" i="1"/>
  <c r="N237" i="1"/>
  <c r="O237" i="1"/>
  <c r="P237" i="1" s="1"/>
  <c r="M238" i="1"/>
  <c r="N238" i="1"/>
  <c r="O238" i="1"/>
  <c r="P238" i="1" s="1"/>
  <c r="M239" i="1"/>
  <c r="N239" i="1"/>
  <c r="O239" i="1"/>
  <c r="P239" i="1" s="1"/>
  <c r="M240" i="1"/>
  <c r="N240" i="1"/>
  <c r="O240" i="1"/>
  <c r="P240" i="1" s="1"/>
  <c r="M241" i="1"/>
  <c r="N241" i="1"/>
  <c r="O241" i="1"/>
  <c r="P241" i="1" s="1"/>
  <c r="M242" i="1"/>
  <c r="N242" i="1"/>
  <c r="O242" i="1"/>
  <c r="P242" i="1" s="1"/>
  <c r="M243" i="1"/>
  <c r="N243" i="1"/>
  <c r="O243" i="1"/>
  <c r="P243" i="1" s="1"/>
  <c r="M244" i="1"/>
  <c r="N244" i="1"/>
  <c r="O244" i="1"/>
  <c r="P244" i="1" s="1"/>
  <c r="M245" i="1"/>
  <c r="N245" i="1"/>
  <c r="O245" i="1"/>
  <c r="P245" i="1" s="1"/>
  <c r="M246" i="1"/>
  <c r="N246" i="1"/>
  <c r="O246" i="1"/>
  <c r="P246" i="1" s="1"/>
  <c r="M247" i="1"/>
  <c r="N247" i="1"/>
  <c r="O247" i="1"/>
  <c r="P247" i="1" s="1"/>
  <c r="M248" i="1"/>
  <c r="N248" i="1"/>
  <c r="O248" i="1"/>
  <c r="P248" i="1" s="1"/>
  <c r="M249" i="1"/>
  <c r="N249" i="1"/>
  <c r="O249" i="1"/>
  <c r="P249" i="1" s="1"/>
  <c r="M250" i="1"/>
  <c r="N250" i="1"/>
  <c r="O250" i="1"/>
  <c r="P250" i="1" s="1"/>
  <c r="M251" i="1"/>
  <c r="N251" i="1"/>
  <c r="O251" i="1"/>
  <c r="P251" i="1" s="1"/>
  <c r="M252" i="1"/>
  <c r="N252" i="1"/>
  <c r="O252" i="1"/>
  <c r="P252" i="1" s="1"/>
  <c r="M253" i="1"/>
  <c r="N253" i="1"/>
  <c r="O253" i="1"/>
  <c r="P253" i="1" s="1"/>
  <c r="M254" i="1"/>
  <c r="N254" i="1"/>
  <c r="O254" i="1"/>
  <c r="P254" i="1" s="1"/>
  <c r="M255" i="1"/>
  <c r="N255" i="1"/>
  <c r="O255" i="1"/>
  <c r="P255" i="1" s="1"/>
  <c r="M256" i="1"/>
  <c r="N256" i="1"/>
  <c r="O256" i="1"/>
  <c r="P256" i="1" s="1"/>
  <c r="M257" i="1"/>
  <c r="N257" i="1"/>
  <c r="O257" i="1"/>
  <c r="P257" i="1" s="1"/>
  <c r="M258" i="1"/>
  <c r="N258" i="1"/>
  <c r="O258" i="1"/>
  <c r="P258" i="1" s="1"/>
  <c r="Q3574" i="1"/>
  <c r="O2" i="1"/>
  <c r="N2" i="1"/>
  <c r="Q2" i="1" s="1"/>
  <c r="M2" i="1"/>
  <c r="R2" i="1" s="1"/>
  <c r="Q3573" i="1"/>
  <c r="R3573" i="1"/>
  <c r="S3573" i="1"/>
  <c r="R3574" i="1"/>
  <c r="S3574" i="1"/>
  <c r="Q3575" i="1"/>
  <c r="R3575" i="1"/>
  <c r="S3575" i="1"/>
  <c r="Q3576" i="1"/>
  <c r="R3576" i="1"/>
  <c r="Q3577" i="1"/>
  <c r="R3577" i="1"/>
  <c r="Q3578" i="1"/>
  <c r="R3578" i="1"/>
  <c r="Q3579" i="1"/>
  <c r="R3579" i="1"/>
  <c r="Q3580" i="1"/>
  <c r="R3580" i="1"/>
  <c r="Q3581" i="1"/>
  <c r="R3581" i="1"/>
  <c r="Q3582" i="1"/>
  <c r="R3582" i="1"/>
  <c r="R3583" i="1"/>
  <c r="Q3584" i="1"/>
  <c r="R3584" i="1"/>
  <c r="Q3585" i="1"/>
  <c r="R3585" i="1"/>
  <c r="Q3586" i="1"/>
  <c r="R3586" i="1"/>
  <c r="Q3587" i="1"/>
  <c r="R3587" i="1"/>
  <c r="R3588" i="1"/>
  <c r="Q3589" i="1"/>
  <c r="R3589" i="1"/>
  <c r="Q3590" i="1"/>
  <c r="R3590" i="1"/>
  <c r="Q3591" i="1"/>
  <c r="Q3592" i="1"/>
  <c r="R3592" i="1"/>
  <c r="Q3593" i="1"/>
  <c r="R3593" i="1"/>
  <c r="Q3594" i="1"/>
  <c r="R3594" i="1"/>
  <c r="Q3595" i="1"/>
  <c r="R3595" i="1"/>
  <c r="R3596" i="1"/>
  <c r="Q3597" i="1"/>
  <c r="R3597" i="1"/>
  <c r="Q3598" i="1"/>
  <c r="R3598" i="1"/>
  <c r="Q3599" i="1"/>
  <c r="Q3600" i="1"/>
  <c r="R3600" i="1"/>
  <c r="Q3601" i="1"/>
  <c r="R3601" i="1"/>
  <c r="Q3602" i="1"/>
  <c r="R3602" i="1"/>
  <c r="Q3603" i="1"/>
  <c r="R3603" i="1"/>
  <c r="R3604" i="1"/>
  <c r="Q3605" i="1"/>
  <c r="R3605" i="1"/>
  <c r="Q3606" i="1"/>
  <c r="R3606" i="1"/>
  <c r="Q3607" i="1"/>
  <c r="Q3608" i="1"/>
  <c r="R3608" i="1"/>
  <c r="Q3609" i="1"/>
  <c r="R3609" i="1"/>
  <c r="Q3610" i="1"/>
  <c r="R3610" i="1"/>
  <c r="Q3611" i="1"/>
  <c r="R3611" i="1"/>
  <c r="R3612" i="1"/>
  <c r="Q3613" i="1"/>
  <c r="R3613" i="1"/>
  <c r="Q3614" i="1"/>
  <c r="R3614" i="1"/>
  <c r="Q3615" i="1"/>
  <c r="Q3616" i="1"/>
  <c r="R3616" i="1"/>
  <c r="Q3617" i="1"/>
  <c r="R3617" i="1"/>
  <c r="Q3618" i="1"/>
  <c r="R3618" i="1"/>
  <c r="Q3619" i="1"/>
  <c r="R3619" i="1"/>
  <c r="R3620" i="1"/>
  <c r="Q3621" i="1"/>
  <c r="R3621" i="1"/>
  <c r="Q3622" i="1"/>
  <c r="R3622" i="1"/>
  <c r="Q3623" i="1"/>
  <c r="Q3624" i="1"/>
  <c r="R3624" i="1"/>
  <c r="Q3625" i="1"/>
  <c r="R3625" i="1"/>
  <c r="Q3626" i="1"/>
  <c r="R3626" i="1"/>
  <c r="Q3627" i="1"/>
  <c r="R3627" i="1"/>
  <c r="R3628" i="1"/>
  <c r="Q3629" i="1"/>
  <c r="R3629" i="1"/>
  <c r="Q3630" i="1"/>
  <c r="R3630" i="1"/>
  <c r="Q3631" i="1"/>
  <c r="Q3632" i="1"/>
  <c r="R3632" i="1"/>
  <c r="Q3633" i="1"/>
  <c r="R3633" i="1"/>
  <c r="Q3634" i="1"/>
  <c r="R3634" i="1"/>
  <c r="Q3635" i="1"/>
  <c r="R3635" i="1"/>
  <c r="R3636" i="1"/>
  <c r="Q3637" i="1"/>
  <c r="R3637" i="1"/>
  <c r="Q3638" i="1"/>
  <c r="R3638" i="1"/>
  <c r="Q3639" i="1"/>
  <c r="Q3640" i="1"/>
  <c r="R3640" i="1"/>
  <c r="Q3641" i="1"/>
  <c r="R3641" i="1"/>
  <c r="Q3642" i="1"/>
  <c r="R3642" i="1"/>
  <c r="Q3643" i="1"/>
  <c r="R3643" i="1"/>
  <c r="R3644" i="1"/>
  <c r="Q3645" i="1"/>
  <c r="R3645" i="1"/>
  <c r="Q3646" i="1"/>
  <c r="R3646" i="1"/>
  <c r="Q3647" i="1"/>
  <c r="Q3648" i="1"/>
  <c r="R3648" i="1"/>
  <c r="Q3649" i="1"/>
  <c r="R3649" i="1"/>
  <c r="Q3650" i="1"/>
  <c r="R3650" i="1"/>
  <c r="Q3651" i="1"/>
  <c r="R3651" i="1"/>
  <c r="R3652" i="1"/>
  <c r="Q3653" i="1"/>
  <c r="R3653" i="1"/>
  <c r="Q3654" i="1"/>
  <c r="R3654" i="1"/>
  <c r="Q3655" i="1"/>
  <c r="Q3656" i="1"/>
  <c r="R3656" i="1"/>
  <c r="P357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E2" i="1"/>
  <c r="D2" i="2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2" i="1"/>
  <c r="P3573" i="1"/>
  <c r="P3574" i="1"/>
  <c r="P3575" i="1"/>
  <c r="S2" i="1"/>
  <c r="P2" i="1"/>
  <c r="S3576" i="1"/>
  <c r="T3576" i="1" s="1"/>
  <c r="P3577" i="1"/>
  <c r="R4" i="1"/>
  <c r="Q4" i="1"/>
  <c r="R5" i="1"/>
  <c r="Q5" i="1"/>
  <c r="R6" i="1"/>
  <c r="Q6" i="1"/>
  <c r="R7" i="1"/>
  <c r="Q7" i="1"/>
  <c r="R8" i="1"/>
  <c r="Q8" i="1"/>
  <c r="R9" i="1"/>
  <c r="Q9" i="1"/>
  <c r="R10" i="1"/>
  <c r="Q10" i="1"/>
  <c r="R11" i="1"/>
  <c r="Q11" i="1"/>
  <c r="R12" i="1"/>
  <c r="Q12" i="1"/>
  <c r="R13" i="1"/>
  <c r="Q13" i="1"/>
  <c r="R14" i="1"/>
  <c r="Q14" i="1"/>
  <c r="R15" i="1"/>
  <c r="Q15" i="1"/>
  <c r="R16" i="1"/>
  <c r="Q16" i="1"/>
  <c r="R17" i="1"/>
  <c r="Q17" i="1"/>
  <c r="R18" i="1"/>
  <c r="Q18" i="1"/>
  <c r="R19" i="1"/>
  <c r="Q19" i="1"/>
  <c r="R20" i="1"/>
  <c r="Q20" i="1"/>
  <c r="R21" i="1"/>
  <c r="Q21" i="1"/>
  <c r="R22" i="1"/>
  <c r="Q22" i="1"/>
  <c r="R23" i="1"/>
  <c r="Q23" i="1"/>
  <c r="R24" i="1"/>
  <c r="Q24" i="1"/>
  <c r="R25" i="1"/>
  <c r="Q25" i="1"/>
  <c r="R26" i="1"/>
  <c r="Q26" i="1"/>
  <c r="R27" i="1"/>
  <c r="Q27" i="1"/>
  <c r="R28" i="1"/>
  <c r="Q28" i="1"/>
  <c r="R29" i="1"/>
  <c r="Q29" i="1"/>
  <c r="R30" i="1"/>
  <c r="Q30" i="1"/>
  <c r="R31" i="1"/>
  <c r="Q31" i="1"/>
  <c r="R32" i="1"/>
  <c r="Q32" i="1"/>
  <c r="R33" i="1"/>
  <c r="Q33" i="1"/>
  <c r="R34" i="1"/>
  <c r="Q34" i="1"/>
  <c r="R35" i="1"/>
  <c r="Q35" i="1"/>
  <c r="R36" i="1"/>
  <c r="Q36" i="1"/>
  <c r="R37" i="1"/>
  <c r="Q37" i="1"/>
  <c r="R38" i="1"/>
  <c r="Q38" i="1"/>
  <c r="R39" i="1"/>
  <c r="Q39" i="1"/>
  <c r="R40" i="1"/>
  <c r="Q40" i="1"/>
  <c r="R41" i="1"/>
  <c r="Q41" i="1"/>
  <c r="R42" i="1"/>
  <c r="Q42" i="1"/>
  <c r="R43" i="1"/>
  <c r="Q43" i="1"/>
  <c r="R44" i="1"/>
  <c r="Q44" i="1"/>
  <c r="R45" i="1"/>
  <c r="Q45" i="1"/>
  <c r="R46" i="1"/>
  <c r="Q46" i="1"/>
  <c r="R47" i="1"/>
  <c r="Q47" i="1"/>
  <c r="R48" i="1"/>
  <c r="Q48" i="1"/>
  <c r="R49" i="1"/>
  <c r="Q49" i="1"/>
  <c r="R50" i="1"/>
  <c r="Q50" i="1"/>
  <c r="R51" i="1"/>
  <c r="Q51" i="1"/>
  <c r="R52" i="1"/>
  <c r="Q52" i="1"/>
  <c r="R53" i="1"/>
  <c r="Q53" i="1"/>
  <c r="R54" i="1"/>
  <c r="Q54" i="1"/>
  <c r="R55" i="1"/>
  <c r="Q55" i="1"/>
  <c r="R56" i="1"/>
  <c r="Q56" i="1"/>
  <c r="R57" i="1"/>
  <c r="Q57" i="1"/>
  <c r="R58" i="1"/>
  <c r="Q58" i="1"/>
  <c r="R59" i="1"/>
  <c r="Q59" i="1"/>
  <c r="R60" i="1"/>
  <c r="Q60" i="1"/>
  <c r="R61" i="1"/>
  <c r="Q61" i="1"/>
  <c r="R62" i="1"/>
  <c r="Q62" i="1"/>
  <c r="R63" i="1"/>
  <c r="Q63" i="1"/>
  <c r="R64" i="1"/>
  <c r="Q64" i="1"/>
  <c r="R65" i="1"/>
  <c r="Q65" i="1"/>
  <c r="R66" i="1"/>
  <c r="Q66" i="1"/>
  <c r="R67" i="1"/>
  <c r="Q67" i="1"/>
  <c r="R68" i="1"/>
  <c r="Q68" i="1"/>
  <c r="R69" i="1"/>
  <c r="Q69" i="1"/>
  <c r="R70" i="1"/>
  <c r="Q70" i="1"/>
  <c r="R71" i="1"/>
  <c r="Q71" i="1"/>
  <c r="R72" i="1"/>
  <c r="Q72" i="1"/>
  <c r="R73" i="1"/>
  <c r="Q73" i="1"/>
  <c r="R74" i="1"/>
  <c r="Q74" i="1"/>
  <c r="R75" i="1"/>
  <c r="Q75" i="1"/>
  <c r="R76" i="1"/>
  <c r="Q76" i="1"/>
  <c r="R77" i="1"/>
  <c r="Q77" i="1"/>
  <c r="R78" i="1"/>
  <c r="Q78" i="1"/>
  <c r="R79" i="1"/>
  <c r="Q79" i="1"/>
  <c r="R80" i="1"/>
  <c r="Q80" i="1"/>
  <c r="R81" i="1"/>
  <c r="Q81" i="1"/>
  <c r="R82" i="1"/>
  <c r="Q82" i="1"/>
  <c r="R83" i="1"/>
  <c r="Q83" i="1"/>
  <c r="R84" i="1"/>
  <c r="Q84" i="1"/>
  <c r="R85" i="1"/>
  <c r="Q85" i="1"/>
  <c r="R86" i="1"/>
  <c r="Q86" i="1"/>
  <c r="R87" i="1"/>
  <c r="Q87" i="1"/>
  <c r="R88" i="1"/>
  <c r="Q88" i="1"/>
  <c r="R89" i="1"/>
  <c r="Q89" i="1"/>
  <c r="R90" i="1"/>
  <c r="Q90" i="1"/>
  <c r="R91" i="1"/>
  <c r="Q91" i="1"/>
  <c r="R92" i="1"/>
  <c r="Q92" i="1"/>
  <c r="R93" i="1"/>
  <c r="Q93" i="1"/>
  <c r="R94" i="1"/>
  <c r="Q94" i="1"/>
  <c r="R95" i="1"/>
  <c r="Q95" i="1"/>
  <c r="R96" i="1"/>
  <c r="Q96" i="1"/>
  <c r="R97" i="1"/>
  <c r="Q97" i="1"/>
  <c r="R98" i="1"/>
  <c r="Q98" i="1"/>
  <c r="R99" i="1"/>
  <c r="Q99" i="1"/>
  <c r="R100" i="1"/>
  <c r="Q100" i="1"/>
  <c r="R101" i="1"/>
  <c r="Q101" i="1"/>
  <c r="R102" i="1"/>
  <c r="Q102" i="1"/>
  <c r="R103" i="1"/>
  <c r="Q103" i="1"/>
  <c r="R104" i="1"/>
  <c r="Q104" i="1"/>
  <c r="R105" i="1"/>
  <c r="Q105" i="1"/>
  <c r="R106" i="1"/>
  <c r="Q106" i="1"/>
  <c r="R107" i="1"/>
  <c r="Q107" i="1"/>
  <c r="R108" i="1"/>
  <c r="Q108" i="1"/>
  <c r="R109" i="1"/>
  <c r="Q109" i="1"/>
  <c r="R110" i="1"/>
  <c r="Q110" i="1"/>
  <c r="R111" i="1"/>
  <c r="Q111" i="1"/>
  <c r="R112" i="1"/>
  <c r="Q112" i="1"/>
  <c r="R113" i="1"/>
  <c r="Q113" i="1"/>
  <c r="R114" i="1"/>
  <c r="Q114" i="1"/>
  <c r="R115" i="1"/>
  <c r="Q115" i="1"/>
  <c r="R116" i="1"/>
  <c r="Q116" i="1"/>
  <c r="R117" i="1"/>
  <c r="Q117" i="1"/>
  <c r="R118" i="1"/>
  <c r="Q118" i="1"/>
  <c r="R119" i="1"/>
  <c r="Q119" i="1"/>
  <c r="R120" i="1"/>
  <c r="Q120" i="1"/>
  <c r="R121" i="1"/>
  <c r="Q121" i="1"/>
  <c r="R122" i="1"/>
  <c r="Q122" i="1"/>
  <c r="R123" i="1"/>
  <c r="Q123" i="1"/>
  <c r="R124" i="1"/>
  <c r="Q124" i="1"/>
  <c r="R125" i="1"/>
  <c r="Q125" i="1"/>
  <c r="R126" i="1"/>
  <c r="Q126" i="1"/>
  <c r="R127" i="1"/>
  <c r="Q127" i="1"/>
  <c r="R128" i="1"/>
  <c r="Q128" i="1"/>
  <c r="R129" i="1"/>
  <c r="Q129" i="1"/>
  <c r="R130" i="1"/>
  <c r="Q130" i="1"/>
  <c r="R131" i="1"/>
  <c r="Q131" i="1"/>
  <c r="R132" i="1"/>
  <c r="Q132" i="1"/>
  <c r="R133" i="1"/>
  <c r="Q133" i="1"/>
  <c r="R134" i="1"/>
  <c r="Q134" i="1"/>
  <c r="R135" i="1"/>
  <c r="Q135" i="1"/>
  <c r="R136" i="1"/>
  <c r="Q136" i="1"/>
  <c r="R137" i="1"/>
  <c r="Q137" i="1"/>
  <c r="R138" i="1"/>
  <c r="Q138" i="1"/>
  <c r="R139" i="1"/>
  <c r="Q139" i="1"/>
  <c r="R140" i="1"/>
  <c r="Q140" i="1"/>
  <c r="R141" i="1"/>
  <c r="Q141" i="1"/>
  <c r="R142" i="1"/>
  <c r="Q142" i="1"/>
  <c r="R143" i="1"/>
  <c r="Q143" i="1"/>
  <c r="R144" i="1"/>
  <c r="Q144" i="1"/>
  <c r="R145" i="1"/>
  <c r="Q145" i="1"/>
  <c r="R146" i="1"/>
  <c r="Q146" i="1"/>
  <c r="R147" i="1"/>
  <c r="Q147" i="1"/>
  <c r="R148" i="1"/>
  <c r="Q148" i="1"/>
  <c r="R149" i="1"/>
  <c r="Q149" i="1"/>
  <c r="R150" i="1"/>
  <c r="Q150" i="1"/>
  <c r="R151" i="1"/>
  <c r="Q151" i="1"/>
  <c r="R152" i="1"/>
  <c r="Q152" i="1"/>
  <c r="R153" i="1"/>
  <c r="Q153" i="1"/>
  <c r="R154" i="1"/>
  <c r="Q154" i="1"/>
  <c r="R155" i="1"/>
  <c r="Q155" i="1"/>
  <c r="R156" i="1"/>
  <c r="Q156" i="1"/>
  <c r="R157" i="1"/>
  <c r="Q157" i="1"/>
  <c r="R158" i="1"/>
  <c r="Q158" i="1"/>
  <c r="R159" i="1"/>
  <c r="Q159" i="1"/>
  <c r="R160" i="1"/>
  <c r="Q160" i="1"/>
  <c r="R161" i="1"/>
  <c r="Q161" i="1"/>
  <c r="R162" i="1"/>
  <c r="Q162" i="1"/>
  <c r="R163" i="1"/>
  <c r="Q163" i="1"/>
  <c r="R164" i="1"/>
  <c r="Q164" i="1"/>
  <c r="R165" i="1"/>
  <c r="Q165" i="1"/>
  <c r="R166" i="1"/>
  <c r="Q166" i="1"/>
  <c r="R167" i="1"/>
  <c r="Q167" i="1"/>
  <c r="R168" i="1"/>
  <c r="Q168" i="1"/>
  <c r="R169" i="1"/>
  <c r="Q169" i="1"/>
  <c r="R170" i="1"/>
  <c r="Q170" i="1"/>
  <c r="R171" i="1"/>
  <c r="Q171" i="1"/>
  <c r="R172" i="1"/>
  <c r="Q172" i="1"/>
  <c r="R173" i="1"/>
  <c r="Q173" i="1"/>
  <c r="R174" i="1"/>
  <c r="Q174" i="1"/>
  <c r="R175" i="1"/>
  <c r="Q175" i="1"/>
  <c r="R176" i="1"/>
  <c r="Q176" i="1"/>
  <c r="R177" i="1"/>
  <c r="Q177" i="1"/>
  <c r="R178" i="1"/>
  <c r="Q178" i="1"/>
  <c r="R179" i="1"/>
  <c r="Q179" i="1"/>
  <c r="R180" i="1"/>
  <c r="Q180" i="1"/>
  <c r="R181" i="1"/>
  <c r="Q181" i="1"/>
  <c r="R182" i="1"/>
  <c r="Q182" i="1"/>
  <c r="R183" i="1"/>
  <c r="Q183" i="1"/>
  <c r="R184" i="1"/>
  <c r="Q184" i="1"/>
  <c r="R185" i="1"/>
  <c r="Q185" i="1"/>
  <c r="R186" i="1"/>
  <c r="Q186" i="1"/>
  <c r="R187" i="1"/>
  <c r="Q187" i="1"/>
  <c r="R188" i="1"/>
  <c r="Q188" i="1"/>
  <c r="R189" i="1"/>
  <c r="Q189" i="1"/>
  <c r="R190" i="1"/>
  <c r="Q190" i="1"/>
  <c r="R191" i="1"/>
  <c r="Q191" i="1"/>
  <c r="R192" i="1"/>
  <c r="Q192" i="1"/>
  <c r="R193" i="1"/>
  <c r="Q193" i="1"/>
  <c r="R194" i="1"/>
  <c r="Q194" i="1"/>
  <c r="R195" i="1"/>
  <c r="Q195" i="1"/>
  <c r="R196" i="1"/>
  <c r="Q196" i="1"/>
  <c r="R197" i="1"/>
  <c r="Q197" i="1"/>
  <c r="R198" i="1"/>
  <c r="Q198" i="1"/>
  <c r="R199" i="1"/>
  <c r="Q199" i="1"/>
  <c r="R200" i="1"/>
  <c r="Q200" i="1"/>
  <c r="R201" i="1"/>
  <c r="Q201" i="1"/>
  <c r="R202" i="1"/>
  <c r="Q202" i="1"/>
  <c r="R203" i="1"/>
  <c r="Q203" i="1"/>
  <c r="R204" i="1"/>
  <c r="Q204" i="1"/>
  <c r="R205" i="1"/>
  <c r="Q205" i="1"/>
  <c r="R206" i="1"/>
  <c r="Q206" i="1"/>
  <c r="R207" i="1"/>
  <c r="Q207" i="1"/>
  <c r="R208" i="1"/>
  <c r="Q208" i="1"/>
  <c r="R209" i="1"/>
  <c r="Q209" i="1"/>
  <c r="R210" i="1"/>
  <c r="Q210" i="1"/>
  <c r="R211" i="1"/>
  <c r="Q211" i="1"/>
  <c r="R212" i="1"/>
  <c r="Q212" i="1"/>
  <c r="R213" i="1"/>
  <c r="Q213" i="1"/>
  <c r="R214" i="1"/>
  <c r="Q214" i="1"/>
  <c r="R215" i="1"/>
  <c r="Q215" i="1"/>
  <c r="R216" i="1"/>
  <c r="Q216" i="1"/>
  <c r="R217" i="1"/>
  <c r="Q217" i="1"/>
  <c r="R218" i="1"/>
  <c r="Q218" i="1"/>
  <c r="R219" i="1"/>
  <c r="Q219" i="1"/>
  <c r="R220" i="1"/>
  <c r="Q220" i="1"/>
  <c r="R221" i="1"/>
  <c r="Q221" i="1"/>
  <c r="R222" i="1"/>
  <c r="Q222" i="1"/>
  <c r="R223" i="1"/>
  <c r="Q223" i="1"/>
  <c r="R224" i="1"/>
  <c r="Q224" i="1"/>
  <c r="R225" i="1"/>
  <c r="Q225" i="1"/>
  <c r="R226" i="1"/>
  <c r="Q226" i="1"/>
  <c r="R227" i="1"/>
  <c r="Q227" i="1"/>
  <c r="R228" i="1"/>
  <c r="Q228" i="1"/>
  <c r="R229" i="1"/>
  <c r="Q229" i="1"/>
  <c r="R230" i="1"/>
  <c r="Q230" i="1"/>
  <c r="R231" i="1"/>
  <c r="Q231" i="1"/>
  <c r="R232" i="1"/>
  <c r="Q232" i="1"/>
  <c r="R233" i="1"/>
  <c r="Q233" i="1"/>
  <c r="R234" i="1"/>
  <c r="Q234" i="1"/>
  <c r="R235" i="1"/>
  <c r="Q235" i="1"/>
  <c r="R236" i="1"/>
  <c r="Q236" i="1"/>
  <c r="R237" i="1"/>
  <c r="Q237" i="1"/>
  <c r="R238" i="1"/>
  <c r="Q238" i="1"/>
  <c r="R239" i="1"/>
  <c r="Q239" i="1"/>
  <c r="R240" i="1"/>
  <c r="Q240" i="1"/>
  <c r="R241" i="1"/>
  <c r="Q241" i="1"/>
  <c r="R242" i="1"/>
  <c r="Q242" i="1"/>
  <c r="R243" i="1"/>
  <c r="Q243" i="1"/>
  <c r="R244" i="1"/>
  <c r="Q244" i="1"/>
  <c r="R245" i="1"/>
  <c r="Q245" i="1"/>
  <c r="R246" i="1"/>
  <c r="Q246" i="1"/>
  <c r="R247" i="1"/>
  <c r="Q247" i="1"/>
  <c r="R248" i="1"/>
  <c r="Q248" i="1"/>
  <c r="R249" i="1"/>
  <c r="Q249" i="1"/>
  <c r="R250" i="1"/>
  <c r="Q250" i="1"/>
  <c r="R251" i="1"/>
  <c r="Q251" i="1"/>
  <c r="R252" i="1"/>
  <c r="Q252" i="1"/>
  <c r="R253" i="1"/>
  <c r="Q253" i="1"/>
  <c r="R254" i="1"/>
  <c r="Q254" i="1"/>
  <c r="R255" i="1"/>
  <c r="Q255" i="1"/>
  <c r="R256" i="1"/>
  <c r="Q256" i="1"/>
  <c r="R257" i="1"/>
  <c r="Q257" i="1"/>
  <c r="R258" i="1"/>
  <c r="Q258" i="1"/>
  <c r="M259" i="1"/>
  <c r="R259" i="1" s="1"/>
  <c r="N259" i="1"/>
  <c r="Q259" i="1" s="1"/>
  <c r="M260" i="1"/>
  <c r="R260" i="1" s="1"/>
  <c r="N260" i="1"/>
  <c r="Q260" i="1" s="1"/>
  <c r="M261" i="1"/>
  <c r="R261" i="1" s="1"/>
  <c r="N261" i="1"/>
  <c r="Q261" i="1" s="1"/>
  <c r="M262" i="1"/>
  <c r="R262" i="1" s="1"/>
  <c r="N262" i="1"/>
  <c r="Q262" i="1" s="1"/>
  <c r="M263" i="1"/>
  <c r="R263" i="1" s="1"/>
  <c r="N263" i="1"/>
  <c r="Q263" i="1" s="1"/>
  <c r="M264" i="1"/>
  <c r="R264" i="1" s="1"/>
  <c r="N264" i="1"/>
  <c r="Q264" i="1" s="1"/>
  <c r="M265" i="1"/>
  <c r="R265" i="1" s="1"/>
  <c r="N265" i="1"/>
  <c r="Q265" i="1" s="1"/>
  <c r="M266" i="1"/>
  <c r="R266" i="1" s="1"/>
  <c r="N266" i="1"/>
  <c r="Q266" i="1" s="1"/>
  <c r="M267" i="1"/>
  <c r="R267" i="1" s="1"/>
  <c r="N267" i="1"/>
  <c r="Q267" i="1" s="1"/>
  <c r="M268" i="1"/>
  <c r="R268" i="1" s="1"/>
  <c r="N268" i="1"/>
  <c r="Q268" i="1" s="1"/>
  <c r="M269" i="1"/>
  <c r="R269" i="1" s="1"/>
  <c r="N269" i="1"/>
  <c r="Q269" i="1" s="1"/>
  <c r="M270" i="1"/>
  <c r="R270" i="1" s="1"/>
  <c r="N270" i="1"/>
  <c r="Q270" i="1" s="1"/>
  <c r="M271" i="1"/>
  <c r="R271" i="1" s="1"/>
  <c r="N271" i="1"/>
  <c r="Q271" i="1" s="1"/>
  <c r="M272" i="1"/>
  <c r="R272" i="1" s="1"/>
  <c r="N272" i="1"/>
  <c r="Q272" i="1" s="1"/>
  <c r="M273" i="1"/>
  <c r="R273" i="1" s="1"/>
  <c r="N273" i="1"/>
  <c r="Q273" i="1" s="1"/>
  <c r="M274" i="1"/>
  <c r="R274" i="1" s="1"/>
  <c r="N274" i="1"/>
  <c r="Q274" i="1" s="1"/>
  <c r="M275" i="1"/>
  <c r="R275" i="1" s="1"/>
  <c r="N275" i="1"/>
  <c r="Q275" i="1" s="1"/>
  <c r="M276" i="1"/>
  <c r="R276" i="1" s="1"/>
  <c r="N276" i="1"/>
  <c r="Q276" i="1" s="1"/>
  <c r="M277" i="1"/>
  <c r="R277" i="1" s="1"/>
  <c r="N277" i="1"/>
  <c r="Q277" i="1" s="1"/>
  <c r="M278" i="1"/>
  <c r="R278" i="1" s="1"/>
  <c r="N278" i="1"/>
  <c r="Q278" i="1" s="1"/>
  <c r="M279" i="1"/>
  <c r="R279" i="1" s="1"/>
  <c r="N279" i="1"/>
  <c r="Q279" i="1" s="1"/>
  <c r="M280" i="1"/>
  <c r="R280" i="1" s="1"/>
  <c r="N280" i="1"/>
  <c r="Q280" i="1" s="1"/>
  <c r="M281" i="1"/>
  <c r="R281" i="1" s="1"/>
  <c r="N281" i="1"/>
  <c r="Q281" i="1" s="1"/>
  <c r="M282" i="1"/>
  <c r="R282" i="1" s="1"/>
  <c r="N282" i="1"/>
  <c r="Q282" i="1" s="1"/>
  <c r="M283" i="1"/>
  <c r="R283" i="1" s="1"/>
  <c r="N283" i="1"/>
  <c r="Q283" i="1" s="1"/>
  <c r="M284" i="1"/>
  <c r="R284" i="1" s="1"/>
  <c r="N284" i="1"/>
  <c r="Q284" i="1" s="1"/>
  <c r="M285" i="1"/>
  <c r="R285" i="1" s="1"/>
  <c r="N285" i="1"/>
  <c r="Q285" i="1" s="1"/>
  <c r="M286" i="1"/>
  <c r="R286" i="1" s="1"/>
  <c r="N286" i="1"/>
  <c r="Q286" i="1" s="1"/>
  <c r="M287" i="1"/>
  <c r="R287" i="1" s="1"/>
  <c r="N287" i="1"/>
  <c r="Q287" i="1" s="1"/>
  <c r="M288" i="1"/>
  <c r="R288" i="1" s="1"/>
  <c r="N288" i="1"/>
  <c r="Q288" i="1" s="1"/>
  <c r="M289" i="1"/>
  <c r="R289" i="1" s="1"/>
  <c r="N289" i="1"/>
  <c r="Q289" i="1" s="1"/>
  <c r="M290" i="1"/>
  <c r="R290" i="1" s="1"/>
  <c r="N290" i="1"/>
  <c r="Q290" i="1" s="1"/>
  <c r="M291" i="1"/>
  <c r="R291" i="1" s="1"/>
  <c r="N291" i="1"/>
  <c r="Q291" i="1" s="1"/>
  <c r="M292" i="1"/>
  <c r="R292" i="1" s="1"/>
  <c r="N292" i="1"/>
  <c r="Q292" i="1" s="1"/>
  <c r="M293" i="1"/>
  <c r="R293" i="1" s="1"/>
  <c r="N293" i="1"/>
  <c r="Q293" i="1" s="1"/>
  <c r="M294" i="1"/>
  <c r="R294" i="1" s="1"/>
  <c r="N294" i="1"/>
  <c r="Q294" i="1" s="1"/>
  <c r="M295" i="1"/>
  <c r="R295" i="1" s="1"/>
  <c r="N295" i="1"/>
  <c r="Q295" i="1" s="1"/>
  <c r="M296" i="1"/>
  <c r="R296" i="1" s="1"/>
  <c r="N296" i="1"/>
  <c r="Q296" i="1" s="1"/>
  <c r="M297" i="1"/>
  <c r="R297" i="1" s="1"/>
  <c r="N297" i="1"/>
  <c r="Q297" i="1" s="1"/>
  <c r="M298" i="1"/>
  <c r="R298" i="1" s="1"/>
  <c r="N298" i="1"/>
  <c r="Q298" i="1" s="1"/>
  <c r="M299" i="1"/>
  <c r="R299" i="1" s="1"/>
  <c r="N299" i="1"/>
  <c r="Q299" i="1" s="1"/>
  <c r="M300" i="1"/>
  <c r="R300" i="1" s="1"/>
  <c r="N300" i="1"/>
  <c r="Q300" i="1" s="1"/>
  <c r="M301" i="1"/>
  <c r="R301" i="1" s="1"/>
  <c r="N301" i="1"/>
  <c r="Q301" i="1" s="1"/>
  <c r="M302" i="1"/>
  <c r="R302" i="1" s="1"/>
  <c r="N302" i="1"/>
  <c r="Q302" i="1" s="1"/>
  <c r="M303" i="1"/>
  <c r="R303" i="1" s="1"/>
  <c r="N303" i="1"/>
  <c r="Q303" i="1" s="1"/>
  <c r="M304" i="1"/>
  <c r="R304" i="1" s="1"/>
  <c r="N304" i="1"/>
  <c r="Q304" i="1" s="1"/>
  <c r="M305" i="1"/>
  <c r="R305" i="1" s="1"/>
  <c r="N305" i="1"/>
  <c r="Q305" i="1" s="1"/>
  <c r="M306" i="1"/>
  <c r="R306" i="1" s="1"/>
  <c r="N306" i="1"/>
  <c r="Q306" i="1" s="1"/>
  <c r="M307" i="1"/>
  <c r="R307" i="1" s="1"/>
  <c r="N307" i="1"/>
  <c r="Q307" i="1" s="1"/>
  <c r="M308" i="1"/>
  <c r="R308" i="1" s="1"/>
  <c r="N308" i="1"/>
  <c r="Q308" i="1" s="1"/>
  <c r="M309" i="1"/>
  <c r="R309" i="1" s="1"/>
  <c r="N309" i="1"/>
  <c r="Q309" i="1" s="1"/>
  <c r="M310" i="1"/>
  <c r="R310" i="1" s="1"/>
  <c r="N310" i="1"/>
  <c r="Q310" i="1" s="1"/>
  <c r="M311" i="1"/>
  <c r="R311" i="1" s="1"/>
  <c r="N311" i="1"/>
  <c r="Q311" i="1" s="1"/>
  <c r="M312" i="1"/>
  <c r="R312" i="1" s="1"/>
  <c r="N312" i="1"/>
  <c r="Q312" i="1" s="1"/>
  <c r="M313" i="1"/>
  <c r="R313" i="1" s="1"/>
  <c r="N313" i="1"/>
  <c r="Q313" i="1" s="1"/>
  <c r="M314" i="1"/>
  <c r="R314" i="1" s="1"/>
  <c r="N314" i="1"/>
  <c r="Q314" i="1" s="1"/>
  <c r="M315" i="1"/>
  <c r="R315" i="1" s="1"/>
  <c r="N315" i="1"/>
  <c r="Q315" i="1" s="1"/>
  <c r="M316" i="1"/>
  <c r="R316" i="1" s="1"/>
  <c r="N316" i="1"/>
  <c r="Q316" i="1" s="1"/>
  <c r="M317" i="1"/>
  <c r="R317" i="1" s="1"/>
  <c r="N317" i="1"/>
  <c r="Q317" i="1" s="1"/>
  <c r="M318" i="1"/>
  <c r="R318" i="1" s="1"/>
  <c r="N318" i="1"/>
  <c r="Q318" i="1" s="1"/>
  <c r="M319" i="1"/>
  <c r="R319" i="1" s="1"/>
  <c r="N319" i="1"/>
  <c r="Q319" i="1" s="1"/>
  <c r="M320" i="1"/>
  <c r="R320" i="1" s="1"/>
  <c r="N320" i="1"/>
  <c r="Q320" i="1" s="1"/>
  <c r="M321" i="1"/>
  <c r="R321" i="1" s="1"/>
  <c r="N321" i="1"/>
  <c r="Q321" i="1" s="1"/>
  <c r="M322" i="1"/>
  <c r="R322" i="1" s="1"/>
  <c r="N322" i="1"/>
  <c r="Q322" i="1" s="1"/>
  <c r="M323" i="1"/>
  <c r="R323" i="1" s="1"/>
  <c r="N323" i="1"/>
  <c r="Q323" i="1" s="1"/>
  <c r="M324" i="1"/>
  <c r="R324" i="1" s="1"/>
  <c r="N324" i="1"/>
  <c r="Q324" i="1" s="1"/>
  <c r="M325" i="1"/>
  <c r="R325" i="1" s="1"/>
  <c r="N325" i="1"/>
  <c r="Q325" i="1" s="1"/>
  <c r="M326" i="1"/>
  <c r="R326" i="1" s="1"/>
  <c r="N326" i="1"/>
  <c r="Q326" i="1" s="1"/>
  <c r="M327" i="1"/>
  <c r="R327" i="1" s="1"/>
  <c r="N327" i="1"/>
  <c r="Q327" i="1" s="1"/>
  <c r="M328" i="1"/>
  <c r="R328" i="1" s="1"/>
  <c r="N328" i="1"/>
  <c r="Q328" i="1" s="1"/>
  <c r="M329" i="1"/>
  <c r="R329" i="1" s="1"/>
  <c r="N329" i="1"/>
  <c r="Q329" i="1" s="1"/>
  <c r="M330" i="1"/>
  <c r="R330" i="1" s="1"/>
  <c r="N330" i="1"/>
  <c r="Q330" i="1" s="1"/>
  <c r="M331" i="1"/>
  <c r="R331" i="1" s="1"/>
  <c r="N331" i="1"/>
  <c r="Q331" i="1" s="1"/>
  <c r="M332" i="1"/>
  <c r="R332" i="1" s="1"/>
  <c r="N332" i="1"/>
  <c r="Q332" i="1" s="1"/>
  <c r="M333" i="1"/>
  <c r="R333" i="1" s="1"/>
  <c r="N333" i="1"/>
  <c r="Q333" i="1" s="1"/>
  <c r="M334" i="1"/>
  <c r="R334" i="1" s="1"/>
  <c r="N334" i="1"/>
  <c r="Q334" i="1" s="1"/>
  <c r="M335" i="1"/>
  <c r="R335" i="1" s="1"/>
  <c r="N335" i="1"/>
  <c r="Q335" i="1" s="1"/>
  <c r="M336" i="1"/>
  <c r="R336" i="1" s="1"/>
  <c r="N336" i="1"/>
  <c r="Q336" i="1" s="1"/>
  <c r="M337" i="1"/>
  <c r="R337" i="1" s="1"/>
  <c r="N337" i="1"/>
  <c r="Q337" i="1" s="1"/>
  <c r="M338" i="1"/>
  <c r="R338" i="1" s="1"/>
  <c r="N338" i="1"/>
  <c r="Q338" i="1" s="1"/>
  <c r="M339" i="1"/>
  <c r="R339" i="1" s="1"/>
  <c r="N339" i="1"/>
  <c r="Q339" i="1" s="1"/>
  <c r="M340" i="1"/>
  <c r="R340" i="1" s="1"/>
  <c r="N340" i="1"/>
  <c r="Q340" i="1" s="1"/>
  <c r="M341" i="1"/>
  <c r="R341" i="1" s="1"/>
  <c r="N341" i="1"/>
  <c r="Q341" i="1" s="1"/>
  <c r="M342" i="1"/>
  <c r="R342" i="1" s="1"/>
  <c r="N342" i="1"/>
  <c r="Q342" i="1" s="1"/>
  <c r="M343" i="1"/>
  <c r="R343" i="1" s="1"/>
  <c r="N343" i="1"/>
  <c r="Q343" i="1" s="1"/>
  <c r="M344" i="1"/>
  <c r="R344" i="1" s="1"/>
  <c r="N344" i="1"/>
  <c r="Q344" i="1" s="1"/>
  <c r="M345" i="1"/>
  <c r="R345" i="1" s="1"/>
  <c r="N345" i="1"/>
  <c r="Q345" i="1" s="1"/>
  <c r="M346" i="1"/>
  <c r="R346" i="1" s="1"/>
  <c r="N346" i="1"/>
  <c r="Q346" i="1" s="1"/>
  <c r="M347" i="1"/>
  <c r="R347" i="1" s="1"/>
  <c r="N347" i="1"/>
  <c r="Q347" i="1" s="1"/>
  <c r="M348" i="1"/>
  <c r="R348" i="1" s="1"/>
  <c r="N348" i="1"/>
  <c r="Q348" i="1" s="1"/>
  <c r="M349" i="1"/>
  <c r="R349" i="1" s="1"/>
  <c r="N349" i="1"/>
  <c r="Q349" i="1" s="1"/>
  <c r="M350" i="1"/>
  <c r="R350" i="1" s="1"/>
  <c r="N350" i="1"/>
  <c r="Q350" i="1" s="1"/>
  <c r="M351" i="1"/>
  <c r="R351" i="1" s="1"/>
  <c r="N351" i="1"/>
  <c r="Q351" i="1" s="1"/>
  <c r="M352" i="1"/>
  <c r="R352" i="1" s="1"/>
  <c r="N352" i="1"/>
  <c r="Q352" i="1" s="1"/>
  <c r="M353" i="1"/>
  <c r="R353" i="1" s="1"/>
  <c r="N353" i="1"/>
  <c r="Q353" i="1" s="1"/>
  <c r="M354" i="1"/>
  <c r="R354" i="1" s="1"/>
  <c r="N354" i="1"/>
  <c r="Q354" i="1" s="1"/>
  <c r="M355" i="1"/>
  <c r="R355" i="1" s="1"/>
  <c r="N355" i="1"/>
  <c r="Q355" i="1" s="1"/>
  <c r="M356" i="1"/>
  <c r="R356" i="1" s="1"/>
  <c r="N356" i="1"/>
  <c r="Q356" i="1" s="1"/>
  <c r="M357" i="1"/>
  <c r="R357" i="1" s="1"/>
  <c r="N357" i="1"/>
  <c r="Q357" i="1" s="1"/>
  <c r="M358" i="1"/>
  <c r="R358" i="1" s="1"/>
  <c r="N358" i="1"/>
  <c r="Q358" i="1" s="1"/>
  <c r="M359" i="1"/>
  <c r="R359" i="1" s="1"/>
  <c r="N359" i="1"/>
  <c r="Q359" i="1" s="1"/>
  <c r="M360" i="1"/>
  <c r="R360" i="1" s="1"/>
  <c r="N360" i="1"/>
  <c r="Q360" i="1" s="1"/>
  <c r="M361" i="1"/>
  <c r="R361" i="1" s="1"/>
  <c r="N361" i="1"/>
  <c r="Q361" i="1" s="1"/>
  <c r="M362" i="1"/>
  <c r="R362" i="1" s="1"/>
  <c r="N362" i="1"/>
  <c r="Q362" i="1" s="1"/>
  <c r="M363" i="1"/>
  <c r="R363" i="1" s="1"/>
  <c r="N363" i="1"/>
  <c r="Q363" i="1" s="1"/>
  <c r="M364" i="1"/>
  <c r="R364" i="1" s="1"/>
  <c r="N364" i="1"/>
  <c r="Q364" i="1" s="1"/>
  <c r="M365" i="1"/>
  <c r="R365" i="1" s="1"/>
  <c r="N365" i="1"/>
  <c r="Q365" i="1" s="1"/>
  <c r="M366" i="1"/>
  <c r="R366" i="1" s="1"/>
  <c r="N366" i="1"/>
  <c r="Q366" i="1" s="1"/>
  <c r="M367" i="1"/>
  <c r="R367" i="1" s="1"/>
  <c r="N367" i="1"/>
  <c r="Q367" i="1" s="1"/>
  <c r="M368" i="1"/>
  <c r="R368" i="1" s="1"/>
  <c r="N368" i="1"/>
  <c r="Q368" i="1" s="1"/>
  <c r="M369" i="1"/>
  <c r="R369" i="1" s="1"/>
  <c r="N369" i="1"/>
  <c r="Q369" i="1" s="1"/>
  <c r="M370" i="1"/>
  <c r="R370" i="1" s="1"/>
  <c r="N370" i="1"/>
  <c r="Q370" i="1" s="1"/>
  <c r="M371" i="1"/>
  <c r="R371" i="1" s="1"/>
  <c r="N371" i="1"/>
  <c r="Q371" i="1" s="1"/>
  <c r="M372" i="1"/>
  <c r="R372" i="1" s="1"/>
  <c r="N372" i="1"/>
  <c r="Q372" i="1" s="1"/>
  <c r="M373" i="1"/>
  <c r="R373" i="1" s="1"/>
  <c r="N373" i="1"/>
  <c r="Q373" i="1" s="1"/>
  <c r="M374" i="1"/>
  <c r="R374" i="1" s="1"/>
  <c r="N374" i="1"/>
  <c r="Q374" i="1" s="1"/>
  <c r="M375" i="1"/>
  <c r="R375" i="1" s="1"/>
  <c r="N375" i="1"/>
  <c r="Q375" i="1" s="1"/>
  <c r="M376" i="1"/>
  <c r="R376" i="1" s="1"/>
  <c r="N376" i="1"/>
  <c r="Q376" i="1" s="1"/>
  <c r="M377" i="1"/>
  <c r="R377" i="1" s="1"/>
  <c r="N377" i="1"/>
  <c r="Q377" i="1" s="1"/>
  <c r="M378" i="1"/>
  <c r="R378" i="1" s="1"/>
  <c r="N378" i="1"/>
  <c r="Q378" i="1" s="1"/>
  <c r="M379" i="1"/>
  <c r="R379" i="1" s="1"/>
  <c r="N379" i="1"/>
  <c r="Q379" i="1" s="1"/>
  <c r="M380" i="1"/>
  <c r="R380" i="1" s="1"/>
  <c r="N380" i="1"/>
  <c r="Q380" i="1" s="1"/>
  <c r="M381" i="1"/>
  <c r="R381" i="1" s="1"/>
  <c r="N381" i="1"/>
  <c r="Q381" i="1" s="1"/>
  <c r="M382" i="1"/>
  <c r="R382" i="1" s="1"/>
  <c r="N382" i="1"/>
  <c r="Q382" i="1" s="1"/>
  <c r="M383" i="1"/>
  <c r="R383" i="1" s="1"/>
  <c r="N383" i="1"/>
  <c r="Q383" i="1" s="1"/>
  <c r="M384" i="1"/>
  <c r="R384" i="1" s="1"/>
  <c r="N384" i="1"/>
  <c r="Q384" i="1" s="1"/>
  <c r="M385" i="1"/>
  <c r="R385" i="1" s="1"/>
  <c r="N385" i="1"/>
  <c r="Q385" i="1" s="1"/>
  <c r="M386" i="1"/>
  <c r="R386" i="1" s="1"/>
  <c r="N386" i="1"/>
  <c r="Q386" i="1" s="1"/>
  <c r="M387" i="1"/>
  <c r="R387" i="1" s="1"/>
  <c r="N387" i="1"/>
  <c r="Q387" i="1" s="1"/>
  <c r="M388" i="1"/>
  <c r="R388" i="1" s="1"/>
  <c r="N388" i="1"/>
  <c r="Q388" i="1" s="1"/>
  <c r="M389" i="1"/>
  <c r="R389" i="1" s="1"/>
  <c r="N389" i="1"/>
  <c r="Q389" i="1" s="1"/>
  <c r="M390" i="1"/>
  <c r="R390" i="1" s="1"/>
  <c r="N390" i="1"/>
  <c r="Q390" i="1" s="1"/>
  <c r="M391" i="1"/>
  <c r="R391" i="1" s="1"/>
  <c r="N391" i="1"/>
  <c r="Q391" i="1" s="1"/>
  <c r="M392" i="1"/>
  <c r="R392" i="1" s="1"/>
  <c r="N392" i="1"/>
  <c r="Q392" i="1" s="1"/>
  <c r="M393" i="1"/>
  <c r="R393" i="1" s="1"/>
  <c r="N393" i="1"/>
  <c r="Q393" i="1" s="1"/>
  <c r="M394" i="1"/>
  <c r="R394" i="1" s="1"/>
  <c r="N394" i="1"/>
  <c r="Q394" i="1" s="1"/>
  <c r="M395" i="1"/>
  <c r="R395" i="1" s="1"/>
  <c r="N395" i="1"/>
  <c r="Q395" i="1" s="1"/>
  <c r="M396" i="1"/>
  <c r="R396" i="1" s="1"/>
  <c r="N396" i="1"/>
  <c r="Q396" i="1" s="1"/>
  <c r="M397" i="1"/>
  <c r="R397" i="1" s="1"/>
  <c r="N397" i="1"/>
  <c r="Q397" i="1" s="1"/>
  <c r="M398" i="1"/>
  <c r="R398" i="1" s="1"/>
  <c r="N398" i="1"/>
  <c r="Q398" i="1" s="1"/>
  <c r="M399" i="1"/>
  <c r="R399" i="1" s="1"/>
  <c r="N399" i="1"/>
  <c r="Q399" i="1" s="1"/>
  <c r="M400" i="1"/>
  <c r="R400" i="1" s="1"/>
  <c r="N400" i="1"/>
  <c r="Q400" i="1" s="1"/>
  <c r="M401" i="1"/>
  <c r="R401" i="1" s="1"/>
  <c r="N401" i="1"/>
  <c r="Q401" i="1" s="1"/>
  <c r="M402" i="1"/>
  <c r="R402" i="1" s="1"/>
  <c r="N402" i="1"/>
  <c r="Q402" i="1" s="1"/>
  <c r="M403" i="1"/>
  <c r="R403" i="1" s="1"/>
  <c r="N403" i="1"/>
  <c r="Q403" i="1" s="1"/>
  <c r="M404" i="1"/>
  <c r="R404" i="1" s="1"/>
  <c r="N404" i="1"/>
  <c r="Q404" i="1" s="1"/>
  <c r="M405" i="1"/>
  <c r="R405" i="1" s="1"/>
  <c r="N405" i="1"/>
  <c r="Q405" i="1" s="1"/>
  <c r="M406" i="1"/>
  <c r="R406" i="1" s="1"/>
  <c r="N406" i="1"/>
  <c r="Q406" i="1" s="1"/>
  <c r="M407" i="1"/>
  <c r="R407" i="1" s="1"/>
  <c r="N407" i="1"/>
  <c r="Q407" i="1" s="1"/>
  <c r="M408" i="1"/>
  <c r="R408" i="1" s="1"/>
  <c r="N408" i="1"/>
  <c r="Q408" i="1" s="1"/>
  <c r="M409" i="1"/>
  <c r="R409" i="1" s="1"/>
  <c r="N409" i="1"/>
  <c r="Q409" i="1" s="1"/>
  <c r="M410" i="1"/>
  <c r="R410" i="1" s="1"/>
  <c r="N410" i="1"/>
  <c r="Q410" i="1" s="1"/>
  <c r="M411" i="1"/>
  <c r="R411" i="1" s="1"/>
  <c r="N411" i="1"/>
  <c r="Q411" i="1" s="1"/>
  <c r="M412" i="1"/>
  <c r="R412" i="1" s="1"/>
  <c r="N412" i="1"/>
  <c r="Q412" i="1" s="1"/>
  <c r="M413" i="1"/>
  <c r="R413" i="1" s="1"/>
  <c r="N413" i="1"/>
  <c r="Q413" i="1" s="1"/>
  <c r="M414" i="1"/>
  <c r="R414" i="1" s="1"/>
  <c r="N414" i="1"/>
  <c r="Q414" i="1" s="1"/>
  <c r="M415" i="1"/>
  <c r="R415" i="1" s="1"/>
  <c r="N415" i="1"/>
  <c r="Q415" i="1" s="1"/>
  <c r="M416" i="1"/>
  <c r="R416" i="1" s="1"/>
  <c r="N416" i="1"/>
  <c r="Q416" i="1" s="1"/>
  <c r="M417" i="1"/>
  <c r="R417" i="1" s="1"/>
  <c r="N417" i="1"/>
  <c r="Q417" i="1" s="1"/>
  <c r="M418" i="1"/>
  <c r="R418" i="1" s="1"/>
  <c r="N418" i="1"/>
  <c r="Q418" i="1" s="1"/>
  <c r="M419" i="1"/>
  <c r="R419" i="1" s="1"/>
  <c r="N419" i="1"/>
  <c r="Q419" i="1" s="1"/>
  <c r="M420" i="1"/>
  <c r="R420" i="1" s="1"/>
  <c r="N420" i="1"/>
  <c r="Q420" i="1" s="1"/>
  <c r="M421" i="1"/>
  <c r="R421" i="1" s="1"/>
  <c r="N421" i="1"/>
  <c r="Q421" i="1" s="1"/>
  <c r="M422" i="1"/>
  <c r="R422" i="1" s="1"/>
  <c r="N422" i="1"/>
  <c r="Q422" i="1" s="1"/>
  <c r="M423" i="1"/>
  <c r="R423" i="1" s="1"/>
  <c r="N423" i="1"/>
  <c r="Q423" i="1" s="1"/>
  <c r="M424" i="1"/>
  <c r="R424" i="1" s="1"/>
  <c r="N424" i="1"/>
  <c r="Q424" i="1" s="1"/>
  <c r="M425" i="1"/>
  <c r="R425" i="1" s="1"/>
  <c r="N425" i="1"/>
  <c r="Q425" i="1" s="1"/>
  <c r="M426" i="1"/>
  <c r="R426" i="1" s="1"/>
  <c r="N426" i="1"/>
  <c r="Q426" i="1" s="1"/>
  <c r="M427" i="1"/>
  <c r="R427" i="1" s="1"/>
  <c r="N427" i="1"/>
  <c r="Q427" i="1" s="1"/>
  <c r="M428" i="1"/>
  <c r="R428" i="1" s="1"/>
  <c r="N428" i="1"/>
  <c r="Q428" i="1" s="1"/>
  <c r="M429" i="1"/>
  <c r="R429" i="1" s="1"/>
  <c r="N429" i="1"/>
  <c r="Q429" i="1" s="1"/>
  <c r="M430" i="1"/>
  <c r="R430" i="1" s="1"/>
  <c r="N430" i="1"/>
  <c r="Q430" i="1" s="1"/>
  <c r="M431" i="1"/>
  <c r="R431" i="1" s="1"/>
  <c r="N431" i="1"/>
  <c r="Q431" i="1" s="1"/>
  <c r="M432" i="1"/>
  <c r="R432" i="1" s="1"/>
  <c r="N432" i="1"/>
  <c r="Q432" i="1" s="1"/>
  <c r="M433" i="1"/>
  <c r="R433" i="1" s="1"/>
  <c r="N433" i="1"/>
  <c r="Q433" i="1" s="1"/>
  <c r="M434" i="1"/>
  <c r="R434" i="1" s="1"/>
  <c r="N434" i="1"/>
  <c r="Q434" i="1" s="1"/>
  <c r="M435" i="1"/>
  <c r="R435" i="1" s="1"/>
  <c r="N435" i="1"/>
  <c r="Q435" i="1" s="1"/>
  <c r="M436" i="1"/>
  <c r="R436" i="1" s="1"/>
  <c r="N436" i="1"/>
  <c r="Q436" i="1" s="1"/>
  <c r="M437" i="1"/>
  <c r="R437" i="1" s="1"/>
  <c r="N437" i="1"/>
  <c r="Q437" i="1" s="1"/>
  <c r="M438" i="1"/>
  <c r="R438" i="1" s="1"/>
  <c r="N438" i="1"/>
  <c r="Q438" i="1" s="1"/>
  <c r="M439" i="1"/>
  <c r="R439" i="1" s="1"/>
  <c r="N439" i="1"/>
  <c r="Q439" i="1" s="1"/>
  <c r="M440" i="1"/>
  <c r="R440" i="1" s="1"/>
  <c r="N440" i="1"/>
  <c r="Q440" i="1" s="1"/>
  <c r="M441" i="1"/>
  <c r="R441" i="1" s="1"/>
  <c r="N441" i="1"/>
  <c r="Q441" i="1" s="1"/>
  <c r="M442" i="1"/>
  <c r="R442" i="1" s="1"/>
  <c r="N442" i="1"/>
  <c r="Q442" i="1" s="1"/>
  <c r="M443" i="1"/>
  <c r="R443" i="1" s="1"/>
  <c r="N443" i="1"/>
  <c r="Q443" i="1" s="1"/>
  <c r="M444" i="1"/>
  <c r="R444" i="1" s="1"/>
  <c r="N444" i="1"/>
  <c r="Q444" i="1" s="1"/>
  <c r="M445" i="1"/>
  <c r="R445" i="1" s="1"/>
  <c r="N445" i="1"/>
  <c r="Q445" i="1" s="1"/>
  <c r="M446" i="1"/>
  <c r="R446" i="1" s="1"/>
  <c r="N446" i="1"/>
  <c r="Q446" i="1" s="1"/>
  <c r="M447" i="1"/>
  <c r="R447" i="1" s="1"/>
  <c r="N447" i="1"/>
  <c r="Q447" i="1" s="1"/>
  <c r="M448" i="1"/>
  <c r="R448" i="1" s="1"/>
  <c r="N448" i="1"/>
  <c r="Q448" i="1" s="1"/>
  <c r="M449" i="1"/>
  <c r="R449" i="1" s="1"/>
  <c r="N449" i="1"/>
  <c r="Q449" i="1" s="1"/>
  <c r="M450" i="1"/>
  <c r="R450" i="1" s="1"/>
  <c r="N450" i="1"/>
  <c r="Q450" i="1" s="1"/>
  <c r="M451" i="1"/>
  <c r="R451" i="1" s="1"/>
  <c r="N451" i="1"/>
  <c r="Q451" i="1" s="1"/>
  <c r="M452" i="1"/>
  <c r="R452" i="1" s="1"/>
  <c r="N452" i="1"/>
  <c r="Q452" i="1" s="1"/>
  <c r="M453" i="1"/>
  <c r="R453" i="1" s="1"/>
  <c r="N453" i="1"/>
  <c r="Q453" i="1" s="1"/>
  <c r="M454" i="1"/>
  <c r="R454" i="1" s="1"/>
  <c r="N454" i="1"/>
  <c r="Q454" i="1" s="1"/>
  <c r="M455" i="1"/>
  <c r="R455" i="1" s="1"/>
  <c r="N455" i="1"/>
  <c r="Q455" i="1" s="1"/>
  <c r="M456" i="1"/>
  <c r="R456" i="1" s="1"/>
  <c r="N456" i="1"/>
  <c r="Q456" i="1" s="1"/>
  <c r="M457" i="1"/>
  <c r="R457" i="1" s="1"/>
  <c r="N457" i="1"/>
  <c r="Q457" i="1" s="1"/>
  <c r="M458" i="1"/>
  <c r="R458" i="1" s="1"/>
  <c r="N458" i="1"/>
  <c r="Q458" i="1" s="1"/>
  <c r="M459" i="1"/>
  <c r="R459" i="1" s="1"/>
  <c r="N459" i="1"/>
  <c r="Q459" i="1" s="1"/>
  <c r="M460" i="1"/>
  <c r="R460" i="1" s="1"/>
  <c r="N460" i="1"/>
  <c r="Q460" i="1" s="1"/>
  <c r="M461" i="1"/>
  <c r="R461" i="1" s="1"/>
  <c r="N461" i="1"/>
  <c r="Q461" i="1" s="1"/>
  <c r="M462" i="1"/>
  <c r="R462" i="1" s="1"/>
  <c r="N462" i="1"/>
  <c r="Q462" i="1" s="1"/>
  <c r="M463" i="1"/>
  <c r="R463" i="1" s="1"/>
  <c r="N463" i="1"/>
  <c r="Q463" i="1" s="1"/>
  <c r="M464" i="1"/>
  <c r="R464" i="1" s="1"/>
  <c r="N464" i="1"/>
  <c r="Q464" i="1" s="1"/>
  <c r="M465" i="1"/>
  <c r="R465" i="1" s="1"/>
  <c r="N465" i="1"/>
  <c r="Q465" i="1" s="1"/>
  <c r="M466" i="1"/>
  <c r="R466" i="1" s="1"/>
  <c r="N466" i="1"/>
  <c r="Q466" i="1" s="1"/>
  <c r="M467" i="1"/>
  <c r="R467" i="1" s="1"/>
  <c r="N467" i="1"/>
  <c r="Q467" i="1" s="1"/>
  <c r="M468" i="1"/>
  <c r="R468" i="1" s="1"/>
  <c r="N468" i="1"/>
  <c r="Q468" i="1" s="1"/>
  <c r="M469" i="1"/>
  <c r="R469" i="1" s="1"/>
  <c r="N469" i="1"/>
  <c r="Q469" i="1" s="1"/>
  <c r="M470" i="1"/>
  <c r="R470" i="1" s="1"/>
  <c r="N470" i="1"/>
  <c r="Q470" i="1" s="1"/>
  <c r="M471" i="1"/>
  <c r="R471" i="1" s="1"/>
  <c r="N471" i="1"/>
  <c r="Q471" i="1" s="1"/>
  <c r="M472" i="1"/>
  <c r="R472" i="1" s="1"/>
  <c r="N472" i="1"/>
  <c r="Q472" i="1" s="1"/>
  <c r="M473" i="1"/>
  <c r="R473" i="1" s="1"/>
  <c r="N473" i="1"/>
  <c r="Q473" i="1" s="1"/>
  <c r="M474" i="1"/>
  <c r="R474" i="1" s="1"/>
  <c r="N474" i="1"/>
  <c r="Q474" i="1" s="1"/>
  <c r="M475" i="1"/>
  <c r="R475" i="1" s="1"/>
  <c r="N475" i="1"/>
  <c r="Q475" i="1" s="1"/>
  <c r="M476" i="1"/>
  <c r="R476" i="1" s="1"/>
  <c r="N476" i="1"/>
  <c r="Q476" i="1" s="1"/>
  <c r="M477" i="1"/>
  <c r="R477" i="1" s="1"/>
  <c r="N477" i="1"/>
  <c r="Q477" i="1" s="1"/>
  <c r="M478" i="1"/>
  <c r="R478" i="1" s="1"/>
  <c r="N478" i="1"/>
  <c r="Q478" i="1" s="1"/>
  <c r="M479" i="1"/>
  <c r="R479" i="1" s="1"/>
  <c r="N479" i="1"/>
  <c r="Q479" i="1" s="1"/>
  <c r="M480" i="1"/>
  <c r="R480" i="1" s="1"/>
  <c r="N480" i="1"/>
  <c r="Q480" i="1" s="1"/>
  <c r="M481" i="1"/>
  <c r="R481" i="1" s="1"/>
  <c r="N481" i="1"/>
  <c r="Q481" i="1" s="1"/>
  <c r="M482" i="1"/>
  <c r="R482" i="1" s="1"/>
  <c r="N482" i="1"/>
  <c r="Q482" i="1" s="1"/>
  <c r="M483" i="1"/>
  <c r="R483" i="1" s="1"/>
  <c r="N483" i="1"/>
  <c r="Q483" i="1" s="1"/>
  <c r="M484" i="1"/>
  <c r="R484" i="1" s="1"/>
  <c r="N484" i="1"/>
  <c r="Q484" i="1" s="1"/>
  <c r="M485" i="1"/>
  <c r="R485" i="1" s="1"/>
  <c r="N485" i="1"/>
  <c r="Q485" i="1" s="1"/>
  <c r="M486" i="1"/>
  <c r="R486" i="1" s="1"/>
  <c r="N486" i="1"/>
  <c r="Q486" i="1" s="1"/>
  <c r="M487" i="1"/>
  <c r="R487" i="1" s="1"/>
  <c r="N487" i="1"/>
  <c r="Q487" i="1" s="1"/>
  <c r="M488" i="1"/>
  <c r="R488" i="1" s="1"/>
  <c r="N488" i="1"/>
  <c r="Q488" i="1" s="1"/>
  <c r="M489" i="1"/>
  <c r="R489" i="1" s="1"/>
  <c r="N489" i="1"/>
  <c r="Q489" i="1" s="1"/>
  <c r="M490" i="1"/>
  <c r="R490" i="1" s="1"/>
  <c r="N490" i="1"/>
  <c r="Q490" i="1" s="1"/>
  <c r="M491" i="1"/>
  <c r="R491" i="1" s="1"/>
  <c r="N491" i="1"/>
  <c r="Q491" i="1" s="1"/>
  <c r="M492" i="1"/>
  <c r="R492" i="1" s="1"/>
  <c r="N492" i="1"/>
  <c r="Q492" i="1" s="1"/>
  <c r="M493" i="1"/>
  <c r="R493" i="1" s="1"/>
  <c r="N493" i="1"/>
  <c r="Q493" i="1" s="1"/>
  <c r="M494" i="1"/>
  <c r="R494" i="1" s="1"/>
  <c r="N494" i="1"/>
  <c r="Q494" i="1" s="1"/>
  <c r="M495" i="1"/>
  <c r="R495" i="1" s="1"/>
  <c r="N495" i="1"/>
  <c r="Q495" i="1" s="1"/>
  <c r="M496" i="1"/>
  <c r="R496" i="1" s="1"/>
  <c r="N496" i="1"/>
  <c r="Q496" i="1" s="1"/>
  <c r="M497" i="1"/>
  <c r="R497" i="1" s="1"/>
  <c r="N497" i="1"/>
  <c r="Q497" i="1" s="1"/>
  <c r="M498" i="1"/>
  <c r="R498" i="1" s="1"/>
  <c r="N498" i="1"/>
  <c r="Q498" i="1" s="1"/>
  <c r="M499" i="1"/>
  <c r="R499" i="1" s="1"/>
  <c r="N499" i="1"/>
  <c r="Q499" i="1" s="1"/>
  <c r="M500" i="1"/>
  <c r="R500" i="1" s="1"/>
  <c r="N500" i="1"/>
  <c r="Q500" i="1" s="1"/>
  <c r="M501" i="1"/>
  <c r="R501" i="1" s="1"/>
  <c r="N501" i="1"/>
  <c r="Q501" i="1" s="1"/>
  <c r="M502" i="1"/>
  <c r="R502" i="1" s="1"/>
  <c r="N502" i="1"/>
  <c r="Q502" i="1" s="1"/>
  <c r="M503" i="1"/>
  <c r="R503" i="1" s="1"/>
  <c r="N503" i="1"/>
  <c r="Q503" i="1" s="1"/>
  <c r="M504" i="1"/>
  <c r="R504" i="1" s="1"/>
  <c r="N504" i="1"/>
  <c r="Q504" i="1" s="1"/>
  <c r="M505" i="1"/>
  <c r="R505" i="1" s="1"/>
  <c r="N505" i="1"/>
  <c r="Q505" i="1" s="1"/>
  <c r="M506" i="1"/>
  <c r="R506" i="1" s="1"/>
  <c r="N506" i="1"/>
  <c r="Q506" i="1" s="1"/>
  <c r="M507" i="1"/>
  <c r="R507" i="1" s="1"/>
  <c r="N507" i="1"/>
  <c r="Q507" i="1" s="1"/>
  <c r="M508" i="1"/>
  <c r="R508" i="1" s="1"/>
  <c r="N508" i="1"/>
  <c r="Q508" i="1" s="1"/>
  <c r="M509" i="1"/>
  <c r="R509" i="1" s="1"/>
  <c r="N509" i="1"/>
  <c r="Q509" i="1" s="1"/>
  <c r="M510" i="1"/>
  <c r="R510" i="1" s="1"/>
  <c r="N510" i="1"/>
  <c r="Q510" i="1" s="1"/>
  <c r="M511" i="1"/>
  <c r="R511" i="1" s="1"/>
  <c r="N511" i="1"/>
  <c r="Q511" i="1" s="1"/>
  <c r="M512" i="1"/>
  <c r="R512" i="1" s="1"/>
  <c r="N512" i="1"/>
  <c r="Q512" i="1" s="1"/>
  <c r="M513" i="1"/>
  <c r="R513" i="1" s="1"/>
  <c r="N513" i="1"/>
  <c r="Q513" i="1" s="1"/>
  <c r="M514" i="1"/>
  <c r="R514" i="1" s="1"/>
  <c r="N514" i="1"/>
  <c r="Q514" i="1" s="1"/>
  <c r="M515" i="1"/>
  <c r="R515" i="1" s="1"/>
  <c r="N515" i="1"/>
  <c r="Q515" i="1" s="1"/>
  <c r="M516" i="1"/>
  <c r="R516" i="1" s="1"/>
  <c r="N516" i="1"/>
  <c r="Q516" i="1" s="1"/>
  <c r="M517" i="1"/>
  <c r="R517" i="1" s="1"/>
  <c r="N517" i="1"/>
  <c r="Q517" i="1" s="1"/>
  <c r="M518" i="1"/>
  <c r="R518" i="1" s="1"/>
  <c r="N518" i="1"/>
  <c r="Q518" i="1" s="1"/>
  <c r="M519" i="1"/>
  <c r="R519" i="1" s="1"/>
  <c r="N519" i="1"/>
  <c r="Q519" i="1" s="1"/>
  <c r="M520" i="1"/>
  <c r="R520" i="1" s="1"/>
  <c r="N520" i="1"/>
  <c r="Q520" i="1" s="1"/>
  <c r="M521" i="1"/>
  <c r="R521" i="1" s="1"/>
  <c r="N521" i="1"/>
  <c r="Q521" i="1" s="1"/>
  <c r="M522" i="1"/>
  <c r="R522" i="1" s="1"/>
  <c r="N522" i="1"/>
  <c r="Q522" i="1" s="1"/>
  <c r="M523" i="1"/>
  <c r="R523" i="1" s="1"/>
  <c r="N523" i="1"/>
  <c r="Q523" i="1" s="1"/>
  <c r="M524" i="1"/>
  <c r="R524" i="1" s="1"/>
  <c r="N524" i="1"/>
  <c r="Q524" i="1" s="1"/>
  <c r="M525" i="1"/>
  <c r="R525" i="1" s="1"/>
  <c r="N525" i="1"/>
  <c r="Q525" i="1" s="1"/>
  <c r="M526" i="1"/>
  <c r="R526" i="1" s="1"/>
  <c r="N526" i="1"/>
  <c r="Q526" i="1" s="1"/>
  <c r="M527" i="1"/>
  <c r="R527" i="1" s="1"/>
  <c r="N527" i="1"/>
  <c r="Q527" i="1" s="1"/>
  <c r="M528" i="1"/>
  <c r="R528" i="1" s="1"/>
  <c r="N528" i="1"/>
  <c r="Q528" i="1" s="1"/>
  <c r="M529" i="1"/>
  <c r="R529" i="1" s="1"/>
  <c r="N529" i="1"/>
  <c r="Q529" i="1" s="1"/>
  <c r="M530" i="1"/>
  <c r="R530" i="1" s="1"/>
  <c r="N530" i="1"/>
  <c r="Q530" i="1" s="1"/>
  <c r="M531" i="1"/>
  <c r="R531" i="1" s="1"/>
  <c r="N531" i="1"/>
  <c r="Q531" i="1" s="1"/>
  <c r="M532" i="1"/>
  <c r="R532" i="1" s="1"/>
  <c r="N532" i="1"/>
  <c r="Q532" i="1" s="1"/>
  <c r="M533" i="1"/>
  <c r="R533" i="1" s="1"/>
  <c r="N533" i="1"/>
  <c r="Q533" i="1" s="1"/>
  <c r="M534" i="1"/>
  <c r="R534" i="1" s="1"/>
  <c r="N534" i="1"/>
  <c r="Q534" i="1" s="1"/>
  <c r="M535" i="1"/>
  <c r="R535" i="1" s="1"/>
  <c r="N535" i="1"/>
  <c r="Q535" i="1" s="1"/>
  <c r="M536" i="1"/>
  <c r="R536" i="1" s="1"/>
  <c r="N536" i="1"/>
  <c r="Q536" i="1" s="1"/>
  <c r="M537" i="1"/>
  <c r="R537" i="1" s="1"/>
  <c r="N537" i="1"/>
  <c r="Q537" i="1" s="1"/>
  <c r="M538" i="1"/>
  <c r="R538" i="1" s="1"/>
  <c r="N538" i="1"/>
  <c r="Q538" i="1" s="1"/>
  <c r="M539" i="1"/>
  <c r="R539" i="1" s="1"/>
  <c r="N539" i="1"/>
  <c r="Q539" i="1" s="1"/>
  <c r="M540" i="1"/>
  <c r="R540" i="1" s="1"/>
  <c r="N540" i="1"/>
  <c r="Q540" i="1" s="1"/>
  <c r="M541" i="1"/>
  <c r="R541" i="1" s="1"/>
  <c r="N541" i="1"/>
  <c r="Q541" i="1" s="1"/>
  <c r="M542" i="1"/>
  <c r="R542" i="1" s="1"/>
  <c r="N542" i="1"/>
  <c r="Q542" i="1" s="1"/>
  <c r="M543" i="1"/>
  <c r="R543" i="1" s="1"/>
  <c r="N543" i="1"/>
  <c r="Q543" i="1" s="1"/>
  <c r="M544" i="1"/>
  <c r="R544" i="1" s="1"/>
  <c r="N544" i="1"/>
  <c r="Q544" i="1" s="1"/>
  <c r="M545" i="1"/>
  <c r="R545" i="1" s="1"/>
  <c r="N545" i="1"/>
  <c r="Q545" i="1" s="1"/>
  <c r="M546" i="1"/>
  <c r="R546" i="1" s="1"/>
  <c r="N546" i="1"/>
  <c r="Q546" i="1" s="1"/>
  <c r="M547" i="1"/>
  <c r="R547" i="1" s="1"/>
  <c r="N547" i="1"/>
  <c r="Q547" i="1" s="1"/>
  <c r="M548" i="1"/>
  <c r="R548" i="1" s="1"/>
  <c r="N548" i="1"/>
  <c r="Q548" i="1" s="1"/>
  <c r="M549" i="1"/>
  <c r="R549" i="1" s="1"/>
  <c r="N549" i="1"/>
  <c r="Q549" i="1" s="1"/>
  <c r="M550" i="1"/>
  <c r="R550" i="1" s="1"/>
  <c r="N550" i="1"/>
  <c r="Q550" i="1" s="1"/>
  <c r="M551" i="1"/>
  <c r="R551" i="1" s="1"/>
  <c r="N551" i="1"/>
  <c r="Q551" i="1" s="1"/>
  <c r="M552" i="1"/>
  <c r="R552" i="1" s="1"/>
  <c r="N552" i="1"/>
  <c r="Q552" i="1" s="1"/>
  <c r="M553" i="1"/>
  <c r="R553" i="1" s="1"/>
  <c r="N553" i="1"/>
  <c r="Q553" i="1" s="1"/>
  <c r="M554" i="1"/>
  <c r="R554" i="1" s="1"/>
  <c r="N554" i="1"/>
  <c r="Q554" i="1" s="1"/>
  <c r="M555" i="1"/>
  <c r="R555" i="1" s="1"/>
  <c r="N555" i="1"/>
  <c r="Q555" i="1" s="1"/>
  <c r="M556" i="1"/>
  <c r="R556" i="1" s="1"/>
  <c r="N556" i="1"/>
  <c r="Q556" i="1" s="1"/>
  <c r="M557" i="1"/>
  <c r="R557" i="1" s="1"/>
  <c r="N557" i="1"/>
  <c r="Q557" i="1" s="1"/>
  <c r="M558" i="1"/>
  <c r="R558" i="1" s="1"/>
  <c r="N558" i="1"/>
  <c r="Q558" i="1" s="1"/>
  <c r="M559" i="1"/>
  <c r="R559" i="1" s="1"/>
  <c r="N559" i="1"/>
  <c r="Q559" i="1" s="1"/>
  <c r="M560" i="1"/>
  <c r="R560" i="1" s="1"/>
  <c r="N560" i="1"/>
  <c r="Q560" i="1" s="1"/>
  <c r="M561" i="1"/>
  <c r="R561" i="1" s="1"/>
  <c r="N561" i="1"/>
  <c r="Q561" i="1" s="1"/>
  <c r="M562" i="1"/>
  <c r="R562" i="1" s="1"/>
  <c r="N562" i="1"/>
  <c r="Q562" i="1" s="1"/>
  <c r="M563" i="1"/>
  <c r="R563" i="1" s="1"/>
  <c r="N563" i="1"/>
  <c r="Q563" i="1" s="1"/>
  <c r="M564" i="1"/>
  <c r="R564" i="1" s="1"/>
  <c r="N564" i="1"/>
  <c r="Q564" i="1" s="1"/>
  <c r="M565" i="1"/>
  <c r="R565" i="1" s="1"/>
  <c r="N565" i="1"/>
  <c r="Q565" i="1" s="1"/>
  <c r="M566" i="1"/>
  <c r="R566" i="1" s="1"/>
  <c r="N566" i="1"/>
  <c r="Q566" i="1" s="1"/>
  <c r="M567" i="1"/>
  <c r="R567" i="1" s="1"/>
  <c r="N567" i="1"/>
  <c r="Q567" i="1" s="1"/>
  <c r="M568" i="1"/>
  <c r="R568" i="1" s="1"/>
  <c r="N568" i="1"/>
  <c r="Q568" i="1" s="1"/>
  <c r="M569" i="1"/>
  <c r="R569" i="1" s="1"/>
  <c r="N569" i="1"/>
  <c r="Q569" i="1" s="1"/>
  <c r="M570" i="1"/>
  <c r="R570" i="1" s="1"/>
  <c r="N570" i="1"/>
  <c r="Q570" i="1" s="1"/>
  <c r="M571" i="1"/>
  <c r="R571" i="1" s="1"/>
  <c r="N571" i="1"/>
  <c r="Q571" i="1" s="1"/>
  <c r="M572" i="1"/>
  <c r="R572" i="1" s="1"/>
  <c r="N572" i="1"/>
  <c r="Q572" i="1" s="1"/>
  <c r="M573" i="1"/>
  <c r="R573" i="1" s="1"/>
  <c r="N573" i="1"/>
  <c r="Q573" i="1" s="1"/>
  <c r="M574" i="1"/>
  <c r="R574" i="1" s="1"/>
  <c r="N574" i="1"/>
  <c r="Q574" i="1" s="1"/>
  <c r="M575" i="1"/>
  <c r="R575" i="1" s="1"/>
  <c r="N575" i="1"/>
  <c r="Q575" i="1" s="1"/>
  <c r="M576" i="1"/>
  <c r="R576" i="1" s="1"/>
  <c r="N576" i="1"/>
  <c r="Q576" i="1" s="1"/>
  <c r="M577" i="1"/>
  <c r="R577" i="1" s="1"/>
  <c r="N577" i="1"/>
  <c r="Q577" i="1" s="1"/>
  <c r="M578" i="1"/>
  <c r="R578" i="1" s="1"/>
  <c r="N578" i="1"/>
  <c r="Q578" i="1" s="1"/>
  <c r="M579" i="1"/>
  <c r="R579" i="1" s="1"/>
  <c r="N579" i="1"/>
  <c r="Q579" i="1" s="1"/>
  <c r="M580" i="1"/>
  <c r="R580" i="1" s="1"/>
  <c r="N580" i="1"/>
  <c r="Q580" i="1" s="1"/>
  <c r="M581" i="1"/>
  <c r="R581" i="1" s="1"/>
  <c r="N581" i="1"/>
  <c r="Q581" i="1" s="1"/>
  <c r="M582" i="1"/>
  <c r="R582" i="1" s="1"/>
  <c r="N582" i="1"/>
  <c r="Q582" i="1" s="1"/>
  <c r="M583" i="1"/>
  <c r="R583" i="1" s="1"/>
  <c r="N583" i="1"/>
  <c r="Q583" i="1" s="1"/>
  <c r="M584" i="1"/>
  <c r="R584" i="1" s="1"/>
  <c r="N584" i="1"/>
  <c r="Q584" i="1" s="1"/>
  <c r="M585" i="1"/>
  <c r="R585" i="1" s="1"/>
  <c r="N585" i="1"/>
  <c r="Q585" i="1" s="1"/>
  <c r="M586" i="1"/>
  <c r="R586" i="1" s="1"/>
  <c r="N586" i="1"/>
  <c r="Q586" i="1" s="1"/>
  <c r="M587" i="1"/>
  <c r="R587" i="1" s="1"/>
  <c r="N587" i="1"/>
  <c r="Q587" i="1" s="1"/>
  <c r="M588" i="1"/>
  <c r="R588" i="1" s="1"/>
  <c r="N588" i="1"/>
  <c r="Q588" i="1" s="1"/>
  <c r="M589" i="1"/>
  <c r="R589" i="1" s="1"/>
  <c r="N589" i="1"/>
  <c r="Q589" i="1" s="1"/>
  <c r="M590" i="1"/>
  <c r="R590" i="1" s="1"/>
  <c r="N590" i="1"/>
  <c r="Q590" i="1" s="1"/>
  <c r="M591" i="1"/>
  <c r="R591" i="1" s="1"/>
  <c r="N591" i="1"/>
  <c r="Q591" i="1" s="1"/>
  <c r="M592" i="1"/>
  <c r="R592" i="1" s="1"/>
  <c r="N592" i="1"/>
  <c r="Q592" i="1" s="1"/>
  <c r="M593" i="1"/>
  <c r="R593" i="1" s="1"/>
  <c r="N593" i="1"/>
  <c r="Q593" i="1" s="1"/>
  <c r="M594" i="1"/>
  <c r="R594" i="1" s="1"/>
  <c r="N594" i="1"/>
  <c r="Q594" i="1" s="1"/>
  <c r="M595" i="1"/>
  <c r="R595" i="1" s="1"/>
  <c r="N595" i="1"/>
  <c r="Q595" i="1" s="1"/>
  <c r="M596" i="1"/>
  <c r="R596" i="1" s="1"/>
  <c r="N596" i="1"/>
  <c r="Q596" i="1" s="1"/>
  <c r="M597" i="1"/>
  <c r="R597" i="1" s="1"/>
  <c r="N597" i="1"/>
  <c r="Q597" i="1" s="1"/>
  <c r="M598" i="1"/>
  <c r="R598" i="1" s="1"/>
  <c r="N598" i="1"/>
  <c r="Q598" i="1" s="1"/>
  <c r="M599" i="1"/>
  <c r="R599" i="1" s="1"/>
  <c r="N599" i="1"/>
  <c r="Q599" i="1" s="1"/>
  <c r="M600" i="1"/>
  <c r="R600" i="1" s="1"/>
  <c r="N600" i="1"/>
  <c r="Q600" i="1" s="1"/>
  <c r="M601" i="1"/>
  <c r="R601" i="1" s="1"/>
  <c r="N601" i="1"/>
  <c r="Q601" i="1" s="1"/>
  <c r="M602" i="1"/>
  <c r="R602" i="1" s="1"/>
  <c r="N602" i="1"/>
  <c r="Q602" i="1" s="1"/>
  <c r="M603" i="1"/>
  <c r="R603" i="1" s="1"/>
  <c r="N603" i="1"/>
  <c r="Q603" i="1" s="1"/>
  <c r="M604" i="1"/>
  <c r="R604" i="1" s="1"/>
  <c r="N604" i="1"/>
  <c r="Q604" i="1" s="1"/>
  <c r="M605" i="1"/>
  <c r="R605" i="1" s="1"/>
  <c r="N605" i="1"/>
  <c r="Q605" i="1" s="1"/>
  <c r="M606" i="1"/>
  <c r="R606" i="1" s="1"/>
  <c r="N606" i="1"/>
  <c r="Q606" i="1" s="1"/>
  <c r="M607" i="1"/>
  <c r="R607" i="1" s="1"/>
  <c r="N607" i="1"/>
  <c r="Q607" i="1" s="1"/>
  <c r="M608" i="1"/>
  <c r="R608" i="1" s="1"/>
  <c r="N608" i="1"/>
  <c r="Q608" i="1" s="1"/>
  <c r="M609" i="1"/>
  <c r="R609" i="1" s="1"/>
  <c r="N609" i="1"/>
  <c r="Q609" i="1" s="1"/>
  <c r="M610" i="1"/>
  <c r="R610" i="1" s="1"/>
  <c r="N610" i="1"/>
  <c r="Q610" i="1" s="1"/>
  <c r="M611" i="1"/>
  <c r="R611" i="1" s="1"/>
  <c r="N611" i="1"/>
  <c r="Q611" i="1" s="1"/>
  <c r="M612" i="1"/>
  <c r="R612" i="1" s="1"/>
  <c r="N612" i="1"/>
  <c r="Q612" i="1" s="1"/>
  <c r="M613" i="1"/>
  <c r="R613" i="1" s="1"/>
  <c r="N613" i="1"/>
  <c r="Q613" i="1" s="1"/>
  <c r="M614" i="1"/>
  <c r="R614" i="1" s="1"/>
  <c r="N614" i="1"/>
  <c r="Q614" i="1" s="1"/>
  <c r="M615" i="1"/>
  <c r="R615" i="1" s="1"/>
  <c r="N615" i="1"/>
  <c r="Q615" i="1" s="1"/>
  <c r="M616" i="1"/>
  <c r="R616" i="1" s="1"/>
  <c r="N616" i="1"/>
  <c r="Q616" i="1" s="1"/>
  <c r="M617" i="1"/>
  <c r="R617" i="1" s="1"/>
  <c r="N617" i="1"/>
  <c r="Q617" i="1" s="1"/>
  <c r="M618" i="1"/>
  <c r="R618" i="1" s="1"/>
  <c r="N618" i="1"/>
  <c r="Q618" i="1" s="1"/>
  <c r="M619" i="1"/>
  <c r="R619" i="1" s="1"/>
  <c r="N619" i="1"/>
  <c r="Q619" i="1" s="1"/>
  <c r="M620" i="1"/>
  <c r="R620" i="1" s="1"/>
  <c r="N620" i="1"/>
  <c r="Q620" i="1" s="1"/>
  <c r="M621" i="1"/>
  <c r="R621" i="1" s="1"/>
  <c r="N621" i="1"/>
  <c r="Q621" i="1" s="1"/>
  <c r="M622" i="1"/>
  <c r="R622" i="1" s="1"/>
  <c r="N622" i="1"/>
  <c r="Q622" i="1" s="1"/>
  <c r="M623" i="1"/>
  <c r="R623" i="1" s="1"/>
  <c r="N623" i="1"/>
  <c r="Q623" i="1" s="1"/>
  <c r="M624" i="1"/>
  <c r="R624" i="1" s="1"/>
  <c r="N624" i="1"/>
  <c r="Q624" i="1" s="1"/>
  <c r="M625" i="1"/>
  <c r="R625" i="1" s="1"/>
  <c r="N625" i="1"/>
  <c r="Q625" i="1" s="1"/>
  <c r="M626" i="1"/>
  <c r="R626" i="1" s="1"/>
  <c r="N626" i="1"/>
  <c r="Q626" i="1" s="1"/>
  <c r="M627" i="1"/>
  <c r="R627" i="1" s="1"/>
  <c r="N627" i="1"/>
  <c r="Q627" i="1" s="1"/>
  <c r="M628" i="1"/>
  <c r="R628" i="1" s="1"/>
  <c r="N628" i="1"/>
  <c r="Q628" i="1" s="1"/>
  <c r="M629" i="1"/>
  <c r="R629" i="1" s="1"/>
  <c r="N629" i="1"/>
  <c r="Q629" i="1" s="1"/>
  <c r="M630" i="1"/>
  <c r="R630" i="1" s="1"/>
  <c r="N630" i="1"/>
  <c r="Q630" i="1" s="1"/>
  <c r="M631" i="1"/>
  <c r="R631" i="1" s="1"/>
  <c r="N631" i="1"/>
  <c r="Q631" i="1" s="1"/>
  <c r="M632" i="1"/>
  <c r="R632" i="1" s="1"/>
  <c r="N632" i="1"/>
  <c r="Q632" i="1" s="1"/>
  <c r="M633" i="1"/>
  <c r="R633" i="1" s="1"/>
  <c r="N633" i="1"/>
  <c r="Q633" i="1" s="1"/>
  <c r="M634" i="1"/>
  <c r="R634" i="1" s="1"/>
  <c r="N634" i="1"/>
  <c r="Q634" i="1" s="1"/>
  <c r="M635" i="1"/>
  <c r="R635" i="1" s="1"/>
  <c r="N635" i="1"/>
  <c r="Q635" i="1" s="1"/>
  <c r="M636" i="1"/>
  <c r="R636" i="1" s="1"/>
  <c r="N636" i="1"/>
  <c r="Q636" i="1" s="1"/>
  <c r="M637" i="1"/>
  <c r="R637" i="1" s="1"/>
  <c r="N637" i="1"/>
  <c r="Q637" i="1" s="1"/>
  <c r="M638" i="1"/>
  <c r="R638" i="1" s="1"/>
  <c r="N638" i="1"/>
  <c r="Q638" i="1" s="1"/>
  <c r="M639" i="1"/>
  <c r="R639" i="1" s="1"/>
  <c r="N639" i="1"/>
  <c r="Q639" i="1" s="1"/>
  <c r="M640" i="1"/>
  <c r="R640" i="1" s="1"/>
  <c r="N640" i="1"/>
  <c r="Q640" i="1" s="1"/>
  <c r="M641" i="1"/>
  <c r="R641" i="1" s="1"/>
  <c r="N641" i="1"/>
  <c r="Q641" i="1" s="1"/>
  <c r="M642" i="1"/>
  <c r="R642" i="1" s="1"/>
  <c r="N642" i="1"/>
  <c r="Q642" i="1" s="1"/>
  <c r="M643" i="1"/>
  <c r="R643" i="1" s="1"/>
  <c r="N643" i="1"/>
  <c r="Q643" i="1" s="1"/>
  <c r="M644" i="1"/>
  <c r="R644" i="1" s="1"/>
  <c r="N644" i="1"/>
  <c r="Q644" i="1" s="1"/>
  <c r="M645" i="1"/>
  <c r="R645" i="1" s="1"/>
  <c r="N645" i="1"/>
  <c r="Q645" i="1" s="1"/>
  <c r="M646" i="1"/>
  <c r="R646" i="1" s="1"/>
  <c r="N646" i="1"/>
  <c r="Q646" i="1" s="1"/>
  <c r="M647" i="1"/>
  <c r="R647" i="1" s="1"/>
  <c r="N647" i="1"/>
  <c r="Q647" i="1" s="1"/>
  <c r="M648" i="1"/>
  <c r="R648" i="1" s="1"/>
  <c r="N648" i="1"/>
  <c r="Q648" i="1" s="1"/>
  <c r="M649" i="1"/>
  <c r="R649" i="1" s="1"/>
  <c r="N649" i="1"/>
  <c r="Q649" i="1" s="1"/>
  <c r="M650" i="1"/>
  <c r="R650" i="1" s="1"/>
  <c r="N650" i="1"/>
  <c r="Q650" i="1" s="1"/>
  <c r="M651" i="1"/>
  <c r="R651" i="1" s="1"/>
  <c r="N651" i="1"/>
  <c r="Q651" i="1" s="1"/>
  <c r="M652" i="1"/>
  <c r="R652" i="1" s="1"/>
  <c r="N652" i="1"/>
  <c r="Q652" i="1" s="1"/>
  <c r="M653" i="1"/>
  <c r="R653" i="1" s="1"/>
  <c r="N653" i="1"/>
  <c r="Q653" i="1" s="1"/>
  <c r="M654" i="1"/>
  <c r="R654" i="1" s="1"/>
  <c r="N654" i="1"/>
  <c r="Q654" i="1" s="1"/>
  <c r="M655" i="1"/>
  <c r="R655" i="1" s="1"/>
  <c r="N655" i="1"/>
  <c r="Q655" i="1" s="1"/>
  <c r="M656" i="1"/>
  <c r="R656" i="1" s="1"/>
  <c r="N656" i="1"/>
  <c r="Q656" i="1" s="1"/>
  <c r="M657" i="1"/>
  <c r="R657" i="1" s="1"/>
  <c r="N657" i="1"/>
  <c r="Q657" i="1" s="1"/>
  <c r="M658" i="1"/>
  <c r="R658" i="1" s="1"/>
  <c r="N658" i="1"/>
  <c r="Q658" i="1" s="1"/>
  <c r="M659" i="1"/>
  <c r="R659" i="1" s="1"/>
  <c r="N659" i="1"/>
  <c r="Q659" i="1" s="1"/>
  <c r="M660" i="1"/>
  <c r="R660" i="1" s="1"/>
  <c r="N660" i="1"/>
  <c r="Q660" i="1" s="1"/>
  <c r="M661" i="1"/>
  <c r="R661" i="1" s="1"/>
  <c r="N661" i="1"/>
  <c r="Q661" i="1" s="1"/>
  <c r="M662" i="1"/>
  <c r="R662" i="1" s="1"/>
  <c r="N662" i="1"/>
  <c r="Q662" i="1" s="1"/>
  <c r="M663" i="1"/>
  <c r="R663" i="1" s="1"/>
  <c r="N663" i="1"/>
  <c r="Q663" i="1" s="1"/>
  <c r="M664" i="1"/>
  <c r="R664" i="1" s="1"/>
  <c r="N664" i="1"/>
  <c r="Q664" i="1" s="1"/>
  <c r="M665" i="1"/>
  <c r="R665" i="1" s="1"/>
  <c r="N665" i="1"/>
  <c r="Q665" i="1" s="1"/>
  <c r="M666" i="1"/>
  <c r="R666" i="1" s="1"/>
  <c r="N666" i="1"/>
  <c r="Q666" i="1" s="1"/>
  <c r="M667" i="1"/>
  <c r="R667" i="1" s="1"/>
  <c r="N667" i="1"/>
  <c r="Q667" i="1" s="1"/>
  <c r="M668" i="1"/>
  <c r="R668" i="1" s="1"/>
  <c r="N668" i="1"/>
  <c r="Q668" i="1" s="1"/>
  <c r="M669" i="1"/>
  <c r="R669" i="1" s="1"/>
  <c r="N669" i="1"/>
  <c r="Q669" i="1" s="1"/>
  <c r="M670" i="1"/>
  <c r="R670" i="1" s="1"/>
  <c r="N670" i="1"/>
  <c r="Q670" i="1" s="1"/>
  <c r="M671" i="1"/>
  <c r="R671" i="1" s="1"/>
  <c r="N671" i="1"/>
  <c r="Q671" i="1" s="1"/>
  <c r="M672" i="1"/>
  <c r="R672" i="1" s="1"/>
  <c r="N672" i="1"/>
  <c r="Q672" i="1" s="1"/>
  <c r="M673" i="1"/>
  <c r="R673" i="1" s="1"/>
  <c r="N673" i="1"/>
  <c r="Q673" i="1" s="1"/>
  <c r="M674" i="1"/>
  <c r="R674" i="1" s="1"/>
  <c r="N674" i="1"/>
  <c r="Q674" i="1" s="1"/>
  <c r="M675" i="1"/>
  <c r="R675" i="1" s="1"/>
  <c r="N675" i="1"/>
  <c r="Q675" i="1" s="1"/>
  <c r="M676" i="1"/>
  <c r="R676" i="1" s="1"/>
  <c r="N676" i="1"/>
  <c r="Q676" i="1" s="1"/>
  <c r="M677" i="1"/>
  <c r="R677" i="1" s="1"/>
  <c r="N677" i="1"/>
  <c r="Q677" i="1" s="1"/>
  <c r="M678" i="1"/>
  <c r="R678" i="1" s="1"/>
  <c r="N678" i="1"/>
  <c r="Q678" i="1" s="1"/>
  <c r="M679" i="1"/>
  <c r="R679" i="1" s="1"/>
  <c r="N679" i="1"/>
  <c r="Q679" i="1" s="1"/>
  <c r="M680" i="1"/>
  <c r="R680" i="1" s="1"/>
  <c r="N680" i="1"/>
  <c r="Q680" i="1" s="1"/>
  <c r="M681" i="1"/>
  <c r="R681" i="1" s="1"/>
  <c r="N681" i="1"/>
  <c r="Q681" i="1" s="1"/>
  <c r="M682" i="1"/>
  <c r="R682" i="1" s="1"/>
  <c r="N682" i="1"/>
  <c r="Q682" i="1" s="1"/>
  <c r="M683" i="1"/>
  <c r="R683" i="1" s="1"/>
  <c r="N683" i="1"/>
  <c r="Q683" i="1" s="1"/>
  <c r="M684" i="1"/>
  <c r="R684" i="1" s="1"/>
  <c r="N684" i="1"/>
  <c r="Q684" i="1" s="1"/>
  <c r="M685" i="1"/>
  <c r="R685" i="1" s="1"/>
  <c r="N685" i="1"/>
  <c r="Q685" i="1" s="1"/>
  <c r="M686" i="1"/>
  <c r="R686" i="1" s="1"/>
  <c r="N686" i="1"/>
  <c r="Q686" i="1" s="1"/>
  <c r="M687" i="1"/>
  <c r="R687" i="1" s="1"/>
  <c r="N687" i="1"/>
  <c r="Q687" i="1" s="1"/>
  <c r="M688" i="1"/>
  <c r="R688" i="1" s="1"/>
  <c r="N688" i="1"/>
  <c r="Q688" i="1" s="1"/>
  <c r="M689" i="1"/>
  <c r="R689" i="1" s="1"/>
  <c r="N689" i="1"/>
  <c r="Q689" i="1" s="1"/>
  <c r="M690" i="1"/>
  <c r="R690" i="1" s="1"/>
  <c r="N690" i="1"/>
  <c r="Q690" i="1" s="1"/>
  <c r="M691" i="1"/>
  <c r="R691" i="1" s="1"/>
  <c r="N691" i="1"/>
  <c r="Q691" i="1" s="1"/>
  <c r="M692" i="1"/>
  <c r="R692" i="1" s="1"/>
  <c r="N692" i="1"/>
  <c r="Q692" i="1" s="1"/>
  <c r="M693" i="1"/>
  <c r="R693" i="1" s="1"/>
  <c r="N693" i="1"/>
  <c r="Q693" i="1" s="1"/>
  <c r="M694" i="1"/>
  <c r="R694" i="1" s="1"/>
  <c r="N694" i="1"/>
  <c r="Q694" i="1" s="1"/>
  <c r="M695" i="1"/>
  <c r="R695" i="1" s="1"/>
  <c r="N695" i="1"/>
  <c r="Q695" i="1" s="1"/>
  <c r="M696" i="1"/>
  <c r="R696" i="1" s="1"/>
  <c r="N696" i="1"/>
  <c r="Q696" i="1" s="1"/>
  <c r="M697" i="1"/>
  <c r="R697" i="1" s="1"/>
  <c r="N697" i="1"/>
  <c r="Q697" i="1" s="1"/>
  <c r="M698" i="1"/>
  <c r="R698" i="1" s="1"/>
  <c r="N698" i="1"/>
  <c r="Q698" i="1" s="1"/>
  <c r="M699" i="1"/>
  <c r="R699" i="1" s="1"/>
  <c r="N699" i="1"/>
  <c r="Q699" i="1" s="1"/>
  <c r="M700" i="1"/>
  <c r="R700" i="1" s="1"/>
  <c r="N700" i="1"/>
  <c r="Q700" i="1" s="1"/>
  <c r="M701" i="1"/>
  <c r="R701" i="1" s="1"/>
  <c r="N701" i="1"/>
  <c r="Q701" i="1" s="1"/>
  <c r="M702" i="1"/>
  <c r="R702" i="1" s="1"/>
  <c r="N702" i="1"/>
  <c r="Q702" i="1" s="1"/>
  <c r="M703" i="1"/>
  <c r="R703" i="1" s="1"/>
  <c r="N703" i="1"/>
  <c r="Q703" i="1" s="1"/>
  <c r="M704" i="1"/>
  <c r="R704" i="1" s="1"/>
  <c r="N704" i="1"/>
  <c r="Q704" i="1" s="1"/>
  <c r="M705" i="1"/>
  <c r="R705" i="1" s="1"/>
  <c r="N705" i="1"/>
  <c r="Q705" i="1" s="1"/>
  <c r="M706" i="1"/>
  <c r="R706" i="1" s="1"/>
  <c r="N706" i="1"/>
  <c r="Q706" i="1" s="1"/>
  <c r="M707" i="1"/>
  <c r="R707" i="1" s="1"/>
  <c r="N707" i="1"/>
  <c r="Q707" i="1" s="1"/>
  <c r="M708" i="1"/>
  <c r="R708" i="1" s="1"/>
  <c r="N708" i="1"/>
  <c r="Q708" i="1" s="1"/>
  <c r="M709" i="1"/>
  <c r="R709" i="1" s="1"/>
  <c r="N709" i="1"/>
  <c r="Q709" i="1" s="1"/>
  <c r="M710" i="1"/>
  <c r="R710" i="1" s="1"/>
  <c r="N710" i="1"/>
  <c r="Q710" i="1" s="1"/>
  <c r="M711" i="1"/>
  <c r="R711" i="1" s="1"/>
  <c r="N711" i="1"/>
  <c r="Q711" i="1" s="1"/>
  <c r="M712" i="1"/>
  <c r="R712" i="1" s="1"/>
  <c r="N712" i="1"/>
  <c r="Q712" i="1" s="1"/>
  <c r="M713" i="1"/>
  <c r="R713" i="1" s="1"/>
  <c r="N713" i="1"/>
  <c r="Q713" i="1" s="1"/>
  <c r="M714" i="1"/>
  <c r="R714" i="1" s="1"/>
  <c r="N714" i="1"/>
  <c r="Q714" i="1" s="1"/>
  <c r="M715" i="1"/>
  <c r="R715" i="1" s="1"/>
  <c r="N715" i="1"/>
  <c r="Q715" i="1" s="1"/>
  <c r="M716" i="1"/>
  <c r="R716" i="1" s="1"/>
  <c r="N716" i="1"/>
  <c r="Q716" i="1" s="1"/>
  <c r="M717" i="1"/>
  <c r="R717" i="1" s="1"/>
  <c r="N717" i="1"/>
  <c r="Q717" i="1" s="1"/>
  <c r="M718" i="1"/>
  <c r="R718" i="1" s="1"/>
  <c r="N718" i="1"/>
  <c r="Q718" i="1" s="1"/>
  <c r="M719" i="1"/>
  <c r="R719" i="1" s="1"/>
  <c r="N719" i="1"/>
  <c r="Q719" i="1" s="1"/>
  <c r="M720" i="1"/>
  <c r="R720" i="1" s="1"/>
  <c r="N720" i="1"/>
  <c r="Q720" i="1" s="1"/>
  <c r="M721" i="1"/>
  <c r="R721" i="1" s="1"/>
  <c r="N721" i="1"/>
  <c r="Q721" i="1" s="1"/>
  <c r="M722" i="1"/>
  <c r="R722" i="1" s="1"/>
  <c r="N722" i="1"/>
  <c r="Q722" i="1" s="1"/>
  <c r="M723" i="1"/>
  <c r="R723" i="1" s="1"/>
  <c r="N723" i="1"/>
  <c r="Q723" i="1" s="1"/>
  <c r="M724" i="1"/>
  <c r="R724" i="1" s="1"/>
  <c r="N724" i="1"/>
  <c r="Q724" i="1" s="1"/>
  <c r="M725" i="1"/>
  <c r="R725" i="1" s="1"/>
  <c r="N725" i="1"/>
  <c r="Q725" i="1" s="1"/>
  <c r="M726" i="1"/>
  <c r="R726" i="1" s="1"/>
  <c r="N726" i="1"/>
  <c r="Q726" i="1" s="1"/>
  <c r="M727" i="1"/>
  <c r="R727" i="1" s="1"/>
  <c r="N727" i="1"/>
  <c r="Q727" i="1" s="1"/>
  <c r="M728" i="1"/>
  <c r="R728" i="1" s="1"/>
  <c r="N728" i="1"/>
  <c r="Q728" i="1" s="1"/>
  <c r="M729" i="1"/>
  <c r="R729" i="1" s="1"/>
  <c r="N729" i="1"/>
  <c r="Q729" i="1" s="1"/>
  <c r="M730" i="1"/>
  <c r="R730" i="1" s="1"/>
  <c r="N730" i="1"/>
  <c r="Q730" i="1" s="1"/>
  <c r="M731" i="1"/>
  <c r="R731" i="1" s="1"/>
  <c r="N731" i="1"/>
  <c r="Q731" i="1" s="1"/>
  <c r="M732" i="1"/>
  <c r="R732" i="1" s="1"/>
  <c r="N732" i="1"/>
  <c r="Q732" i="1" s="1"/>
  <c r="M733" i="1"/>
  <c r="R733" i="1" s="1"/>
  <c r="N733" i="1"/>
  <c r="Q733" i="1" s="1"/>
  <c r="M734" i="1"/>
  <c r="R734" i="1" s="1"/>
  <c r="N734" i="1"/>
  <c r="Q734" i="1" s="1"/>
  <c r="M735" i="1"/>
  <c r="R735" i="1" s="1"/>
  <c r="N735" i="1"/>
  <c r="Q735" i="1" s="1"/>
  <c r="M736" i="1"/>
  <c r="R736" i="1" s="1"/>
  <c r="N736" i="1"/>
  <c r="Q736" i="1" s="1"/>
  <c r="M737" i="1"/>
  <c r="R737" i="1" s="1"/>
  <c r="N737" i="1"/>
  <c r="Q737" i="1" s="1"/>
  <c r="M738" i="1"/>
  <c r="R738" i="1" s="1"/>
  <c r="N738" i="1"/>
  <c r="Q738" i="1" s="1"/>
  <c r="M739" i="1"/>
  <c r="R739" i="1" s="1"/>
  <c r="N739" i="1"/>
  <c r="Q739" i="1" s="1"/>
  <c r="M740" i="1"/>
  <c r="R740" i="1" s="1"/>
  <c r="N740" i="1"/>
  <c r="Q740" i="1" s="1"/>
  <c r="M741" i="1"/>
  <c r="R741" i="1" s="1"/>
  <c r="N741" i="1"/>
  <c r="Q741" i="1" s="1"/>
  <c r="M742" i="1"/>
  <c r="R742" i="1" s="1"/>
  <c r="N742" i="1"/>
  <c r="Q742" i="1" s="1"/>
  <c r="M743" i="1"/>
  <c r="R743" i="1" s="1"/>
  <c r="N743" i="1"/>
  <c r="Q743" i="1" s="1"/>
  <c r="M744" i="1"/>
  <c r="R744" i="1" s="1"/>
  <c r="N744" i="1"/>
  <c r="Q744" i="1" s="1"/>
  <c r="M745" i="1"/>
  <c r="R745" i="1" s="1"/>
  <c r="N745" i="1"/>
  <c r="Q745" i="1" s="1"/>
  <c r="M746" i="1"/>
  <c r="R746" i="1" s="1"/>
  <c r="N746" i="1"/>
  <c r="Q746" i="1" s="1"/>
  <c r="M747" i="1"/>
  <c r="R747" i="1" s="1"/>
  <c r="N747" i="1"/>
  <c r="Q747" i="1" s="1"/>
  <c r="M748" i="1"/>
  <c r="R748" i="1" s="1"/>
  <c r="N748" i="1"/>
  <c r="Q748" i="1" s="1"/>
  <c r="M749" i="1"/>
  <c r="R749" i="1" s="1"/>
  <c r="N749" i="1"/>
  <c r="Q749" i="1" s="1"/>
  <c r="M750" i="1"/>
  <c r="R750" i="1" s="1"/>
  <c r="N750" i="1"/>
  <c r="Q750" i="1" s="1"/>
  <c r="M751" i="1"/>
  <c r="R751" i="1" s="1"/>
  <c r="N751" i="1"/>
  <c r="Q751" i="1" s="1"/>
  <c r="M752" i="1"/>
  <c r="R752" i="1" s="1"/>
  <c r="N752" i="1"/>
  <c r="Q752" i="1" s="1"/>
  <c r="M753" i="1"/>
  <c r="R753" i="1" s="1"/>
  <c r="N753" i="1"/>
  <c r="Q753" i="1" s="1"/>
  <c r="M754" i="1"/>
  <c r="R754" i="1" s="1"/>
  <c r="N754" i="1"/>
  <c r="Q754" i="1" s="1"/>
  <c r="M755" i="1"/>
  <c r="R755" i="1" s="1"/>
  <c r="N755" i="1"/>
  <c r="Q755" i="1" s="1"/>
  <c r="M756" i="1"/>
  <c r="R756" i="1" s="1"/>
  <c r="N756" i="1"/>
  <c r="Q756" i="1" s="1"/>
  <c r="M757" i="1"/>
  <c r="R757" i="1" s="1"/>
  <c r="N757" i="1"/>
  <c r="Q757" i="1" s="1"/>
  <c r="M758" i="1"/>
  <c r="R758" i="1" s="1"/>
  <c r="N758" i="1"/>
  <c r="Q758" i="1" s="1"/>
  <c r="M759" i="1"/>
  <c r="R759" i="1" s="1"/>
  <c r="N759" i="1"/>
  <c r="Q759" i="1" s="1"/>
  <c r="M760" i="1"/>
  <c r="R760" i="1" s="1"/>
  <c r="N760" i="1"/>
  <c r="Q760" i="1" s="1"/>
  <c r="M761" i="1"/>
  <c r="R761" i="1" s="1"/>
  <c r="N761" i="1"/>
  <c r="Q761" i="1" s="1"/>
  <c r="M762" i="1"/>
  <c r="R762" i="1" s="1"/>
  <c r="N762" i="1"/>
  <c r="Q762" i="1" s="1"/>
  <c r="M763" i="1"/>
  <c r="R763" i="1" s="1"/>
  <c r="N763" i="1"/>
  <c r="Q763" i="1" s="1"/>
  <c r="M764" i="1"/>
  <c r="R764" i="1" s="1"/>
  <c r="N764" i="1"/>
  <c r="Q764" i="1" s="1"/>
  <c r="M765" i="1"/>
  <c r="R765" i="1" s="1"/>
  <c r="N765" i="1"/>
  <c r="Q765" i="1" s="1"/>
  <c r="M766" i="1"/>
  <c r="R766" i="1" s="1"/>
  <c r="N766" i="1"/>
  <c r="Q766" i="1" s="1"/>
  <c r="M767" i="1"/>
  <c r="R767" i="1" s="1"/>
  <c r="N767" i="1"/>
  <c r="Q767" i="1" s="1"/>
  <c r="M768" i="1"/>
  <c r="R768" i="1" s="1"/>
  <c r="N768" i="1"/>
  <c r="Q768" i="1" s="1"/>
  <c r="M769" i="1"/>
  <c r="R769" i="1" s="1"/>
  <c r="N769" i="1"/>
  <c r="Q769" i="1" s="1"/>
  <c r="M770" i="1"/>
  <c r="R770" i="1" s="1"/>
  <c r="N770" i="1"/>
  <c r="Q770" i="1" s="1"/>
  <c r="M771" i="1"/>
  <c r="R771" i="1" s="1"/>
  <c r="N771" i="1"/>
  <c r="Q771" i="1" s="1"/>
  <c r="M772" i="1"/>
  <c r="R772" i="1" s="1"/>
  <c r="N772" i="1"/>
  <c r="Q772" i="1" s="1"/>
  <c r="M773" i="1"/>
  <c r="R773" i="1" s="1"/>
  <c r="N773" i="1"/>
  <c r="Q773" i="1" s="1"/>
  <c r="M774" i="1"/>
  <c r="R774" i="1" s="1"/>
  <c r="N774" i="1"/>
  <c r="Q774" i="1" s="1"/>
  <c r="M775" i="1"/>
  <c r="R775" i="1" s="1"/>
  <c r="N775" i="1"/>
  <c r="Q775" i="1" s="1"/>
  <c r="M776" i="1"/>
  <c r="R776" i="1" s="1"/>
  <c r="N776" i="1"/>
  <c r="Q776" i="1" s="1"/>
  <c r="M777" i="1"/>
  <c r="R777" i="1" s="1"/>
  <c r="N777" i="1"/>
  <c r="Q777" i="1" s="1"/>
  <c r="M778" i="1"/>
  <c r="R778" i="1" s="1"/>
  <c r="N778" i="1"/>
  <c r="Q778" i="1" s="1"/>
  <c r="M779" i="1"/>
  <c r="R779" i="1" s="1"/>
  <c r="N779" i="1"/>
  <c r="Q779" i="1" s="1"/>
  <c r="M780" i="1"/>
  <c r="R780" i="1" s="1"/>
  <c r="N780" i="1"/>
  <c r="Q780" i="1" s="1"/>
  <c r="M781" i="1"/>
  <c r="R781" i="1" s="1"/>
  <c r="N781" i="1"/>
  <c r="Q781" i="1" s="1"/>
  <c r="M782" i="1"/>
  <c r="R782" i="1" s="1"/>
  <c r="N782" i="1"/>
  <c r="Q782" i="1" s="1"/>
  <c r="M783" i="1"/>
  <c r="R783" i="1" s="1"/>
  <c r="N783" i="1"/>
  <c r="Q783" i="1" s="1"/>
  <c r="M784" i="1"/>
  <c r="R784" i="1" s="1"/>
  <c r="N784" i="1"/>
  <c r="Q784" i="1" s="1"/>
  <c r="M785" i="1"/>
  <c r="R785" i="1" s="1"/>
  <c r="N785" i="1"/>
  <c r="Q785" i="1" s="1"/>
  <c r="M786" i="1"/>
  <c r="R786" i="1" s="1"/>
  <c r="N786" i="1"/>
  <c r="Q786" i="1" s="1"/>
  <c r="M787" i="1"/>
  <c r="R787" i="1" s="1"/>
  <c r="N787" i="1"/>
  <c r="Q787" i="1" s="1"/>
  <c r="M788" i="1"/>
  <c r="R788" i="1" s="1"/>
  <c r="N788" i="1"/>
  <c r="Q788" i="1" s="1"/>
  <c r="M789" i="1"/>
  <c r="R789" i="1" s="1"/>
  <c r="N789" i="1"/>
  <c r="Q789" i="1" s="1"/>
  <c r="M790" i="1"/>
  <c r="R790" i="1" s="1"/>
  <c r="N790" i="1"/>
  <c r="Q790" i="1" s="1"/>
  <c r="M791" i="1"/>
  <c r="R791" i="1" s="1"/>
  <c r="N791" i="1"/>
  <c r="Q791" i="1" s="1"/>
  <c r="M792" i="1"/>
  <c r="R792" i="1" s="1"/>
  <c r="N792" i="1"/>
  <c r="Q792" i="1" s="1"/>
  <c r="M793" i="1"/>
  <c r="R793" i="1" s="1"/>
  <c r="N793" i="1"/>
  <c r="Q793" i="1" s="1"/>
  <c r="M794" i="1"/>
  <c r="R794" i="1" s="1"/>
  <c r="N794" i="1"/>
  <c r="Q794" i="1" s="1"/>
  <c r="M795" i="1"/>
  <c r="R795" i="1" s="1"/>
  <c r="N795" i="1"/>
  <c r="Q795" i="1" s="1"/>
  <c r="M796" i="1"/>
  <c r="R796" i="1" s="1"/>
  <c r="N796" i="1"/>
  <c r="Q796" i="1" s="1"/>
  <c r="M797" i="1"/>
  <c r="R797" i="1" s="1"/>
  <c r="N797" i="1"/>
  <c r="Q797" i="1" s="1"/>
  <c r="M798" i="1"/>
  <c r="R798" i="1" s="1"/>
  <c r="N798" i="1"/>
  <c r="Q798" i="1" s="1"/>
  <c r="M799" i="1"/>
  <c r="R799" i="1" s="1"/>
  <c r="N799" i="1"/>
  <c r="Q799" i="1" s="1"/>
  <c r="M800" i="1"/>
  <c r="R800" i="1" s="1"/>
  <c r="N800" i="1"/>
  <c r="Q800" i="1" s="1"/>
  <c r="M801" i="1"/>
  <c r="R801" i="1" s="1"/>
  <c r="N801" i="1"/>
  <c r="Q801" i="1" s="1"/>
  <c r="M802" i="1"/>
  <c r="R802" i="1" s="1"/>
  <c r="N802" i="1"/>
  <c r="Q802" i="1" s="1"/>
  <c r="M803" i="1"/>
  <c r="R803" i="1" s="1"/>
  <c r="N803" i="1"/>
  <c r="Q803" i="1" s="1"/>
  <c r="M804" i="1"/>
  <c r="R804" i="1" s="1"/>
  <c r="N804" i="1"/>
  <c r="Q804" i="1" s="1"/>
  <c r="M805" i="1"/>
  <c r="R805" i="1" s="1"/>
  <c r="N805" i="1"/>
  <c r="Q805" i="1" s="1"/>
  <c r="M806" i="1"/>
  <c r="R806" i="1" s="1"/>
  <c r="N806" i="1"/>
  <c r="Q806" i="1" s="1"/>
  <c r="M807" i="1"/>
  <c r="R807" i="1" s="1"/>
  <c r="N807" i="1"/>
  <c r="Q807" i="1" s="1"/>
  <c r="M808" i="1"/>
  <c r="R808" i="1" s="1"/>
  <c r="N808" i="1"/>
  <c r="Q808" i="1" s="1"/>
  <c r="M809" i="1"/>
  <c r="R809" i="1" s="1"/>
  <c r="N809" i="1"/>
  <c r="Q809" i="1" s="1"/>
  <c r="M810" i="1"/>
  <c r="R810" i="1" s="1"/>
  <c r="N810" i="1"/>
  <c r="Q810" i="1" s="1"/>
  <c r="M811" i="1"/>
  <c r="R811" i="1" s="1"/>
  <c r="N811" i="1"/>
  <c r="Q811" i="1" s="1"/>
  <c r="M812" i="1"/>
  <c r="R812" i="1" s="1"/>
  <c r="N812" i="1"/>
  <c r="Q812" i="1" s="1"/>
  <c r="M813" i="1"/>
  <c r="R813" i="1" s="1"/>
  <c r="N813" i="1"/>
  <c r="Q813" i="1" s="1"/>
  <c r="M814" i="1"/>
  <c r="R814" i="1" s="1"/>
  <c r="N814" i="1"/>
  <c r="Q814" i="1" s="1"/>
  <c r="M815" i="1"/>
  <c r="R815" i="1" s="1"/>
  <c r="N815" i="1"/>
  <c r="Q815" i="1" s="1"/>
  <c r="M816" i="1"/>
  <c r="R816" i="1" s="1"/>
  <c r="N816" i="1"/>
  <c r="Q816" i="1" s="1"/>
  <c r="M817" i="1"/>
  <c r="R817" i="1" s="1"/>
  <c r="N817" i="1"/>
  <c r="Q817" i="1" s="1"/>
  <c r="M818" i="1"/>
  <c r="R818" i="1" s="1"/>
  <c r="N818" i="1"/>
  <c r="Q818" i="1" s="1"/>
  <c r="M819" i="1"/>
  <c r="R819" i="1" s="1"/>
  <c r="N819" i="1"/>
  <c r="Q819" i="1" s="1"/>
  <c r="M820" i="1"/>
  <c r="R820" i="1" s="1"/>
  <c r="N820" i="1"/>
  <c r="Q820" i="1" s="1"/>
  <c r="M821" i="1"/>
  <c r="R821" i="1" s="1"/>
  <c r="N821" i="1"/>
  <c r="Q821" i="1" s="1"/>
  <c r="M822" i="1"/>
  <c r="R822" i="1" s="1"/>
  <c r="N822" i="1"/>
  <c r="Q822" i="1" s="1"/>
  <c r="M823" i="1"/>
  <c r="R823" i="1" s="1"/>
  <c r="N823" i="1"/>
  <c r="Q823" i="1" s="1"/>
  <c r="M824" i="1"/>
  <c r="R824" i="1" s="1"/>
  <c r="N824" i="1"/>
  <c r="Q824" i="1" s="1"/>
  <c r="M825" i="1"/>
  <c r="R825" i="1" s="1"/>
  <c r="N825" i="1"/>
  <c r="Q825" i="1" s="1"/>
  <c r="M826" i="1"/>
  <c r="R826" i="1" s="1"/>
  <c r="N826" i="1"/>
  <c r="Q826" i="1" s="1"/>
  <c r="M827" i="1"/>
  <c r="R827" i="1" s="1"/>
  <c r="N827" i="1"/>
  <c r="Q827" i="1" s="1"/>
  <c r="M828" i="1"/>
  <c r="R828" i="1" s="1"/>
  <c r="N828" i="1"/>
  <c r="Q828" i="1" s="1"/>
  <c r="M829" i="1"/>
  <c r="R829" i="1" s="1"/>
  <c r="N829" i="1"/>
  <c r="Q829" i="1" s="1"/>
  <c r="M830" i="1"/>
  <c r="R830" i="1" s="1"/>
  <c r="N830" i="1"/>
  <c r="Q830" i="1" s="1"/>
  <c r="M831" i="1"/>
  <c r="R831" i="1" s="1"/>
  <c r="N831" i="1"/>
  <c r="Q831" i="1" s="1"/>
  <c r="M832" i="1"/>
  <c r="R832" i="1" s="1"/>
  <c r="N832" i="1"/>
  <c r="Q832" i="1" s="1"/>
  <c r="M833" i="1"/>
  <c r="R833" i="1" s="1"/>
  <c r="N833" i="1"/>
  <c r="Q833" i="1" s="1"/>
  <c r="M834" i="1"/>
  <c r="R834" i="1" s="1"/>
  <c r="N834" i="1"/>
  <c r="Q834" i="1" s="1"/>
  <c r="M835" i="1"/>
  <c r="R835" i="1" s="1"/>
  <c r="N835" i="1"/>
  <c r="Q835" i="1" s="1"/>
  <c r="M836" i="1"/>
  <c r="R836" i="1" s="1"/>
  <c r="N836" i="1"/>
  <c r="Q836" i="1" s="1"/>
  <c r="M837" i="1"/>
  <c r="R837" i="1" s="1"/>
  <c r="N837" i="1"/>
  <c r="Q837" i="1" s="1"/>
  <c r="M838" i="1"/>
  <c r="R838" i="1" s="1"/>
  <c r="N838" i="1"/>
  <c r="Q838" i="1" s="1"/>
  <c r="M839" i="1"/>
  <c r="R839" i="1" s="1"/>
  <c r="N839" i="1"/>
  <c r="Q839" i="1" s="1"/>
  <c r="M840" i="1"/>
  <c r="R840" i="1" s="1"/>
  <c r="N840" i="1"/>
  <c r="Q840" i="1" s="1"/>
  <c r="M841" i="1"/>
  <c r="R841" i="1" s="1"/>
  <c r="N841" i="1"/>
  <c r="Q841" i="1" s="1"/>
  <c r="M842" i="1"/>
  <c r="R842" i="1" s="1"/>
  <c r="N842" i="1"/>
  <c r="Q842" i="1" s="1"/>
  <c r="M843" i="1"/>
  <c r="R843" i="1" s="1"/>
  <c r="N843" i="1"/>
  <c r="Q843" i="1" s="1"/>
  <c r="M844" i="1"/>
  <c r="R844" i="1" s="1"/>
  <c r="N844" i="1"/>
  <c r="Q844" i="1" s="1"/>
  <c r="M845" i="1"/>
  <c r="R845" i="1" s="1"/>
  <c r="N845" i="1"/>
  <c r="Q845" i="1" s="1"/>
  <c r="M846" i="1"/>
  <c r="R846" i="1" s="1"/>
  <c r="N846" i="1"/>
  <c r="Q846" i="1" s="1"/>
  <c r="M847" i="1"/>
  <c r="R847" i="1" s="1"/>
  <c r="N847" i="1"/>
  <c r="Q847" i="1" s="1"/>
  <c r="M848" i="1"/>
  <c r="R848" i="1" s="1"/>
  <c r="N848" i="1"/>
  <c r="Q848" i="1" s="1"/>
  <c r="M849" i="1"/>
  <c r="R849" i="1" s="1"/>
  <c r="N849" i="1"/>
  <c r="Q849" i="1" s="1"/>
  <c r="M850" i="1"/>
  <c r="R850" i="1" s="1"/>
  <c r="N850" i="1"/>
  <c r="Q850" i="1" s="1"/>
  <c r="M851" i="1"/>
  <c r="R851" i="1" s="1"/>
  <c r="N851" i="1"/>
  <c r="Q851" i="1" s="1"/>
  <c r="M852" i="1"/>
  <c r="R852" i="1" s="1"/>
  <c r="N852" i="1"/>
  <c r="Q852" i="1" s="1"/>
  <c r="M853" i="1"/>
  <c r="R853" i="1" s="1"/>
  <c r="N853" i="1"/>
  <c r="Q853" i="1" s="1"/>
  <c r="M854" i="1"/>
  <c r="R854" i="1" s="1"/>
  <c r="N854" i="1"/>
  <c r="Q854" i="1" s="1"/>
  <c r="M855" i="1"/>
  <c r="R855" i="1" s="1"/>
  <c r="N855" i="1"/>
  <c r="Q855" i="1" s="1"/>
  <c r="M856" i="1"/>
  <c r="R856" i="1" s="1"/>
  <c r="N856" i="1"/>
  <c r="Q856" i="1" s="1"/>
  <c r="M857" i="1"/>
  <c r="R857" i="1" s="1"/>
  <c r="N857" i="1"/>
  <c r="Q857" i="1" s="1"/>
  <c r="M858" i="1"/>
  <c r="R858" i="1" s="1"/>
  <c r="N858" i="1"/>
  <c r="Q858" i="1" s="1"/>
  <c r="M859" i="1"/>
  <c r="R859" i="1" s="1"/>
  <c r="N859" i="1"/>
  <c r="Q859" i="1" s="1"/>
  <c r="M860" i="1"/>
  <c r="R860" i="1" s="1"/>
  <c r="N860" i="1"/>
  <c r="Q860" i="1" s="1"/>
  <c r="M861" i="1"/>
  <c r="R861" i="1" s="1"/>
  <c r="N861" i="1"/>
  <c r="Q861" i="1" s="1"/>
  <c r="M862" i="1"/>
  <c r="R862" i="1" s="1"/>
  <c r="N862" i="1"/>
  <c r="Q862" i="1" s="1"/>
  <c r="M863" i="1"/>
  <c r="R863" i="1" s="1"/>
  <c r="N863" i="1"/>
  <c r="Q863" i="1" s="1"/>
  <c r="M864" i="1"/>
  <c r="R864" i="1" s="1"/>
  <c r="N864" i="1"/>
  <c r="Q864" i="1" s="1"/>
  <c r="M865" i="1"/>
  <c r="R865" i="1" s="1"/>
  <c r="N865" i="1"/>
  <c r="Q865" i="1" s="1"/>
  <c r="M866" i="1"/>
  <c r="R866" i="1" s="1"/>
  <c r="N866" i="1"/>
  <c r="Q866" i="1" s="1"/>
  <c r="M867" i="1"/>
  <c r="R867" i="1" s="1"/>
  <c r="N867" i="1"/>
  <c r="Q867" i="1" s="1"/>
  <c r="M868" i="1"/>
  <c r="R868" i="1" s="1"/>
  <c r="N868" i="1"/>
  <c r="Q868" i="1" s="1"/>
  <c r="M869" i="1"/>
  <c r="R869" i="1" s="1"/>
  <c r="N869" i="1"/>
  <c r="Q869" i="1" s="1"/>
  <c r="M870" i="1"/>
  <c r="R870" i="1" s="1"/>
  <c r="N870" i="1"/>
  <c r="Q870" i="1" s="1"/>
  <c r="M871" i="1"/>
  <c r="R871" i="1" s="1"/>
  <c r="N871" i="1"/>
  <c r="Q871" i="1" s="1"/>
  <c r="M872" i="1"/>
  <c r="R872" i="1" s="1"/>
  <c r="N872" i="1"/>
  <c r="Q872" i="1" s="1"/>
  <c r="M873" i="1"/>
  <c r="R873" i="1" s="1"/>
  <c r="N873" i="1"/>
  <c r="Q873" i="1" s="1"/>
  <c r="M874" i="1"/>
  <c r="R874" i="1" s="1"/>
  <c r="N874" i="1"/>
  <c r="Q874" i="1" s="1"/>
  <c r="M875" i="1"/>
  <c r="R875" i="1" s="1"/>
  <c r="N875" i="1"/>
  <c r="Q875" i="1" s="1"/>
  <c r="M876" i="1"/>
  <c r="R876" i="1" s="1"/>
  <c r="N876" i="1"/>
  <c r="Q876" i="1" s="1"/>
  <c r="M877" i="1"/>
  <c r="R877" i="1" s="1"/>
  <c r="N877" i="1"/>
  <c r="Q877" i="1" s="1"/>
  <c r="M878" i="1"/>
  <c r="R878" i="1" s="1"/>
  <c r="N878" i="1"/>
  <c r="Q878" i="1" s="1"/>
  <c r="M879" i="1"/>
  <c r="R879" i="1" s="1"/>
  <c r="N879" i="1"/>
  <c r="Q879" i="1" s="1"/>
  <c r="M880" i="1"/>
  <c r="R880" i="1" s="1"/>
  <c r="N880" i="1"/>
  <c r="Q880" i="1" s="1"/>
  <c r="M881" i="1"/>
  <c r="R881" i="1" s="1"/>
  <c r="N881" i="1"/>
  <c r="Q881" i="1" s="1"/>
  <c r="M882" i="1"/>
  <c r="R882" i="1" s="1"/>
  <c r="N882" i="1"/>
  <c r="Q882" i="1" s="1"/>
  <c r="M883" i="1"/>
  <c r="R883" i="1" s="1"/>
  <c r="N883" i="1"/>
  <c r="Q883" i="1" s="1"/>
  <c r="M884" i="1"/>
  <c r="R884" i="1" s="1"/>
  <c r="N884" i="1"/>
  <c r="Q884" i="1" s="1"/>
  <c r="M885" i="1"/>
  <c r="R885" i="1" s="1"/>
  <c r="N885" i="1"/>
  <c r="Q885" i="1" s="1"/>
  <c r="M886" i="1"/>
  <c r="R886" i="1" s="1"/>
  <c r="N886" i="1"/>
  <c r="Q886" i="1" s="1"/>
  <c r="M887" i="1"/>
  <c r="R887" i="1" s="1"/>
  <c r="N887" i="1"/>
  <c r="Q887" i="1" s="1"/>
  <c r="M888" i="1"/>
  <c r="R888" i="1" s="1"/>
  <c r="N888" i="1"/>
  <c r="Q888" i="1" s="1"/>
  <c r="M889" i="1"/>
  <c r="R889" i="1" s="1"/>
  <c r="N889" i="1"/>
  <c r="Q889" i="1" s="1"/>
  <c r="M890" i="1"/>
  <c r="R890" i="1" s="1"/>
  <c r="N890" i="1"/>
  <c r="Q890" i="1" s="1"/>
  <c r="M891" i="1"/>
  <c r="R891" i="1" s="1"/>
  <c r="N891" i="1"/>
  <c r="Q891" i="1" s="1"/>
  <c r="M892" i="1"/>
  <c r="R892" i="1" s="1"/>
  <c r="N892" i="1"/>
  <c r="Q892" i="1" s="1"/>
  <c r="M893" i="1"/>
  <c r="R893" i="1" s="1"/>
  <c r="N893" i="1"/>
  <c r="Q893" i="1" s="1"/>
  <c r="M894" i="1"/>
  <c r="R894" i="1" s="1"/>
  <c r="N894" i="1"/>
  <c r="Q894" i="1" s="1"/>
  <c r="M895" i="1"/>
  <c r="R895" i="1" s="1"/>
  <c r="N895" i="1"/>
  <c r="Q895" i="1" s="1"/>
  <c r="M896" i="1"/>
  <c r="R896" i="1" s="1"/>
  <c r="N896" i="1"/>
  <c r="Q896" i="1" s="1"/>
  <c r="M897" i="1"/>
  <c r="R897" i="1" s="1"/>
  <c r="N897" i="1"/>
  <c r="Q897" i="1" s="1"/>
  <c r="M898" i="1"/>
  <c r="R898" i="1" s="1"/>
  <c r="N898" i="1"/>
  <c r="Q898" i="1" s="1"/>
  <c r="M899" i="1"/>
  <c r="R899" i="1" s="1"/>
  <c r="N899" i="1"/>
  <c r="Q899" i="1" s="1"/>
  <c r="M900" i="1"/>
  <c r="R900" i="1" s="1"/>
  <c r="N900" i="1"/>
  <c r="Q900" i="1" s="1"/>
  <c r="M901" i="1"/>
  <c r="R901" i="1" s="1"/>
  <c r="N901" i="1"/>
  <c r="Q901" i="1" s="1"/>
  <c r="M902" i="1"/>
  <c r="R902" i="1" s="1"/>
  <c r="N902" i="1"/>
  <c r="Q902" i="1" s="1"/>
  <c r="M903" i="1"/>
  <c r="R903" i="1" s="1"/>
  <c r="N903" i="1"/>
  <c r="Q903" i="1" s="1"/>
  <c r="M904" i="1"/>
  <c r="R904" i="1" s="1"/>
  <c r="N904" i="1"/>
  <c r="Q904" i="1" s="1"/>
  <c r="M905" i="1"/>
  <c r="R905" i="1" s="1"/>
  <c r="N905" i="1"/>
  <c r="Q905" i="1" s="1"/>
  <c r="M906" i="1"/>
  <c r="R906" i="1" s="1"/>
  <c r="N906" i="1"/>
  <c r="Q906" i="1" s="1"/>
  <c r="M907" i="1"/>
  <c r="R907" i="1" s="1"/>
  <c r="N907" i="1"/>
  <c r="Q907" i="1" s="1"/>
  <c r="M908" i="1"/>
  <c r="R908" i="1" s="1"/>
  <c r="N908" i="1"/>
  <c r="Q908" i="1" s="1"/>
  <c r="M909" i="1"/>
  <c r="R909" i="1" s="1"/>
  <c r="N909" i="1"/>
  <c r="Q909" i="1" s="1"/>
  <c r="M910" i="1"/>
  <c r="R910" i="1" s="1"/>
  <c r="N910" i="1"/>
  <c r="Q910" i="1" s="1"/>
  <c r="M911" i="1"/>
  <c r="R911" i="1" s="1"/>
  <c r="N911" i="1"/>
  <c r="Q911" i="1" s="1"/>
  <c r="M912" i="1"/>
  <c r="R912" i="1" s="1"/>
  <c r="N912" i="1"/>
  <c r="Q912" i="1" s="1"/>
  <c r="M913" i="1"/>
  <c r="R913" i="1" s="1"/>
  <c r="N913" i="1"/>
  <c r="Q913" i="1" s="1"/>
  <c r="M914" i="1"/>
  <c r="R914" i="1" s="1"/>
  <c r="N914" i="1"/>
  <c r="Q914" i="1" s="1"/>
  <c r="M915" i="1"/>
  <c r="R915" i="1" s="1"/>
  <c r="N915" i="1"/>
  <c r="Q915" i="1" s="1"/>
  <c r="M916" i="1"/>
  <c r="R916" i="1" s="1"/>
  <c r="N916" i="1"/>
  <c r="Q916" i="1" s="1"/>
  <c r="M917" i="1"/>
  <c r="R917" i="1" s="1"/>
  <c r="N917" i="1"/>
  <c r="Q917" i="1" s="1"/>
  <c r="M918" i="1"/>
  <c r="R918" i="1" s="1"/>
  <c r="N918" i="1"/>
  <c r="Q918" i="1" s="1"/>
  <c r="M919" i="1"/>
  <c r="R919" i="1" s="1"/>
  <c r="N919" i="1"/>
  <c r="Q919" i="1" s="1"/>
  <c r="M920" i="1"/>
  <c r="R920" i="1" s="1"/>
  <c r="N920" i="1"/>
  <c r="Q920" i="1" s="1"/>
  <c r="M921" i="1"/>
  <c r="R921" i="1" s="1"/>
  <c r="N921" i="1"/>
  <c r="Q921" i="1" s="1"/>
  <c r="M922" i="1"/>
  <c r="R922" i="1" s="1"/>
  <c r="N922" i="1"/>
  <c r="Q922" i="1" s="1"/>
  <c r="M923" i="1"/>
  <c r="R923" i="1" s="1"/>
  <c r="N923" i="1"/>
  <c r="Q923" i="1" s="1"/>
  <c r="M924" i="1"/>
  <c r="R924" i="1" s="1"/>
  <c r="N924" i="1"/>
  <c r="Q924" i="1" s="1"/>
  <c r="M925" i="1"/>
  <c r="R925" i="1" s="1"/>
  <c r="N925" i="1"/>
  <c r="Q925" i="1" s="1"/>
  <c r="M926" i="1"/>
  <c r="R926" i="1" s="1"/>
  <c r="N926" i="1"/>
  <c r="Q926" i="1" s="1"/>
  <c r="M927" i="1"/>
  <c r="R927" i="1" s="1"/>
  <c r="N927" i="1"/>
  <c r="Q927" i="1" s="1"/>
  <c r="M928" i="1"/>
  <c r="R928" i="1" s="1"/>
  <c r="N928" i="1"/>
  <c r="Q928" i="1" s="1"/>
  <c r="M929" i="1"/>
  <c r="R929" i="1" s="1"/>
  <c r="N929" i="1"/>
  <c r="Q929" i="1" s="1"/>
  <c r="M930" i="1"/>
  <c r="R930" i="1" s="1"/>
  <c r="N930" i="1"/>
  <c r="Q930" i="1" s="1"/>
  <c r="M931" i="1"/>
  <c r="R931" i="1" s="1"/>
  <c r="N931" i="1"/>
  <c r="Q931" i="1" s="1"/>
  <c r="M932" i="1"/>
  <c r="R932" i="1" s="1"/>
  <c r="N932" i="1"/>
  <c r="Q932" i="1" s="1"/>
  <c r="M933" i="1"/>
  <c r="R933" i="1" s="1"/>
  <c r="N933" i="1"/>
  <c r="Q933" i="1" s="1"/>
  <c r="M934" i="1"/>
  <c r="R934" i="1" s="1"/>
  <c r="N934" i="1"/>
  <c r="Q934" i="1" s="1"/>
  <c r="M935" i="1"/>
  <c r="R935" i="1" s="1"/>
  <c r="N935" i="1"/>
  <c r="Q935" i="1" s="1"/>
  <c r="M936" i="1"/>
  <c r="R936" i="1" s="1"/>
  <c r="N936" i="1"/>
  <c r="Q936" i="1" s="1"/>
  <c r="M937" i="1"/>
  <c r="R937" i="1" s="1"/>
  <c r="N937" i="1"/>
  <c r="Q937" i="1" s="1"/>
  <c r="M938" i="1"/>
  <c r="R938" i="1" s="1"/>
  <c r="N938" i="1"/>
  <c r="Q938" i="1" s="1"/>
  <c r="M939" i="1"/>
  <c r="R939" i="1" s="1"/>
  <c r="N939" i="1"/>
  <c r="Q939" i="1" s="1"/>
  <c r="M940" i="1"/>
  <c r="R940" i="1" s="1"/>
  <c r="N940" i="1"/>
  <c r="Q940" i="1" s="1"/>
  <c r="M941" i="1"/>
  <c r="R941" i="1" s="1"/>
  <c r="N941" i="1"/>
  <c r="Q941" i="1" s="1"/>
  <c r="M942" i="1"/>
  <c r="R942" i="1" s="1"/>
  <c r="N942" i="1"/>
  <c r="Q942" i="1" s="1"/>
  <c r="M943" i="1"/>
  <c r="R943" i="1" s="1"/>
  <c r="N943" i="1"/>
  <c r="Q943" i="1" s="1"/>
  <c r="M944" i="1"/>
  <c r="R944" i="1" s="1"/>
  <c r="N944" i="1"/>
  <c r="Q944" i="1" s="1"/>
  <c r="M945" i="1"/>
  <c r="R945" i="1" s="1"/>
  <c r="N945" i="1"/>
  <c r="Q945" i="1" s="1"/>
  <c r="M946" i="1"/>
  <c r="R946" i="1" s="1"/>
  <c r="N946" i="1"/>
  <c r="Q946" i="1" s="1"/>
  <c r="M947" i="1"/>
  <c r="R947" i="1" s="1"/>
  <c r="N947" i="1"/>
  <c r="Q947" i="1" s="1"/>
  <c r="M948" i="1"/>
  <c r="R948" i="1" s="1"/>
  <c r="N948" i="1"/>
  <c r="Q948" i="1" s="1"/>
  <c r="M949" i="1"/>
  <c r="R949" i="1" s="1"/>
  <c r="N949" i="1"/>
  <c r="Q949" i="1" s="1"/>
  <c r="M950" i="1"/>
  <c r="R950" i="1" s="1"/>
  <c r="N950" i="1"/>
  <c r="Q950" i="1" s="1"/>
  <c r="M951" i="1"/>
  <c r="R951" i="1" s="1"/>
  <c r="N951" i="1"/>
  <c r="Q951" i="1" s="1"/>
  <c r="M952" i="1"/>
  <c r="R952" i="1" s="1"/>
  <c r="N952" i="1"/>
  <c r="Q952" i="1" s="1"/>
  <c r="M953" i="1"/>
  <c r="R953" i="1" s="1"/>
  <c r="N953" i="1"/>
  <c r="Q953" i="1" s="1"/>
  <c r="M954" i="1"/>
  <c r="R954" i="1" s="1"/>
  <c r="N954" i="1"/>
  <c r="Q954" i="1" s="1"/>
  <c r="M955" i="1"/>
  <c r="R955" i="1" s="1"/>
  <c r="N955" i="1"/>
  <c r="Q955" i="1" s="1"/>
  <c r="M956" i="1"/>
  <c r="R956" i="1" s="1"/>
  <c r="N956" i="1"/>
  <c r="Q956" i="1" s="1"/>
  <c r="M957" i="1"/>
  <c r="R957" i="1" s="1"/>
  <c r="N957" i="1"/>
  <c r="Q957" i="1" s="1"/>
  <c r="M958" i="1"/>
  <c r="R958" i="1" s="1"/>
  <c r="N958" i="1"/>
  <c r="Q958" i="1" s="1"/>
  <c r="M959" i="1"/>
  <c r="R959" i="1" s="1"/>
  <c r="N959" i="1"/>
  <c r="Q959" i="1" s="1"/>
  <c r="M960" i="1"/>
  <c r="R960" i="1" s="1"/>
  <c r="N960" i="1"/>
  <c r="Q960" i="1" s="1"/>
  <c r="M961" i="1"/>
  <c r="R961" i="1" s="1"/>
  <c r="N961" i="1"/>
  <c r="Q961" i="1" s="1"/>
  <c r="M962" i="1"/>
  <c r="R962" i="1" s="1"/>
  <c r="N962" i="1"/>
  <c r="Q962" i="1" s="1"/>
  <c r="M963" i="1"/>
  <c r="R963" i="1" s="1"/>
  <c r="N963" i="1"/>
  <c r="Q963" i="1" s="1"/>
  <c r="M964" i="1"/>
  <c r="R964" i="1" s="1"/>
  <c r="N964" i="1"/>
  <c r="Q964" i="1" s="1"/>
  <c r="M965" i="1"/>
  <c r="R965" i="1" s="1"/>
  <c r="N965" i="1"/>
  <c r="Q965" i="1" s="1"/>
  <c r="M966" i="1"/>
  <c r="R966" i="1" s="1"/>
  <c r="N966" i="1"/>
  <c r="Q966" i="1" s="1"/>
  <c r="M967" i="1"/>
  <c r="R967" i="1" s="1"/>
  <c r="N967" i="1"/>
  <c r="Q967" i="1" s="1"/>
  <c r="M968" i="1"/>
  <c r="R968" i="1" s="1"/>
  <c r="N968" i="1"/>
  <c r="Q968" i="1" s="1"/>
  <c r="M969" i="1"/>
  <c r="R969" i="1" s="1"/>
  <c r="N969" i="1"/>
  <c r="Q969" i="1" s="1"/>
  <c r="M970" i="1"/>
  <c r="R970" i="1" s="1"/>
  <c r="N970" i="1"/>
  <c r="Q970" i="1" s="1"/>
  <c r="M971" i="1"/>
  <c r="R971" i="1" s="1"/>
  <c r="N971" i="1"/>
  <c r="Q971" i="1" s="1"/>
  <c r="M972" i="1"/>
  <c r="R972" i="1" s="1"/>
  <c r="N972" i="1"/>
  <c r="Q972" i="1" s="1"/>
  <c r="M973" i="1"/>
  <c r="R973" i="1" s="1"/>
  <c r="N973" i="1"/>
  <c r="Q973" i="1" s="1"/>
  <c r="M974" i="1"/>
  <c r="R974" i="1" s="1"/>
  <c r="N974" i="1"/>
  <c r="Q974" i="1" s="1"/>
  <c r="M975" i="1"/>
  <c r="R975" i="1" s="1"/>
  <c r="N975" i="1"/>
  <c r="Q975" i="1" s="1"/>
  <c r="M976" i="1"/>
  <c r="R976" i="1" s="1"/>
  <c r="N976" i="1"/>
  <c r="Q976" i="1" s="1"/>
  <c r="M977" i="1"/>
  <c r="R977" i="1" s="1"/>
  <c r="N977" i="1"/>
  <c r="Q977" i="1" s="1"/>
  <c r="M978" i="1"/>
  <c r="R978" i="1" s="1"/>
  <c r="N978" i="1"/>
  <c r="Q978" i="1" s="1"/>
  <c r="M979" i="1"/>
  <c r="R979" i="1" s="1"/>
  <c r="N979" i="1"/>
  <c r="Q979" i="1" s="1"/>
  <c r="M980" i="1"/>
  <c r="R980" i="1" s="1"/>
  <c r="N980" i="1"/>
  <c r="Q980" i="1" s="1"/>
  <c r="M981" i="1"/>
  <c r="R981" i="1" s="1"/>
  <c r="N981" i="1"/>
  <c r="Q981" i="1" s="1"/>
  <c r="M982" i="1"/>
  <c r="R982" i="1" s="1"/>
  <c r="N982" i="1"/>
  <c r="Q982" i="1" s="1"/>
  <c r="M983" i="1"/>
  <c r="R983" i="1" s="1"/>
  <c r="N983" i="1"/>
  <c r="Q983" i="1" s="1"/>
  <c r="M984" i="1"/>
  <c r="R984" i="1" s="1"/>
  <c r="N984" i="1"/>
  <c r="Q984" i="1" s="1"/>
  <c r="M985" i="1"/>
  <c r="R985" i="1" s="1"/>
  <c r="N985" i="1"/>
  <c r="Q985" i="1" s="1"/>
  <c r="M986" i="1"/>
  <c r="R986" i="1" s="1"/>
  <c r="N986" i="1"/>
  <c r="Q986" i="1" s="1"/>
  <c r="M987" i="1"/>
  <c r="R987" i="1" s="1"/>
  <c r="N987" i="1"/>
  <c r="Q987" i="1" s="1"/>
  <c r="M988" i="1"/>
  <c r="R988" i="1" s="1"/>
  <c r="N988" i="1"/>
  <c r="Q988" i="1" s="1"/>
  <c r="M989" i="1"/>
  <c r="R989" i="1" s="1"/>
  <c r="N989" i="1"/>
  <c r="Q989" i="1" s="1"/>
  <c r="M990" i="1"/>
  <c r="R990" i="1" s="1"/>
  <c r="N990" i="1"/>
  <c r="Q990" i="1" s="1"/>
  <c r="M991" i="1"/>
  <c r="R991" i="1" s="1"/>
  <c r="N991" i="1"/>
  <c r="Q991" i="1" s="1"/>
  <c r="M992" i="1"/>
  <c r="R992" i="1" s="1"/>
  <c r="N992" i="1"/>
  <c r="Q992" i="1" s="1"/>
  <c r="M993" i="1"/>
  <c r="R993" i="1" s="1"/>
  <c r="N993" i="1"/>
  <c r="Q993" i="1" s="1"/>
  <c r="M994" i="1"/>
  <c r="R994" i="1" s="1"/>
  <c r="N994" i="1"/>
  <c r="Q994" i="1" s="1"/>
  <c r="M995" i="1"/>
  <c r="R995" i="1" s="1"/>
  <c r="N995" i="1"/>
  <c r="Q995" i="1" s="1"/>
  <c r="M996" i="1"/>
  <c r="R996" i="1" s="1"/>
  <c r="N996" i="1"/>
  <c r="Q996" i="1" s="1"/>
  <c r="M997" i="1"/>
  <c r="R997" i="1" s="1"/>
  <c r="N997" i="1"/>
  <c r="Q997" i="1" s="1"/>
  <c r="M998" i="1"/>
  <c r="R998" i="1" s="1"/>
  <c r="N998" i="1"/>
  <c r="Q998" i="1" s="1"/>
  <c r="M999" i="1"/>
  <c r="R999" i="1" s="1"/>
  <c r="N999" i="1"/>
  <c r="Q999" i="1" s="1"/>
  <c r="M1000" i="1"/>
  <c r="R1000" i="1" s="1"/>
  <c r="N1000" i="1"/>
  <c r="Q1000" i="1" s="1"/>
  <c r="M1001" i="1"/>
  <c r="R1001" i="1" s="1"/>
  <c r="N1001" i="1"/>
  <c r="Q1001" i="1" s="1"/>
  <c r="M1002" i="1"/>
  <c r="R1002" i="1" s="1"/>
  <c r="N1002" i="1"/>
  <c r="Q1002" i="1" s="1"/>
  <c r="M1003" i="1"/>
  <c r="R1003" i="1" s="1"/>
  <c r="N1003" i="1"/>
  <c r="Q1003" i="1" s="1"/>
  <c r="M1004" i="1"/>
  <c r="R1004" i="1" s="1"/>
  <c r="N1004" i="1"/>
  <c r="Q1004" i="1" s="1"/>
  <c r="M1005" i="1"/>
  <c r="R1005" i="1" s="1"/>
  <c r="N1005" i="1"/>
  <c r="Q1005" i="1" s="1"/>
  <c r="M1006" i="1"/>
  <c r="R1006" i="1" s="1"/>
  <c r="N1006" i="1"/>
  <c r="Q1006" i="1" s="1"/>
  <c r="M1007" i="1"/>
  <c r="R1007" i="1" s="1"/>
  <c r="N1007" i="1"/>
  <c r="Q1007" i="1" s="1"/>
  <c r="M1008" i="1"/>
  <c r="R1008" i="1" s="1"/>
  <c r="N1008" i="1"/>
  <c r="Q1008" i="1" s="1"/>
  <c r="M1009" i="1"/>
  <c r="R1009" i="1" s="1"/>
  <c r="N1009" i="1"/>
  <c r="Q1009" i="1" s="1"/>
  <c r="M1010" i="1"/>
  <c r="R1010" i="1" s="1"/>
  <c r="N1010" i="1"/>
  <c r="Q1010" i="1" s="1"/>
  <c r="M1011" i="1"/>
  <c r="R1011" i="1" s="1"/>
  <c r="N1011" i="1"/>
  <c r="Q1011" i="1" s="1"/>
  <c r="M1012" i="1"/>
  <c r="R1012" i="1" s="1"/>
  <c r="N1012" i="1"/>
  <c r="Q1012" i="1" s="1"/>
  <c r="M1013" i="1"/>
  <c r="R1013" i="1" s="1"/>
  <c r="N1013" i="1"/>
  <c r="Q1013" i="1" s="1"/>
  <c r="M1014" i="1"/>
  <c r="R1014" i="1" s="1"/>
  <c r="N1014" i="1"/>
  <c r="Q1014" i="1" s="1"/>
  <c r="M1015" i="1"/>
  <c r="R1015" i="1" s="1"/>
  <c r="N1015" i="1"/>
  <c r="Q1015" i="1" s="1"/>
  <c r="M1016" i="1"/>
  <c r="R1016" i="1" s="1"/>
  <c r="N1016" i="1"/>
  <c r="Q1016" i="1" s="1"/>
  <c r="M1017" i="1"/>
  <c r="R1017" i="1" s="1"/>
  <c r="N1017" i="1"/>
  <c r="Q1017" i="1" s="1"/>
  <c r="M1018" i="1"/>
  <c r="R1018" i="1" s="1"/>
  <c r="N1018" i="1"/>
  <c r="Q1018" i="1" s="1"/>
  <c r="M1019" i="1"/>
  <c r="R1019" i="1" s="1"/>
  <c r="N1019" i="1"/>
  <c r="Q1019" i="1" s="1"/>
  <c r="M1020" i="1"/>
  <c r="R1020" i="1" s="1"/>
  <c r="N1020" i="1"/>
  <c r="Q1020" i="1" s="1"/>
  <c r="M1021" i="1"/>
  <c r="R1021" i="1" s="1"/>
  <c r="N1021" i="1"/>
  <c r="Q1021" i="1" s="1"/>
  <c r="M1022" i="1"/>
  <c r="R1022" i="1" s="1"/>
  <c r="N1022" i="1"/>
  <c r="Q1022" i="1" s="1"/>
  <c r="M1023" i="1"/>
  <c r="R1023" i="1" s="1"/>
  <c r="N1023" i="1"/>
  <c r="Q1023" i="1" s="1"/>
  <c r="M1024" i="1"/>
  <c r="R1024" i="1" s="1"/>
  <c r="N1024" i="1"/>
  <c r="Q1024" i="1" s="1"/>
  <c r="M1025" i="1"/>
  <c r="R1025" i="1" s="1"/>
  <c r="N1025" i="1"/>
  <c r="Q1025" i="1" s="1"/>
  <c r="M1026" i="1"/>
  <c r="R1026" i="1" s="1"/>
  <c r="N1026" i="1"/>
  <c r="Q1026" i="1" s="1"/>
  <c r="M1027" i="1"/>
  <c r="R1027" i="1" s="1"/>
  <c r="N1027" i="1"/>
  <c r="Q1027" i="1" s="1"/>
  <c r="M1028" i="1"/>
  <c r="R1028" i="1" s="1"/>
  <c r="N1028" i="1"/>
  <c r="Q1028" i="1" s="1"/>
  <c r="M1029" i="1"/>
  <c r="R1029" i="1" s="1"/>
  <c r="N1029" i="1"/>
  <c r="Q1029" i="1" s="1"/>
  <c r="M1030" i="1"/>
  <c r="R1030" i="1" s="1"/>
  <c r="N1030" i="1"/>
  <c r="Q1030" i="1" s="1"/>
  <c r="M1031" i="1"/>
  <c r="R1031" i="1" s="1"/>
  <c r="N1031" i="1"/>
  <c r="Q1031" i="1" s="1"/>
  <c r="M1032" i="1"/>
  <c r="R1032" i="1" s="1"/>
  <c r="N1032" i="1"/>
  <c r="Q1032" i="1" s="1"/>
  <c r="M1033" i="1"/>
  <c r="R1033" i="1" s="1"/>
  <c r="N1033" i="1"/>
  <c r="Q1033" i="1" s="1"/>
  <c r="M1034" i="1"/>
  <c r="R1034" i="1" s="1"/>
  <c r="N1034" i="1"/>
  <c r="Q1034" i="1" s="1"/>
  <c r="M1035" i="1"/>
  <c r="R1035" i="1" s="1"/>
  <c r="N1035" i="1"/>
  <c r="Q1035" i="1" s="1"/>
  <c r="M1036" i="1"/>
  <c r="R1036" i="1" s="1"/>
  <c r="N1036" i="1"/>
  <c r="Q1036" i="1" s="1"/>
  <c r="M1037" i="1"/>
  <c r="R1037" i="1" s="1"/>
  <c r="N1037" i="1"/>
  <c r="Q1037" i="1" s="1"/>
  <c r="M1038" i="1"/>
  <c r="R1038" i="1" s="1"/>
  <c r="N1038" i="1"/>
  <c r="Q1038" i="1" s="1"/>
  <c r="M1039" i="1"/>
  <c r="R1039" i="1" s="1"/>
  <c r="N1039" i="1"/>
  <c r="Q1039" i="1" s="1"/>
  <c r="M1040" i="1"/>
  <c r="R1040" i="1" s="1"/>
  <c r="N1040" i="1"/>
  <c r="Q1040" i="1" s="1"/>
  <c r="M1041" i="1"/>
  <c r="R1041" i="1" s="1"/>
  <c r="N1041" i="1"/>
  <c r="Q1041" i="1" s="1"/>
  <c r="M1042" i="1"/>
  <c r="R1042" i="1" s="1"/>
  <c r="N1042" i="1"/>
  <c r="Q1042" i="1" s="1"/>
  <c r="M1043" i="1"/>
  <c r="R1043" i="1" s="1"/>
  <c r="N1043" i="1"/>
  <c r="Q1043" i="1" s="1"/>
  <c r="M1044" i="1"/>
  <c r="R1044" i="1" s="1"/>
  <c r="N1044" i="1"/>
  <c r="Q1044" i="1" s="1"/>
  <c r="M1045" i="1"/>
  <c r="R1045" i="1" s="1"/>
  <c r="N1045" i="1"/>
  <c r="Q1045" i="1" s="1"/>
  <c r="M1046" i="1"/>
  <c r="R1046" i="1" s="1"/>
  <c r="N1046" i="1"/>
  <c r="Q1046" i="1" s="1"/>
  <c r="M1047" i="1"/>
  <c r="R1047" i="1" s="1"/>
  <c r="N1047" i="1"/>
  <c r="Q1047" i="1" s="1"/>
  <c r="M1048" i="1"/>
  <c r="R1048" i="1" s="1"/>
  <c r="N1048" i="1"/>
  <c r="Q1048" i="1" s="1"/>
  <c r="M1049" i="1"/>
  <c r="R1049" i="1" s="1"/>
  <c r="N1049" i="1"/>
  <c r="Q1049" i="1" s="1"/>
  <c r="M1050" i="1"/>
  <c r="R1050" i="1" s="1"/>
  <c r="N1050" i="1"/>
  <c r="Q1050" i="1" s="1"/>
  <c r="M1051" i="1"/>
  <c r="R1051" i="1" s="1"/>
  <c r="N1051" i="1"/>
  <c r="Q1051" i="1" s="1"/>
  <c r="M1052" i="1"/>
  <c r="R1052" i="1" s="1"/>
  <c r="N1052" i="1"/>
  <c r="Q1052" i="1" s="1"/>
  <c r="M1053" i="1"/>
  <c r="R1053" i="1" s="1"/>
  <c r="N1053" i="1"/>
  <c r="Q1053" i="1" s="1"/>
  <c r="M1054" i="1"/>
  <c r="R1054" i="1" s="1"/>
  <c r="N1054" i="1"/>
  <c r="Q1054" i="1" s="1"/>
  <c r="M1055" i="1"/>
  <c r="R1055" i="1" s="1"/>
  <c r="N1055" i="1"/>
  <c r="Q1055" i="1" s="1"/>
  <c r="M1056" i="1"/>
  <c r="R1056" i="1" s="1"/>
  <c r="N1056" i="1"/>
  <c r="Q1056" i="1" s="1"/>
  <c r="M1057" i="1"/>
  <c r="R1057" i="1" s="1"/>
  <c r="N1057" i="1"/>
  <c r="Q1057" i="1" s="1"/>
  <c r="M1058" i="1"/>
  <c r="R1058" i="1" s="1"/>
  <c r="N1058" i="1"/>
  <c r="Q1058" i="1" s="1"/>
  <c r="M1059" i="1"/>
  <c r="R1059" i="1" s="1"/>
  <c r="N1059" i="1"/>
  <c r="Q1059" i="1" s="1"/>
  <c r="M1060" i="1"/>
  <c r="R1060" i="1" s="1"/>
  <c r="N1060" i="1"/>
  <c r="Q1060" i="1" s="1"/>
  <c r="M1061" i="1"/>
  <c r="R1061" i="1" s="1"/>
  <c r="N1061" i="1"/>
  <c r="Q1061" i="1" s="1"/>
  <c r="M1062" i="1"/>
  <c r="R1062" i="1" s="1"/>
  <c r="N1062" i="1"/>
  <c r="Q1062" i="1" s="1"/>
  <c r="M1063" i="1"/>
  <c r="R1063" i="1" s="1"/>
  <c r="N1063" i="1"/>
  <c r="Q1063" i="1" s="1"/>
  <c r="M1064" i="1"/>
  <c r="R1064" i="1" s="1"/>
  <c r="N1064" i="1"/>
  <c r="Q1064" i="1" s="1"/>
  <c r="M1065" i="1"/>
  <c r="R1065" i="1" s="1"/>
  <c r="N1065" i="1"/>
  <c r="Q1065" i="1" s="1"/>
  <c r="M1066" i="1"/>
  <c r="R1066" i="1" s="1"/>
  <c r="N1066" i="1"/>
  <c r="Q1066" i="1" s="1"/>
  <c r="M1067" i="1"/>
  <c r="R1067" i="1" s="1"/>
  <c r="N1067" i="1"/>
  <c r="Q1067" i="1" s="1"/>
  <c r="M1068" i="1"/>
  <c r="R1068" i="1" s="1"/>
  <c r="N1068" i="1"/>
  <c r="Q1068" i="1" s="1"/>
  <c r="M1069" i="1"/>
  <c r="R1069" i="1" s="1"/>
  <c r="N1069" i="1"/>
  <c r="Q1069" i="1" s="1"/>
  <c r="M1070" i="1"/>
  <c r="R1070" i="1" s="1"/>
  <c r="N1070" i="1"/>
  <c r="Q1070" i="1" s="1"/>
  <c r="M1071" i="1"/>
  <c r="R1071" i="1" s="1"/>
  <c r="N1071" i="1"/>
  <c r="Q1071" i="1" s="1"/>
  <c r="M1072" i="1"/>
  <c r="R1072" i="1" s="1"/>
  <c r="N1072" i="1"/>
  <c r="Q1072" i="1" s="1"/>
  <c r="M1073" i="1"/>
  <c r="R1073" i="1" s="1"/>
  <c r="N1073" i="1"/>
  <c r="Q1073" i="1" s="1"/>
  <c r="M1074" i="1"/>
  <c r="R1074" i="1" s="1"/>
  <c r="N1074" i="1"/>
  <c r="Q1074" i="1" s="1"/>
  <c r="M1075" i="1"/>
  <c r="R1075" i="1" s="1"/>
  <c r="N1075" i="1"/>
  <c r="Q1075" i="1" s="1"/>
  <c r="M1076" i="1"/>
  <c r="R1076" i="1" s="1"/>
  <c r="N1076" i="1"/>
  <c r="Q1076" i="1" s="1"/>
  <c r="M1077" i="1"/>
  <c r="R1077" i="1" s="1"/>
  <c r="N1077" i="1"/>
  <c r="Q1077" i="1" s="1"/>
  <c r="M1078" i="1"/>
  <c r="R1078" i="1" s="1"/>
  <c r="N1078" i="1"/>
  <c r="Q1078" i="1" s="1"/>
  <c r="M1079" i="1"/>
  <c r="R1079" i="1" s="1"/>
  <c r="N1079" i="1"/>
  <c r="Q1079" i="1" s="1"/>
  <c r="M1080" i="1"/>
  <c r="R1080" i="1" s="1"/>
  <c r="N1080" i="1"/>
  <c r="Q1080" i="1" s="1"/>
  <c r="M1081" i="1"/>
  <c r="R1081" i="1" s="1"/>
  <c r="N1081" i="1"/>
  <c r="Q1081" i="1" s="1"/>
  <c r="M1082" i="1"/>
  <c r="R1082" i="1" s="1"/>
  <c r="N1082" i="1"/>
  <c r="Q1082" i="1" s="1"/>
  <c r="M1083" i="1"/>
  <c r="R1083" i="1" s="1"/>
  <c r="N1083" i="1"/>
  <c r="Q1083" i="1" s="1"/>
  <c r="M1084" i="1"/>
  <c r="R1084" i="1" s="1"/>
  <c r="N1084" i="1"/>
  <c r="Q1084" i="1" s="1"/>
  <c r="M1085" i="1"/>
  <c r="R1085" i="1" s="1"/>
  <c r="N1085" i="1"/>
  <c r="Q1085" i="1" s="1"/>
  <c r="M1086" i="1"/>
  <c r="R1086" i="1" s="1"/>
  <c r="N1086" i="1"/>
  <c r="Q1086" i="1" s="1"/>
  <c r="M1087" i="1"/>
  <c r="R1087" i="1" s="1"/>
  <c r="N1087" i="1"/>
  <c r="Q1087" i="1" s="1"/>
  <c r="M1088" i="1"/>
  <c r="R1088" i="1" s="1"/>
  <c r="N1088" i="1"/>
  <c r="Q1088" i="1" s="1"/>
  <c r="M1089" i="1"/>
  <c r="R1089" i="1" s="1"/>
  <c r="N1089" i="1"/>
  <c r="Q1089" i="1" s="1"/>
  <c r="M1090" i="1"/>
  <c r="R1090" i="1" s="1"/>
  <c r="N1090" i="1"/>
  <c r="Q1090" i="1" s="1"/>
  <c r="M1091" i="1"/>
  <c r="R1091" i="1" s="1"/>
  <c r="N1091" i="1"/>
  <c r="Q1091" i="1" s="1"/>
  <c r="M1092" i="1"/>
  <c r="R1092" i="1" s="1"/>
  <c r="N1092" i="1"/>
  <c r="Q1092" i="1" s="1"/>
  <c r="M1093" i="1"/>
  <c r="R1093" i="1" s="1"/>
  <c r="N1093" i="1"/>
  <c r="Q1093" i="1" s="1"/>
  <c r="M1094" i="1"/>
  <c r="R1094" i="1" s="1"/>
  <c r="N1094" i="1"/>
  <c r="Q1094" i="1" s="1"/>
  <c r="M1095" i="1"/>
  <c r="R1095" i="1" s="1"/>
  <c r="N1095" i="1"/>
  <c r="Q1095" i="1" s="1"/>
  <c r="M1096" i="1"/>
  <c r="R1096" i="1" s="1"/>
  <c r="N1096" i="1"/>
  <c r="Q1096" i="1" s="1"/>
  <c r="M1097" i="1"/>
  <c r="R1097" i="1" s="1"/>
  <c r="N1097" i="1"/>
  <c r="Q1097" i="1" s="1"/>
  <c r="M1098" i="1"/>
  <c r="R1098" i="1" s="1"/>
  <c r="N1098" i="1"/>
  <c r="Q1098" i="1" s="1"/>
  <c r="M1099" i="1"/>
  <c r="R1099" i="1" s="1"/>
  <c r="N1099" i="1"/>
  <c r="Q1099" i="1" s="1"/>
  <c r="M1100" i="1"/>
  <c r="R1100" i="1" s="1"/>
  <c r="N1100" i="1"/>
  <c r="Q1100" i="1" s="1"/>
  <c r="M1101" i="1"/>
  <c r="R1101" i="1" s="1"/>
  <c r="N1101" i="1"/>
  <c r="Q1101" i="1" s="1"/>
  <c r="M1102" i="1"/>
  <c r="R1102" i="1" s="1"/>
  <c r="N1102" i="1"/>
  <c r="Q1102" i="1" s="1"/>
  <c r="M1103" i="1"/>
  <c r="R1103" i="1" s="1"/>
  <c r="N1103" i="1"/>
  <c r="Q1103" i="1" s="1"/>
  <c r="M1104" i="1"/>
  <c r="R1104" i="1" s="1"/>
  <c r="N1104" i="1"/>
  <c r="Q1104" i="1" s="1"/>
  <c r="M1105" i="1"/>
  <c r="R1105" i="1" s="1"/>
  <c r="N1105" i="1"/>
  <c r="Q1105" i="1" s="1"/>
  <c r="M1106" i="1"/>
  <c r="R1106" i="1" s="1"/>
  <c r="N1106" i="1"/>
  <c r="Q1106" i="1" s="1"/>
  <c r="M1107" i="1"/>
  <c r="R1107" i="1" s="1"/>
  <c r="N1107" i="1"/>
  <c r="Q1107" i="1" s="1"/>
  <c r="M1108" i="1"/>
  <c r="R1108" i="1" s="1"/>
  <c r="N1108" i="1"/>
  <c r="Q1108" i="1" s="1"/>
  <c r="M1109" i="1"/>
  <c r="R1109" i="1" s="1"/>
  <c r="N1109" i="1"/>
  <c r="Q1109" i="1" s="1"/>
  <c r="M1110" i="1"/>
  <c r="R1110" i="1" s="1"/>
  <c r="N1110" i="1"/>
  <c r="Q1110" i="1" s="1"/>
  <c r="M1111" i="1"/>
  <c r="R1111" i="1" s="1"/>
  <c r="N1111" i="1"/>
  <c r="Q1111" i="1" s="1"/>
  <c r="M1112" i="1"/>
  <c r="R1112" i="1" s="1"/>
  <c r="N1112" i="1"/>
  <c r="Q1112" i="1" s="1"/>
  <c r="M1113" i="1"/>
  <c r="R1113" i="1" s="1"/>
  <c r="N1113" i="1"/>
  <c r="Q1113" i="1" s="1"/>
  <c r="M1114" i="1"/>
  <c r="R1114" i="1" s="1"/>
  <c r="N1114" i="1"/>
  <c r="Q1114" i="1" s="1"/>
  <c r="M1115" i="1"/>
  <c r="R1115" i="1" s="1"/>
  <c r="N1115" i="1"/>
  <c r="Q1115" i="1" s="1"/>
  <c r="M1116" i="1"/>
  <c r="R1116" i="1" s="1"/>
  <c r="N1116" i="1"/>
  <c r="Q1116" i="1" s="1"/>
  <c r="M1117" i="1"/>
  <c r="R1117" i="1" s="1"/>
  <c r="N1117" i="1"/>
  <c r="Q1117" i="1" s="1"/>
  <c r="M1118" i="1"/>
  <c r="R1118" i="1" s="1"/>
  <c r="N1118" i="1"/>
  <c r="Q1118" i="1" s="1"/>
  <c r="M1119" i="1"/>
  <c r="R1119" i="1" s="1"/>
  <c r="N1119" i="1"/>
  <c r="Q1119" i="1" s="1"/>
  <c r="M1120" i="1"/>
  <c r="R1120" i="1" s="1"/>
  <c r="N1120" i="1"/>
  <c r="Q1120" i="1" s="1"/>
  <c r="M1121" i="1"/>
  <c r="R1121" i="1" s="1"/>
  <c r="N1121" i="1"/>
  <c r="Q1121" i="1" s="1"/>
  <c r="M1122" i="1"/>
  <c r="R1122" i="1" s="1"/>
  <c r="N1122" i="1"/>
  <c r="Q1122" i="1" s="1"/>
  <c r="M1123" i="1"/>
  <c r="R1123" i="1" s="1"/>
  <c r="N1123" i="1"/>
  <c r="Q1123" i="1" s="1"/>
  <c r="M1124" i="1"/>
  <c r="R1124" i="1" s="1"/>
  <c r="N1124" i="1"/>
  <c r="Q1124" i="1" s="1"/>
  <c r="M1125" i="1"/>
  <c r="R1125" i="1" s="1"/>
  <c r="N1125" i="1"/>
  <c r="Q1125" i="1" s="1"/>
  <c r="M1126" i="1"/>
  <c r="R1126" i="1" s="1"/>
  <c r="N1126" i="1"/>
  <c r="Q1126" i="1" s="1"/>
  <c r="M1127" i="1"/>
  <c r="R1127" i="1" s="1"/>
  <c r="N1127" i="1"/>
  <c r="Q1127" i="1" s="1"/>
  <c r="M1128" i="1"/>
  <c r="R1128" i="1" s="1"/>
  <c r="N1128" i="1"/>
  <c r="Q1128" i="1" s="1"/>
  <c r="M1129" i="1"/>
  <c r="R1129" i="1" s="1"/>
  <c r="N1129" i="1"/>
  <c r="Q1129" i="1" s="1"/>
  <c r="M1130" i="1"/>
  <c r="R1130" i="1" s="1"/>
  <c r="N1130" i="1"/>
  <c r="Q1130" i="1" s="1"/>
  <c r="M1131" i="1"/>
  <c r="R1131" i="1" s="1"/>
  <c r="N1131" i="1"/>
  <c r="Q1131" i="1" s="1"/>
  <c r="M1132" i="1"/>
  <c r="R1132" i="1" s="1"/>
  <c r="N1132" i="1"/>
  <c r="Q1132" i="1" s="1"/>
  <c r="M1133" i="1"/>
  <c r="R1133" i="1" s="1"/>
  <c r="N1133" i="1"/>
  <c r="Q1133" i="1" s="1"/>
  <c r="M1134" i="1"/>
  <c r="R1134" i="1" s="1"/>
  <c r="N1134" i="1"/>
  <c r="Q1134" i="1" s="1"/>
  <c r="M1135" i="1"/>
  <c r="R1135" i="1" s="1"/>
  <c r="N1135" i="1"/>
  <c r="Q1135" i="1" s="1"/>
  <c r="M1136" i="1"/>
  <c r="R1136" i="1" s="1"/>
  <c r="N1136" i="1"/>
  <c r="Q1136" i="1" s="1"/>
  <c r="M1137" i="1"/>
  <c r="R1137" i="1" s="1"/>
  <c r="N1137" i="1"/>
  <c r="Q1137" i="1" s="1"/>
  <c r="M1138" i="1"/>
  <c r="R1138" i="1" s="1"/>
  <c r="N1138" i="1"/>
  <c r="Q1138" i="1" s="1"/>
  <c r="M1139" i="1"/>
  <c r="R1139" i="1" s="1"/>
  <c r="N1139" i="1"/>
  <c r="Q1139" i="1" s="1"/>
  <c r="M1140" i="1"/>
  <c r="R1140" i="1" s="1"/>
  <c r="N1140" i="1"/>
  <c r="Q1140" i="1" s="1"/>
  <c r="M1141" i="1"/>
  <c r="R1141" i="1" s="1"/>
  <c r="N1141" i="1"/>
  <c r="Q1141" i="1" s="1"/>
  <c r="M1142" i="1"/>
  <c r="R1142" i="1" s="1"/>
  <c r="N1142" i="1"/>
  <c r="Q1142" i="1" s="1"/>
  <c r="M1143" i="1"/>
  <c r="R1143" i="1" s="1"/>
  <c r="N1143" i="1"/>
  <c r="Q1143" i="1" s="1"/>
  <c r="M1144" i="1"/>
  <c r="R1144" i="1" s="1"/>
  <c r="N1144" i="1"/>
  <c r="Q1144" i="1" s="1"/>
  <c r="M1145" i="1"/>
  <c r="R1145" i="1" s="1"/>
  <c r="N1145" i="1"/>
  <c r="Q1145" i="1" s="1"/>
  <c r="M1146" i="1"/>
  <c r="R1146" i="1" s="1"/>
  <c r="N1146" i="1"/>
  <c r="Q1146" i="1" s="1"/>
  <c r="M1147" i="1"/>
  <c r="R1147" i="1" s="1"/>
  <c r="N1147" i="1"/>
  <c r="Q1147" i="1" s="1"/>
  <c r="M1148" i="1"/>
  <c r="R1148" i="1" s="1"/>
  <c r="N1148" i="1"/>
  <c r="Q1148" i="1" s="1"/>
  <c r="M1149" i="1"/>
  <c r="R1149" i="1" s="1"/>
  <c r="N1149" i="1"/>
  <c r="Q1149" i="1" s="1"/>
  <c r="M1150" i="1"/>
  <c r="R1150" i="1" s="1"/>
  <c r="N1150" i="1"/>
  <c r="Q1150" i="1" s="1"/>
  <c r="M1151" i="1"/>
  <c r="R1151" i="1" s="1"/>
  <c r="N1151" i="1"/>
  <c r="Q1151" i="1" s="1"/>
  <c r="M1152" i="1"/>
  <c r="R1152" i="1" s="1"/>
  <c r="N1152" i="1"/>
  <c r="Q1152" i="1" s="1"/>
  <c r="M1153" i="1"/>
  <c r="R1153" i="1" s="1"/>
  <c r="N1153" i="1"/>
  <c r="Q1153" i="1" s="1"/>
  <c r="M1154" i="1"/>
  <c r="R1154" i="1" s="1"/>
  <c r="N1154" i="1"/>
  <c r="Q1154" i="1" s="1"/>
  <c r="M1155" i="1"/>
  <c r="R1155" i="1" s="1"/>
  <c r="N1155" i="1"/>
  <c r="Q1155" i="1" s="1"/>
  <c r="M1156" i="1"/>
  <c r="R1156" i="1" s="1"/>
  <c r="N1156" i="1"/>
  <c r="Q1156" i="1" s="1"/>
  <c r="M1157" i="1"/>
  <c r="R1157" i="1" s="1"/>
  <c r="N1157" i="1"/>
  <c r="Q1157" i="1" s="1"/>
  <c r="M1158" i="1"/>
  <c r="R1158" i="1" s="1"/>
  <c r="N1158" i="1"/>
  <c r="Q1158" i="1" s="1"/>
  <c r="M1159" i="1"/>
  <c r="R1159" i="1" s="1"/>
  <c r="N1159" i="1"/>
  <c r="Q1159" i="1" s="1"/>
  <c r="M1160" i="1"/>
  <c r="R1160" i="1" s="1"/>
  <c r="N1160" i="1"/>
  <c r="Q1160" i="1" s="1"/>
  <c r="M1161" i="1"/>
  <c r="R1161" i="1" s="1"/>
  <c r="N1161" i="1"/>
  <c r="Q1161" i="1" s="1"/>
  <c r="M1162" i="1"/>
  <c r="R1162" i="1" s="1"/>
  <c r="N1162" i="1"/>
  <c r="Q1162" i="1" s="1"/>
  <c r="M1163" i="1"/>
  <c r="R1163" i="1" s="1"/>
  <c r="N1163" i="1"/>
  <c r="Q1163" i="1" s="1"/>
  <c r="M1164" i="1"/>
  <c r="R1164" i="1" s="1"/>
  <c r="N1164" i="1"/>
  <c r="Q1164" i="1" s="1"/>
  <c r="M1165" i="1"/>
  <c r="R1165" i="1" s="1"/>
  <c r="N1165" i="1"/>
  <c r="Q1165" i="1" s="1"/>
  <c r="M1166" i="1"/>
  <c r="R1166" i="1" s="1"/>
  <c r="N1166" i="1"/>
  <c r="Q1166" i="1" s="1"/>
  <c r="M1167" i="1"/>
  <c r="R1167" i="1" s="1"/>
  <c r="N1167" i="1"/>
  <c r="Q1167" i="1" s="1"/>
  <c r="M1168" i="1"/>
  <c r="R1168" i="1" s="1"/>
  <c r="N1168" i="1"/>
  <c r="Q1168" i="1" s="1"/>
  <c r="M1169" i="1"/>
  <c r="R1169" i="1" s="1"/>
  <c r="N1169" i="1"/>
  <c r="Q1169" i="1" s="1"/>
  <c r="M1170" i="1"/>
  <c r="R1170" i="1" s="1"/>
  <c r="N1170" i="1"/>
  <c r="Q1170" i="1" s="1"/>
  <c r="M1171" i="1"/>
  <c r="R1171" i="1" s="1"/>
  <c r="N1171" i="1"/>
  <c r="Q1171" i="1" s="1"/>
  <c r="M1172" i="1"/>
  <c r="R1172" i="1" s="1"/>
  <c r="N1172" i="1"/>
  <c r="Q1172" i="1" s="1"/>
  <c r="M1173" i="1"/>
  <c r="R1173" i="1" s="1"/>
  <c r="N1173" i="1"/>
  <c r="Q1173" i="1" s="1"/>
  <c r="M1174" i="1"/>
  <c r="R1174" i="1" s="1"/>
  <c r="N1174" i="1"/>
  <c r="Q1174" i="1" s="1"/>
  <c r="M1175" i="1"/>
  <c r="R1175" i="1" s="1"/>
  <c r="N1175" i="1"/>
  <c r="Q1175" i="1" s="1"/>
  <c r="M1176" i="1"/>
  <c r="R1176" i="1" s="1"/>
  <c r="N1176" i="1"/>
  <c r="Q1176" i="1" s="1"/>
  <c r="M1177" i="1"/>
  <c r="R1177" i="1" s="1"/>
  <c r="N1177" i="1"/>
  <c r="Q1177" i="1" s="1"/>
  <c r="M1178" i="1"/>
  <c r="R1178" i="1" s="1"/>
  <c r="N1178" i="1"/>
  <c r="Q1178" i="1" s="1"/>
  <c r="M1179" i="1"/>
  <c r="R1179" i="1" s="1"/>
  <c r="N1179" i="1"/>
  <c r="Q1179" i="1" s="1"/>
  <c r="M1180" i="1"/>
  <c r="R1180" i="1" s="1"/>
  <c r="N1180" i="1"/>
  <c r="Q1180" i="1" s="1"/>
  <c r="M1181" i="1"/>
  <c r="R1181" i="1" s="1"/>
  <c r="N1181" i="1"/>
  <c r="Q1181" i="1" s="1"/>
  <c r="M1182" i="1"/>
  <c r="R1182" i="1" s="1"/>
  <c r="N1182" i="1"/>
  <c r="Q1182" i="1" s="1"/>
  <c r="M1183" i="1"/>
  <c r="R1183" i="1" s="1"/>
  <c r="N1183" i="1"/>
  <c r="Q1183" i="1" s="1"/>
  <c r="M1184" i="1"/>
  <c r="R1184" i="1" s="1"/>
  <c r="N1184" i="1"/>
  <c r="Q1184" i="1" s="1"/>
  <c r="M1185" i="1"/>
  <c r="R1185" i="1" s="1"/>
  <c r="N1185" i="1"/>
  <c r="Q1185" i="1" s="1"/>
  <c r="M1186" i="1"/>
  <c r="R1186" i="1" s="1"/>
  <c r="N1186" i="1"/>
  <c r="Q1186" i="1" s="1"/>
  <c r="M1187" i="1"/>
  <c r="R1187" i="1" s="1"/>
  <c r="N1187" i="1"/>
  <c r="Q1187" i="1" s="1"/>
  <c r="M1188" i="1"/>
  <c r="R1188" i="1" s="1"/>
  <c r="N1188" i="1"/>
  <c r="Q1188" i="1" s="1"/>
  <c r="M1189" i="1"/>
  <c r="R1189" i="1" s="1"/>
  <c r="N1189" i="1"/>
  <c r="Q1189" i="1" s="1"/>
  <c r="M1190" i="1"/>
  <c r="R1190" i="1" s="1"/>
  <c r="N1190" i="1"/>
  <c r="Q1190" i="1" s="1"/>
  <c r="M1191" i="1"/>
  <c r="R1191" i="1" s="1"/>
  <c r="N1191" i="1"/>
  <c r="Q1191" i="1" s="1"/>
  <c r="M1192" i="1"/>
  <c r="R1192" i="1" s="1"/>
  <c r="N1192" i="1"/>
  <c r="Q1192" i="1" s="1"/>
  <c r="M1193" i="1"/>
  <c r="R1193" i="1" s="1"/>
  <c r="N1193" i="1"/>
  <c r="Q1193" i="1" s="1"/>
  <c r="M1194" i="1"/>
  <c r="R1194" i="1" s="1"/>
  <c r="N1194" i="1"/>
  <c r="Q1194" i="1" s="1"/>
  <c r="M1195" i="1"/>
  <c r="R1195" i="1" s="1"/>
  <c r="N1195" i="1"/>
  <c r="Q1195" i="1" s="1"/>
  <c r="M1196" i="1"/>
  <c r="R1196" i="1" s="1"/>
  <c r="N1196" i="1"/>
  <c r="Q1196" i="1" s="1"/>
  <c r="M1197" i="1"/>
  <c r="R1197" i="1" s="1"/>
  <c r="N1197" i="1"/>
  <c r="Q1197" i="1" s="1"/>
  <c r="M1198" i="1"/>
  <c r="R1198" i="1" s="1"/>
  <c r="N1198" i="1"/>
  <c r="Q1198" i="1" s="1"/>
  <c r="M1199" i="1"/>
  <c r="R1199" i="1" s="1"/>
  <c r="N1199" i="1"/>
  <c r="Q1199" i="1" s="1"/>
  <c r="M1200" i="1"/>
  <c r="R1200" i="1" s="1"/>
  <c r="N1200" i="1"/>
  <c r="Q1200" i="1" s="1"/>
  <c r="M1201" i="1"/>
  <c r="R1201" i="1" s="1"/>
  <c r="N1201" i="1"/>
  <c r="Q1201" i="1" s="1"/>
  <c r="M1202" i="1"/>
  <c r="R1202" i="1" s="1"/>
  <c r="N1202" i="1"/>
  <c r="Q1202" i="1" s="1"/>
  <c r="M1203" i="1"/>
  <c r="R1203" i="1" s="1"/>
  <c r="N1203" i="1"/>
  <c r="Q1203" i="1" s="1"/>
  <c r="M1204" i="1"/>
  <c r="R1204" i="1" s="1"/>
  <c r="N1204" i="1"/>
  <c r="Q1204" i="1" s="1"/>
  <c r="M1205" i="1"/>
  <c r="R1205" i="1" s="1"/>
  <c r="N1205" i="1"/>
  <c r="Q1205" i="1" s="1"/>
  <c r="M1206" i="1"/>
  <c r="R1206" i="1" s="1"/>
  <c r="N1206" i="1"/>
  <c r="Q1206" i="1" s="1"/>
  <c r="M1207" i="1"/>
  <c r="R1207" i="1" s="1"/>
  <c r="N1207" i="1"/>
  <c r="Q1207" i="1" s="1"/>
  <c r="M1208" i="1"/>
  <c r="R1208" i="1" s="1"/>
  <c r="N1208" i="1"/>
  <c r="Q1208" i="1" s="1"/>
  <c r="M1209" i="1"/>
  <c r="R1209" i="1" s="1"/>
  <c r="N1209" i="1"/>
  <c r="Q1209" i="1" s="1"/>
  <c r="M1210" i="1"/>
  <c r="R1210" i="1" s="1"/>
  <c r="N1210" i="1"/>
  <c r="Q1210" i="1" s="1"/>
  <c r="M1211" i="1"/>
  <c r="R1211" i="1" s="1"/>
  <c r="N1211" i="1"/>
  <c r="Q1211" i="1" s="1"/>
  <c r="M1212" i="1"/>
  <c r="R1212" i="1" s="1"/>
  <c r="N1212" i="1"/>
  <c r="Q1212" i="1" s="1"/>
  <c r="M1213" i="1"/>
  <c r="R1213" i="1" s="1"/>
  <c r="N1213" i="1"/>
  <c r="Q1213" i="1" s="1"/>
  <c r="M1214" i="1"/>
  <c r="R1214" i="1" s="1"/>
  <c r="N1214" i="1"/>
  <c r="Q1214" i="1" s="1"/>
  <c r="M1215" i="1"/>
  <c r="R1215" i="1" s="1"/>
  <c r="N1215" i="1"/>
  <c r="Q1215" i="1" s="1"/>
  <c r="M1216" i="1"/>
  <c r="R1216" i="1" s="1"/>
  <c r="N1216" i="1"/>
  <c r="Q1216" i="1" s="1"/>
  <c r="M1217" i="1"/>
  <c r="R1217" i="1" s="1"/>
  <c r="N1217" i="1"/>
  <c r="Q1217" i="1" s="1"/>
  <c r="M1218" i="1"/>
  <c r="R1218" i="1" s="1"/>
  <c r="N1218" i="1"/>
  <c r="Q1218" i="1" s="1"/>
  <c r="M1219" i="1"/>
  <c r="R1219" i="1" s="1"/>
  <c r="N1219" i="1"/>
  <c r="Q1219" i="1" s="1"/>
  <c r="M1220" i="1"/>
  <c r="R1220" i="1" s="1"/>
  <c r="N1220" i="1"/>
  <c r="Q1220" i="1" s="1"/>
  <c r="M1221" i="1"/>
  <c r="R1221" i="1" s="1"/>
  <c r="N1221" i="1"/>
  <c r="Q1221" i="1" s="1"/>
  <c r="M1222" i="1"/>
  <c r="R1222" i="1" s="1"/>
  <c r="N1222" i="1"/>
  <c r="Q1222" i="1" s="1"/>
  <c r="M1223" i="1"/>
  <c r="R1223" i="1" s="1"/>
  <c r="N1223" i="1"/>
  <c r="Q1223" i="1" s="1"/>
  <c r="M1224" i="1"/>
  <c r="R1224" i="1" s="1"/>
  <c r="N1224" i="1"/>
  <c r="Q1224" i="1" s="1"/>
  <c r="M1225" i="1"/>
  <c r="R1225" i="1" s="1"/>
  <c r="N1225" i="1"/>
  <c r="Q1225" i="1" s="1"/>
  <c r="M1226" i="1"/>
  <c r="R1226" i="1" s="1"/>
  <c r="N1226" i="1"/>
  <c r="Q1226" i="1" s="1"/>
  <c r="M1227" i="1"/>
  <c r="R1227" i="1" s="1"/>
  <c r="N1227" i="1"/>
  <c r="Q1227" i="1" s="1"/>
  <c r="M1228" i="1"/>
  <c r="R1228" i="1" s="1"/>
  <c r="N1228" i="1"/>
  <c r="Q1228" i="1" s="1"/>
  <c r="M1229" i="1"/>
  <c r="R1229" i="1" s="1"/>
  <c r="N1229" i="1"/>
  <c r="Q1229" i="1" s="1"/>
  <c r="M1230" i="1"/>
  <c r="R1230" i="1" s="1"/>
  <c r="N1230" i="1"/>
  <c r="Q1230" i="1" s="1"/>
  <c r="M1231" i="1"/>
  <c r="R1231" i="1" s="1"/>
  <c r="N1231" i="1"/>
  <c r="Q1231" i="1" s="1"/>
  <c r="M1232" i="1"/>
  <c r="R1232" i="1" s="1"/>
  <c r="N1232" i="1"/>
  <c r="Q1232" i="1" s="1"/>
  <c r="M1233" i="1"/>
  <c r="R1233" i="1" s="1"/>
  <c r="N1233" i="1"/>
  <c r="Q1233" i="1" s="1"/>
  <c r="M1234" i="1"/>
  <c r="R1234" i="1" s="1"/>
  <c r="N1234" i="1"/>
  <c r="Q1234" i="1" s="1"/>
  <c r="M1235" i="1"/>
  <c r="R1235" i="1" s="1"/>
  <c r="N1235" i="1"/>
  <c r="Q1235" i="1" s="1"/>
  <c r="M1236" i="1"/>
  <c r="R1236" i="1" s="1"/>
  <c r="N1236" i="1"/>
  <c r="Q1236" i="1" s="1"/>
  <c r="M1237" i="1"/>
  <c r="R1237" i="1" s="1"/>
  <c r="N1237" i="1"/>
  <c r="Q1237" i="1" s="1"/>
  <c r="M1238" i="1"/>
  <c r="R1238" i="1" s="1"/>
  <c r="N1238" i="1"/>
  <c r="Q1238" i="1" s="1"/>
  <c r="M1239" i="1"/>
  <c r="R1239" i="1" s="1"/>
  <c r="N1239" i="1"/>
  <c r="Q1239" i="1" s="1"/>
  <c r="M1240" i="1"/>
  <c r="R1240" i="1" s="1"/>
  <c r="N1240" i="1"/>
  <c r="Q1240" i="1" s="1"/>
  <c r="M1241" i="1"/>
  <c r="R1241" i="1" s="1"/>
  <c r="N1241" i="1"/>
  <c r="Q1241" i="1" s="1"/>
  <c r="M1242" i="1"/>
  <c r="R1242" i="1" s="1"/>
  <c r="N1242" i="1"/>
  <c r="Q1242" i="1" s="1"/>
  <c r="M1243" i="1"/>
  <c r="R1243" i="1" s="1"/>
  <c r="N1243" i="1"/>
  <c r="Q1243" i="1" s="1"/>
  <c r="M1244" i="1"/>
  <c r="R1244" i="1" s="1"/>
  <c r="N1244" i="1"/>
  <c r="Q1244" i="1" s="1"/>
  <c r="M1245" i="1"/>
  <c r="R1245" i="1" s="1"/>
  <c r="N1245" i="1"/>
  <c r="Q1245" i="1" s="1"/>
  <c r="M1246" i="1"/>
  <c r="R1246" i="1" s="1"/>
  <c r="N1246" i="1"/>
  <c r="Q1246" i="1" s="1"/>
  <c r="M1247" i="1"/>
  <c r="R1247" i="1" s="1"/>
  <c r="N1247" i="1"/>
  <c r="Q1247" i="1" s="1"/>
  <c r="M1248" i="1"/>
  <c r="R1248" i="1" s="1"/>
  <c r="N1248" i="1"/>
  <c r="Q1248" i="1" s="1"/>
  <c r="M1249" i="1"/>
  <c r="R1249" i="1" s="1"/>
  <c r="N1249" i="1"/>
  <c r="Q1249" i="1" s="1"/>
  <c r="M1250" i="1"/>
  <c r="R1250" i="1" s="1"/>
  <c r="N1250" i="1"/>
  <c r="Q1250" i="1" s="1"/>
  <c r="M1251" i="1"/>
  <c r="R1251" i="1" s="1"/>
  <c r="N1251" i="1"/>
  <c r="Q1251" i="1" s="1"/>
  <c r="M1252" i="1"/>
  <c r="R1252" i="1" s="1"/>
  <c r="N1252" i="1"/>
  <c r="Q1252" i="1" s="1"/>
  <c r="M1253" i="1"/>
  <c r="R1253" i="1" s="1"/>
  <c r="N1253" i="1"/>
  <c r="Q1253" i="1" s="1"/>
  <c r="M1254" i="1"/>
  <c r="R1254" i="1" s="1"/>
  <c r="N1254" i="1"/>
  <c r="Q1254" i="1" s="1"/>
  <c r="M1255" i="1"/>
  <c r="R1255" i="1" s="1"/>
  <c r="N1255" i="1"/>
  <c r="Q1255" i="1" s="1"/>
  <c r="M1256" i="1"/>
  <c r="R1256" i="1" s="1"/>
  <c r="N1256" i="1"/>
  <c r="Q1256" i="1" s="1"/>
  <c r="M1257" i="1"/>
  <c r="R1257" i="1" s="1"/>
  <c r="N1257" i="1"/>
  <c r="Q1257" i="1" s="1"/>
  <c r="M1258" i="1"/>
  <c r="R1258" i="1" s="1"/>
  <c r="N1258" i="1"/>
  <c r="Q1258" i="1" s="1"/>
  <c r="M1259" i="1"/>
  <c r="R1259" i="1" s="1"/>
  <c r="N1259" i="1"/>
  <c r="Q1259" i="1" s="1"/>
  <c r="M1260" i="1"/>
  <c r="R1260" i="1" s="1"/>
  <c r="N1260" i="1"/>
  <c r="Q1260" i="1" s="1"/>
  <c r="M1261" i="1"/>
  <c r="R1261" i="1" s="1"/>
  <c r="N1261" i="1"/>
  <c r="Q1261" i="1" s="1"/>
  <c r="M1262" i="1"/>
  <c r="R1262" i="1" s="1"/>
  <c r="N1262" i="1"/>
  <c r="Q1262" i="1" s="1"/>
  <c r="M1263" i="1"/>
  <c r="R1263" i="1" s="1"/>
  <c r="N1263" i="1"/>
  <c r="Q1263" i="1" s="1"/>
  <c r="M1264" i="1"/>
  <c r="R1264" i="1" s="1"/>
  <c r="N1264" i="1"/>
  <c r="Q1264" i="1" s="1"/>
  <c r="M1265" i="1"/>
  <c r="R1265" i="1" s="1"/>
  <c r="N1265" i="1"/>
  <c r="Q1265" i="1" s="1"/>
  <c r="M1266" i="1"/>
  <c r="R1266" i="1" s="1"/>
  <c r="N1266" i="1"/>
  <c r="Q1266" i="1" s="1"/>
  <c r="M1267" i="1"/>
  <c r="R1267" i="1" s="1"/>
  <c r="N1267" i="1"/>
  <c r="Q1267" i="1" s="1"/>
  <c r="M1268" i="1"/>
  <c r="R1268" i="1" s="1"/>
  <c r="N1268" i="1"/>
  <c r="Q1268" i="1" s="1"/>
  <c r="M1269" i="1"/>
  <c r="R1269" i="1" s="1"/>
  <c r="N1269" i="1"/>
  <c r="Q1269" i="1" s="1"/>
  <c r="M1270" i="1"/>
  <c r="R1270" i="1" s="1"/>
  <c r="N1270" i="1"/>
  <c r="Q1270" i="1" s="1"/>
  <c r="M1271" i="1"/>
  <c r="R1271" i="1" s="1"/>
  <c r="N1271" i="1"/>
  <c r="Q1271" i="1" s="1"/>
  <c r="M1272" i="1"/>
  <c r="R1272" i="1" s="1"/>
  <c r="N1272" i="1"/>
  <c r="Q1272" i="1" s="1"/>
  <c r="M1273" i="1"/>
  <c r="R1273" i="1" s="1"/>
  <c r="N1273" i="1"/>
  <c r="Q1273" i="1" s="1"/>
  <c r="M1274" i="1"/>
  <c r="R1274" i="1" s="1"/>
  <c r="N1274" i="1"/>
  <c r="Q1274" i="1" s="1"/>
  <c r="M1275" i="1"/>
  <c r="R1275" i="1" s="1"/>
  <c r="N1275" i="1"/>
  <c r="Q1275" i="1" s="1"/>
  <c r="M1276" i="1"/>
  <c r="R1276" i="1" s="1"/>
  <c r="N1276" i="1"/>
  <c r="Q1276" i="1" s="1"/>
  <c r="M1277" i="1"/>
  <c r="R1277" i="1" s="1"/>
  <c r="N1277" i="1"/>
  <c r="Q1277" i="1" s="1"/>
  <c r="M1278" i="1"/>
  <c r="R1278" i="1" s="1"/>
  <c r="N1278" i="1"/>
  <c r="Q1278" i="1" s="1"/>
  <c r="M1279" i="1"/>
  <c r="R1279" i="1" s="1"/>
  <c r="N1279" i="1"/>
  <c r="Q1279" i="1" s="1"/>
  <c r="M1280" i="1"/>
  <c r="R1280" i="1" s="1"/>
  <c r="N1280" i="1"/>
  <c r="Q1280" i="1" s="1"/>
  <c r="M1281" i="1"/>
  <c r="R1281" i="1" s="1"/>
  <c r="N1281" i="1"/>
  <c r="Q1281" i="1" s="1"/>
  <c r="M1282" i="1"/>
  <c r="R1282" i="1" s="1"/>
  <c r="N1282" i="1"/>
  <c r="Q1282" i="1" s="1"/>
  <c r="M1283" i="1"/>
  <c r="R1283" i="1" s="1"/>
  <c r="N1283" i="1"/>
  <c r="Q1283" i="1" s="1"/>
  <c r="M1284" i="1"/>
  <c r="R1284" i="1" s="1"/>
  <c r="N1284" i="1"/>
  <c r="Q1284" i="1" s="1"/>
  <c r="M1285" i="1"/>
  <c r="R1285" i="1" s="1"/>
  <c r="N1285" i="1"/>
  <c r="Q1285" i="1" s="1"/>
  <c r="M1286" i="1"/>
  <c r="R1286" i="1" s="1"/>
  <c r="N1286" i="1"/>
  <c r="Q1286" i="1" s="1"/>
  <c r="M1287" i="1"/>
  <c r="R1287" i="1" s="1"/>
  <c r="N1287" i="1"/>
  <c r="Q1287" i="1" s="1"/>
  <c r="M1288" i="1"/>
  <c r="R1288" i="1" s="1"/>
  <c r="N1288" i="1"/>
  <c r="Q1288" i="1" s="1"/>
  <c r="M1289" i="1"/>
  <c r="R1289" i="1" s="1"/>
  <c r="N1289" i="1"/>
  <c r="Q1289" i="1" s="1"/>
  <c r="M1290" i="1"/>
  <c r="R1290" i="1" s="1"/>
  <c r="N1290" i="1"/>
  <c r="Q1290" i="1" s="1"/>
  <c r="M1291" i="1"/>
  <c r="R1291" i="1" s="1"/>
  <c r="N1291" i="1"/>
  <c r="Q1291" i="1" s="1"/>
  <c r="M1292" i="1"/>
  <c r="R1292" i="1" s="1"/>
  <c r="N1292" i="1"/>
  <c r="Q1292" i="1" s="1"/>
  <c r="M1293" i="1"/>
  <c r="R1293" i="1" s="1"/>
  <c r="N1293" i="1"/>
  <c r="Q1293" i="1" s="1"/>
  <c r="M1294" i="1"/>
  <c r="R1294" i="1" s="1"/>
  <c r="N1294" i="1"/>
  <c r="Q1294" i="1" s="1"/>
  <c r="M1295" i="1"/>
  <c r="R1295" i="1" s="1"/>
  <c r="N1295" i="1"/>
  <c r="Q1295" i="1" s="1"/>
  <c r="M1296" i="1"/>
  <c r="R1296" i="1" s="1"/>
  <c r="N1296" i="1"/>
  <c r="Q1296" i="1" s="1"/>
  <c r="M1297" i="1"/>
  <c r="R1297" i="1" s="1"/>
  <c r="N1297" i="1"/>
  <c r="Q1297" i="1" s="1"/>
  <c r="M1298" i="1"/>
  <c r="R1298" i="1" s="1"/>
  <c r="N1298" i="1"/>
  <c r="Q1298" i="1" s="1"/>
  <c r="M1299" i="1"/>
  <c r="R1299" i="1" s="1"/>
  <c r="N1299" i="1"/>
  <c r="Q1299" i="1" s="1"/>
  <c r="M1300" i="1"/>
  <c r="R1300" i="1" s="1"/>
  <c r="N1300" i="1"/>
  <c r="Q1300" i="1" s="1"/>
  <c r="M1301" i="1"/>
  <c r="R1301" i="1" s="1"/>
  <c r="N1301" i="1"/>
  <c r="Q1301" i="1" s="1"/>
  <c r="M1302" i="1"/>
  <c r="R1302" i="1" s="1"/>
  <c r="N1302" i="1"/>
  <c r="Q1302" i="1" s="1"/>
  <c r="M1303" i="1"/>
  <c r="R1303" i="1" s="1"/>
  <c r="N1303" i="1"/>
  <c r="Q1303" i="1" s="1"/>
  <c r="M1304" i="1"/>
  <c r="R1304" i="1" s="1"/>
  <c r="N1304" i="1"/>
  <c r="Q1304" i="1" s="1"/>
  <c r="M1305" i="1"/>
  <c r="R1305" i="1" s="1"/>
  <c r="N1305" i="1"/>
  <c r="Q1305" i="1" s="1"/>
  <c r="M1306" i="1"/>
  <c r="R1306" i="1" s="1"/>
  <c r="N1306" i="1"/>
  <c r="Q1306" i="1" s="1"/>
  <c r="M1307" i="1"/>
  <c r="R1307" i="1" s="1"/>
  <c r="N1307" i="1"/>
  <c r="Q1307" i="1" s="1"/>
  <c r="M1308" i="1"/>
  <c r="R1308" i="1" s="1"/>
  <c r="N1308" i="1"/>
  <c r="Q1308" i="1" s="1"/>
  <c r="M1309" i="1"/>
  <c r="R1309" i="1" s="1"/>
  <c r="N1309" i="1"/>
  <c r="Q1309" i="1" s="1"/>
  <c r="M1310" i="1"/>
  <c r="R1310" i="1" s="1"/>
  <c r="N1310" i="1"/>
  <c r="Q1310" i="1" s="1"/>
  <c r="M1311" i="1"/>
  <c r="R1311" i="1" s="1"/>
  <c r="N1311" i="1"/>
  <c r="Q1311" i="1" s="1"/>
  <c r="M1312" i="1"/>
  <c r="R1312" i="1" s="1"/>
  <c r="N1312" i="1"/>
  <c r="Q1312" i="1" s="1"/>
  <c r="M1313" i="1"/>
  <c r="R1313" i="1" s="1"/>
  <c r="N1313" i="1"/>
  <c r="Q1313" i="1" s="1"/>
  <c r="M1314" i="1"/>
  <c r="R1314" i="1" s="1"/>
  <c r="N1314" i="1"/>
  <c r="Q1314" i="1" s="1"/>
  <c r="M1315" i="1"/>
  <c r="R1315" i="1" s="1"/>
  <c r="N1315" i="1"/>
  <c r="Q1315" i="1" s="1"/>
  <c r="M1316" i="1"/>
  <c r="R1316" i="1" s="1"/>
  <c r="N1316" i="1"/>
  <c r="Q1316" i="1" s="1"/>
  <c r="M1317" i="1"/>
  <c r="R1317" i="1" s="1"/>
  <c r="N1317" i="1"/>
  <c r="Q1317" i="1" s="1"/>
  <c r="M1318" i="1"/>
  <c r="R1318" i="1" s="1"/>
  <c r="N1318" i="1"/>
  <c r="Q1318" i="1" s="1"/>
  <c r="M1319" i="1"/>
  <c r="R1319" i="1" s="1"/>
  <c r="N1319" i="1"/>
  <c r="Q1319" i="1" s="1"/>
  <c r="M1320" i="1"/>
  <c r="R1320" i="1" s="1"/>
  <c r="N1320" i="1"/>
  <c r="Q1320" i="1" s="1"/>
  <c r="M1321" i="1"/>
  <c r="R1321" i="1" s="1"/>
  <c r="N1321" i="1"/>
  <c r="Q1321" i="1" s="1"/>
  <c r="M1322" i="1"/>
  <c r="R1322" i="1" s="1"/>
  <c r="N1322" i="1"/>
  <c r="Q1322" i="1" s="1"/>
  <c r="M1323" i="1"/>
  <c r="R1323" i="1" s="1"/>
  <c r="N1323" i="1"/>
  <c r="Q1323" i="1" s="1"/>
  <c r="M1324" i="1"/>
  <c r="R1324" i="1" s="1"/>
  <c r="N1324" i="1"/>
  <c r="Q1324" i="1" s="1"/>
  <c r="M1325" i="1"/>
  <c r="R1325" i="1" s="1"/>
  <c r="N1325" i="1"/>
  <c r="Q1325" i="1" s="1"/>
  <c r="M1326" i="1"/>
  <c r="R1326" i="1" s="1"/>
  <c r="N1326" i="1"/>
  <c r="Q1326" i="1" s="1"/>
  <c r="M1327" i="1"/>
  <c r="R1327" i="1" s="1"/>
  <c r="N1327" i="1"/>
  <c r="Q1327" i="1" s="1"/>
  <c r="M1328" i="1"/>
  <c r="R1328" i="1" s="1"/>
  <c r="N1328" i="1"/>
  <c r="Q1328" i="1" s="1"/>
  <c r="M1329" i="1"/>
  <c r="R1329" i="1" s="1"/>
  <c r="N1329" i="1"/>
  <c r="Q1329" i="1" s="1"/>
  <c r="M1330" i="1"/>
  <c r="R1330" i="1" s="1"/>
  <c r="N1330" i="1"/>
  <c r="Q1330" i="1" s="1"/>
  <c r="M1331" i="1"/>
  <c r="R1331" i="1" s="1"/>
  <c r="N1331" i="1"/>
  <c r="Q1331" i="1" s="1"/>
  <c r="M1332" i="1"/>
  <c r="R1332" i="1" s="1"/>
  <c r="N1332" i="1"/>
  <c r="Q1332" i="1" s="1"/>
  <c r="M1333" i="1"/>
  <c r="R1333" i="1" s="1"/>
  <c r="N1333" i="1"/>
  <c r="Q1333" i="1" s="1"/>
  <c r="M1334" i="1"/>
  <c r="R1334" i="1" s="1"/>
  <c r="N1334" i="1"/>
  <c r="Q1334" i="1" s="1"/>
  <c r="M1335" i="1"/>
  <c r="R1335" i="1" s="1"/>
  <c r="N1335" i="1"/>
  <c r="Q1335" i="1" s="1"/>
  <c r="M1336" i="1"/>
  <c r="R1336" i="1" s="1"/>
  <c r="N1336" i="1"/>
  <c r="Q1336" i="1" s="1"/>
  <c r="M1337" i="1"/>
  <c r="R1337" i="1" s="1"/>
  <c r="N1337" i="1"/>
  <c r="Q1337" i="1" s="1"/>
  <c r="M1338" i="1"/>
  <c r="R1338" i="1" s="1"/>
  <c r="N1338" i="1"/>
  <c r="Q1338" i="1" s="1"/>
  <c r="M1339" i="1"/>
  <c r="R1339" i="1" s="1"/>
  <c r="N1339" i="1"/>
  <c r="Q1339" i="1" s="1"/>
  <c r="M1340" i="1"/>
  <c r="R1340" i="1" s="1"/>
  <c r="N1340" i="1"/>
  <c r="Q1340" i="1" s="1"/>
  <c r="M1341" i="1"/>
  <c r="R1341" i="1" s="1"/>
  <c r="N1341" i="1"/>
  <c r="Q1341" i="1" s="1"/>
  <c r="M1342" i="1"/>
  <c r="R1342" i="1" s="1"/>
  <c r="N1342" i="1"/>
  <c r="Q1342" i="1" s="1"/>
  <c r="M1343" i="1"/>
  <c r="R1343" i="1" s="1"/>
  <c r="N1343" i="1"/>
  <c r="Q1343" i="1" s="1"/>
  <c r="M1344" i="1"/>
  <c r="R1344" i="1" s="1"/>
  <c r="N1344" i="1"/>
  <c r="Q1344" i="1" s="1"/>
  <c r="M1345" i="1"/>
  <c r="R1345" i="1" s="1"/>
  <c r="N1345" i="1"/>
  <c r="Q1345" i="1" s="1"/>
  <c r="M1346" i="1"/>
  <c r="R1346" i="1" s="1"/>
  <c r="N1346" i="1"/>
  <c r="Q1346" i="1" s="1"/>
  <c r="M1347" i="1"/>
  <c r="R1347" i="1" s="1"/>
  <c r="N1347" i="1"/>
  <c r="Q1347" i="1" s="1"/>
  <c r="M1348" i="1"/>
  <c r="R1348" i="1" s="1"/>
  <c r="N1348" i="1"/>
  <c r="Q1348" i="1" s="1"/>
  <c r="M1349" i="1"/>
  <c r="R1349" i="1" s="1"/>
  <c r="N1349" i="1"/>
  <c r="Q1349" i="1" s="1"/>
  <c r="M1350" i="1"/>
  <c r="R1350" i="1" s="1"/>
  <c r="N1350" i="1"/>
  <c r="Q1350" i="1" s="1"/>
  <c r="M1351" i="1"/>
  <c r="R1351" i="1" s="1"/>
  <c r="N1351" i="1"/>
  <c r="Q1351" i="1" s="1"/>
  <c r="M1352" i="1"/>
  <c r="R1352" i="1" s="1"/>
  <c r="N1352" i="1"/>
  <c r="Q1352" i="1" s="1"/>
  <c r="M1353" i="1"/>
  <c r="R1353" i="1" s="1"/>
  <c r="N1353" i="1"/>
  <c r="Q1353" i="1" s="1"/>
  <c r="M1354" i="1"/>
  <c r="R1354" i="1" s="1"/>
  <c r="N1354" i="1"/>
  <c r="Q1354" i="1" s="1"/>
  <c r="M1355" i="1"/>
  <c r="R1355" i="1" s="1"/>
  <c r="N1355" i="1"/>
  <c r="Q1355" i="1" s="1"/>
  <c r="M1356" i="1"/>
  <c r="R1356" i="1" s="1"/>
  <c r="N1356" i="1"/>
  <c r="Q1356" i="1" s="1"/>
  <c r="M1357" i="1"/>
  <c r="R1357" i="1" s="1"/>
  <c r="N1357" i="1"/>
  <c r="Q1357" i="1" s="1"/>
  <c r="M1358" i="1"/>
  <c r="R1358" i="1" s="1"/>
  <c r="N1358" i="1"/>
  <c r="Q1358" i="1" s="1"/>
  <c r="M1359" i="1"/>
  <c r="R1359" i="1" s="1"/>
  <c r="N1359" i="1"/>
  <c r="Q1359" i="1" s="1"/>
  <c r="M1360" i="1"/>
  <c r="R1360" i="1" s="1"/>
  <c r="N1360" i="1"/>
  <c r="Q1360" i="1" s="1"/>
  <c r="M1361" i="1"/>
  <c r="R1361" i="1" s="1"/>
  <c r="N1361" i="1"/>
  <c r="Q1361" i="1" s="1"/>
  <c r="M1362" i="1"/>
  <c r="R1362" i="1" s="1"/>
  <c r="N1362" i="1"/>
  <c r="Q1362" i="1" s="1"/>
  <c r="M1363" i="1"/>
  <c r="R1363" i="1" s="1"/>
  <c r="N1363" i="1"/>
  <c r="Q1363" i="1" s="1"/>
  <c r="M1364" i="1"/>
  <c r="R1364" i="1" s="1"/>
  <c r="N1364" i="1"/>
  <c r="Q1364" i="1" s="1"/>
  <c r="M1365" i="1"/>
  <c r="R1365" i="1" s="1"/>
  <c r="N1365" i="1"/>
  <c r="Q1365" i="1" s="1"/>
  <c r="M1366" i="1"/>
  <c r="R1366" i="1" s="1"/>
  <c r="N1366" i="1"/>
  <c r="Q1366" i="1" s="1"/>
  <c r="M1367" i="1"/>
  <c r="R1367" i="1" s="1"/>
  <c r="N1367" i="1"/>
  <c r="Q1367" i="1" s="1"/>
  <c r="M1368" i="1"/>
  <c r="R1368" i="1" s="1"/>
  <c r="N1368" i="1"/>
  <c r="Q1368" i="1" s="1"/>
  <c r="M1369" i="1"/>
  <c r="R1369" i="1" s="1"/>
  <c r="N1369" i="1"/>
  <c r="Q1369" i="1" s="1"/>
  <c r="M1370" i="1"/>
  <c r="R1370" i="1" s="1"/>
  <c r="N1370" i="1"/>
  <c r="Q1370" i="1" s="1"/>
  <c r="M1371" i="1"/>
  <c r="R1371" i="1" s="1"/>
  <c r="N1371" i="1"/>
  <c r="Q1371" i="1" s="1"/>
  <c r="M1372" i="1"/>
  <c r="R1372" i="1" s="1"/>
  <c r="N1372" i="1"/>
  <c r="Q1372" i="1" s="1"/>
  <c r="M1373" i="1"/>
  <c r="R1373" i="1" s="1"/>
  <c r="N1373" i="1"/>
  <c r="Q1373" i="1" s="1"/>
  <c r="M1374" i="1"/>
  <c r="R1374" i="1" s="1"/>
  <c r="N1374" i="1"/>
  <c r="Q1374" i="1" s="1"/>
  <c r="M1375" i="1"/>
  <c r="R1375" i="1" s="1"/>
  <c r="N1375" i="1"/>
  <c r="Q1375" i="1" s="1"/>
  <c r="M1376" i="1"/>
  <c r="R1376" i="1" s="1"/>
  <c r="N1376" i="1"/>
  <c r="Q1376" i="1" s="1"/>
  <c r="M1377" i="1"/>
  <c r="R1377" i="1" s="1"/>
  <c r="N1377" i="1"/>
  <c r="Q1377" i="1" s="1"/>
  <c r="M1378" i="1"/>
  <c r="R1378" i="1" s="1"/>
  <c r="N1378" i="1"/>
  <c r="Q1378" i="1" s="1"/>
  <c r="M1379" i="1"/>
  <c r="R1379" i="1" s="1"/>
  <c r="N1379" i="1"/>
  <c r="Q1379" i="1" s="1"/>
  <c r="M1380" i="1"/>
  <c r="R1380" i="1" s="1"/>
  <c r="N1380" i="1"/>
  <c r="Q1380" i="1" s="1"/>
  <c r="M1381" i="1"/>
  <c r="R1381" i="1" s="1"/>
  <c r="N1381" i="1"/>
  <c r="Q1381" i="1" s="1"/>
  <c r="M1382" i="1"/>
  <c r="R1382" i="1" s="1"/>
  <c r="N1382" i="1"/>
  <c r="Q1382" i="1" s="1"/>
  <c r="M1383" i="1"/>
  <c r="R1383" i="1" s="1"/>
  <c r="N1383" i="1"/>
  <c r="Q1383" i="1" s="1"/>
  <c r="M1384" i="1"/>
  <c r="R1384" i="1" s="1"/>
  <c r="N1384" i="1"/>
  <c r="Q1384" i="1" s="1"/>
  <c r="M1385" i="1"/>
  <c r="R1385" i="1" s="1"/>
  <c r="N1385" i="1"/>
  <c r="Q1385" i="1" s="1"/>
  <c r="M1386" i="1"/>
  <c r="R1386" i="1" s="1"/>
  <c r="N1386" i="1"/>
  <c r="Q1386" i="1" s="1"/>
  <c r="M1387" i="1"/>
  <c r="R1387" i="1" s="1"/>
  <c r="N1387" i="1"/>
  <c r="Q1387" i="1" s="1"/>
  <c r="M1388" i="1"/>
  <c r="R1388" i="1" s="1"/>
  <c r="N1388" i="1"/>
  <c r="Q1388" i="1" s="1"/>
  <c r="M1389" i="1"/>
  <c r="R1389" i="1" s="1"/>
  <c r="N1389" i="1"/>
  <c r="Q1389" i="1" s="1"/>
  <c r="M1390" i="1"/>
  <c r="R1390" i="1" s="1"/>
  <c r="N1390" i="1"/>
  <c r="Q1390" i="1" s="1"/>
  <c r="M1391" i="1"/>
  <c r="R1391" i="1" s="1"/>
  <c r="N1391" i="1"/>
  <c r="Q1391" i="1" s="1"/>
  <c r="M1392" i="1"/>
  <c r="R1392" i="1" s="1"/>
  <c r="N1392" i="1"/>
  <c r="Q1392" i="1" s="1"/>
  <c r="M1393" i="1"/>
  <c r="R1393" i="1" s="1"/>
  <c r="N1393" i="1"/>
  <c r="Q1393" i="1" s="1"/>
  <c r="M1394" i="1"/>
  <c r="R1394" i="1" s="1"/>
  <c r="N1394" i="1"/>
  <c r="Q1394" i="1" s="1"/>
  <c r="M1395" i="1"/>
  <c r="R1395" i="1" s="1"/>
  <c r="N1395" i="1"/>
  <c r="Q1395" i="1" s="1"/>
  <c r="M1396" i="1"/>
  <c r="R1396" i="1" s="1"/>
  <c r="N1396" i="1"/>
  <c r="Q1396" i="1" s="1"/>
  <c r="M1397" i="1"/>
  <c r="R1397" i="1" s="1"/>
  <c r="N1397" i="1"/>
  <c r="Q1397" i="1" s="1"/>
  <c r="M1398" i="1"/>
  <c r="R1398" i="1" s="1"/>
  <c r="N1398" i="1"/>
  <c r="Q1398" i="1" s="1"/>
  <c r="M1399" i="1"/>
  <c r="R1399" i="1" s="1"/>
  <c r="N1399" i="1"/>
  <c r="Q1399" i="1" s="1"/>
  <c r="M1400" i="1"/>
  <c r="R1400" i="1" s="1"/>
  <c r="N1400" i="1"/>
  <c r="Q1400" i="1" s="1"/>
  <c r="M1401" i="1"/>
  <c r="R1401" i="1" s="1"/>
  <c r="N1401" i="1"/>
  <c r="Q1401" i="1" s="1"/>
  <c r="M1402" i="1"/>
  <c r="R1402" i="1" s="1"/>
  <c r="N1402" i="1"/>
  <c r="Q1402" i="1" s="1"/>
  <c r="M1403" i="1"/>
  <c r="R1403" i="1" s="1"/>
  <c r="N1403" i="1"/>
  <c r="Q1403" i="1" s="1"/>
  <c r="M1404" i="1"/>
  <c r="R1404" i="1" s="1"/>
  <c r="N1404" i="1"/>
  <c r="Q1404" i="1" s="1"/>
  <c r="M1405" i="1"/>
  <c r="R1405" i="1" s="1"/>
  <c r="N1405" i="1"/>
  <c r="Q1405" i="1" s="1"/>
  <c r="M1406" i="1"/>
  <c r="R1406" i="1" s="1"/>
  <c r="N1406" i="1"/>
  <c r="Q1406" i="1" s="1"/>
  <c r="M1407" i="1"/>
  <c r="R1407" i="1" s="1"/>
  <c r="N1407" i="1"/>
  <c r="Q1407" i="1" s="1"/>
  <c r="M1408" i="1"/>
  <c r="R1408" i="1" s="1"/>
  <c r="N1408" i="1"/>
  <c r="Q1408" i="1" s="1"/>
  <c r="M1409" i="1"/>
  <c r="R1409" i="1" s="1"/>
  <c r="N1409" i="1"/>
  <c r="Q1409" i="1" s="1"/>
  <c r="M1410" i="1"/>
  <c r="R1410" i="1" s="1"/>
  <c r="N1410" i="1"/>
  <c r="Q1410" i="1" s="1"/>
  <c r="M1411" i="1"/>
  <c r="R1411" i="1" s="1"/>
  <c r="N1411" i="1"/>
  <c r="Q1411" i="1" s="1"/>
  <c r="M1412" i="1"/>
  <c r="R1412" i="1" s="1"/>
  <c r="N1412" i="1"/>
  <c r="Q1412" i="1" s="1"/>
  <c r="M1413" i="1"/>
  <c r="R1413" i="1" s="1"/>
  <c r="N1413" i="1"/>
  <c r="Q1413" i="1" s="1"/>
  <c r="M1414" i="1"/>
  <c r="R1414" i="1" s="1"/>
  <c r="N1414" i="1"/>
  <c r="Q1414" i="1" s="1"/>
  <c r="M1415" i="1"/>
  <c r="R1415" i="1" s="1"/>
  <c r="N1415" i="1"/>
  <c r="Q1415" i="1" s="1"/>
  <c r="M1416" i="1"/>
  <c r="R1416" i="1" s="1"/>
  <c r="N1416" i="1"/>
  <c r="Q1416" i="1" s="1"/>
  <c r="M1417" i="1"/>
  <c r="R1417" i="1" s="1"/>
  <c r="N1417" i="1"/>
  <c r="Q1417" i="1" s="1"/>
  <c r="M1418" i="1"/>
  <c r="R1418" i="1" s="1"/>
  <c r="N1418" i="1"/>
  <c r="Q1418" i="1" s="1"/>
  <c r="M1419" i="1"/>
  <c r="R1419" i="1" s="1"/>
  <c r="N1419" i="1"/>
  <c r="Q1419" i="1" s="1"/>
  <c r="M1420" i="1"/>
  <c r="R1420" i="1" s="1"/>
  <c r="N1420" i="1"/>
  <c r="Q1420" i="1" s="1"/>
  <c r="M1421" i="1"/>
  <c r="R1421" i="1" s="1"/>
  <c r="N1421" i="1"/>
  <c r="Q1421" i="1" s="1"/>
  <c r="M1422" i="1"/>
  <c r="R1422" i="1" s="1"/>
  <c r="N1422" i="1"/>
  <c r="Q1422" i="1" s="1"/>
  <c r="M1423" i="1"/>
  <c r="R1423" i="1" s="1"/>
  <c r="N1423" i="1"/>
  <c r="Q1423" i="1" s="1"/>
  <c r="M1424" i="1"/>
  <c r="R1424" i="1" s="1"/>
  <c r="N1424" i="1"/>
  <c r="Q1424" i="1" s="1"/>
  <c r="M1425" i="1"/>
  <c r="R1425" i="1" s="1"/>
  <c r="N1425" i="1"/>
  <c r="Q1425" i="1" s="1"/>
  <c r="M1426" i="1"/>
  <c r="R1426" i="1" s="1"/>
  <c r="N1426" i="1"/>
  <c r="Q1426" i="1" s="1"/>
  <c r="M1427" i="1"/>
  <c r="R1427" i="1" s="1"/>
  <c r="N1427" i="1"/>
  <c r="Q1427" i="1" s="1"/>
  <c r="M1428" i="1"/>
  <c r="R1428" i="1" s="1"/>
  <c r="N1428" i="1"/>
  <c r="Q1428" i="1" s="1"/>
  <c r="M1429" i="1"/>
  <c r="R1429" i="1" s="1"/>
  <c r="N1429" i="1"/>
  <c r="Q1429" i="1" s="1"/>
  <c r="M1430" i="1"/>
  <c r="R1430" i="1" s="1"/>
  <c r="N1430" i="1"/>
  <c r="Q1430" i="1" s="1"/>
  <c r="M1431" i="1"/>
  <c r="R1431" i="1" s="1"/>
  <c r="N1431" i="1"/>
  <c r="Q1431" i="1" s="1"/>
  <c r="M1432" i="1"/>
  <c r="R1432" i="1" s="1"/>
  <c r="N1432" i="1"/>
  <c r="Q1432" i="1" s="1"/>
  <c r="M1433" i="1"/>
  <c r="R1433" i="1" s="1"/>
  <c r="N1433" i="1"/>
  <c r="Q1433" i="1" s="1"/>
  <c r="M1434" i="1"/>
  <c r="R1434" i="1" s="1"/>
  <c r="N1434" i="1"/>
  <c r="Q1434" i="1" s="1"/>
  <c r="M1435" i="1"/>
  <c r="R1435" i="1" s="1"/>
  <c r="N1435" i="1"/>
  <c r="Q1435" i="1" s="1"/>
  <c r="M1436" i="1"/>
  <c r="R1436" i="1" s="1"/>
  <c r="N1436" i="1"/>
  <c r="Q1436" i="1" s="1"/>
  <c r="M1437" i="1"/>
  <c r="R1437" i="1" s="1"/>
  <c r="N1437" i="1"/>
  <c r="Q1437" i="1" s="1"/>
  <c r="M1438" i="1"/>
  <c r="R1438" i="1" s="1"/>
  <c r="N1438" i="1"/>
  <c r="Q1438" i="1" s="1"/>
  <c r="M1439" i="1"/>
  <c r="R1439" i="1" s="1"/>
  <c r="N1439" i="1"/>
  <c r="Q1439" i="1" s="1"/>
  <c r="M1440" i="1"/>
  <c r="R1440" i="1" s="1"/>
  <c r="N1440" i="1"/>
  <c r="Q1440" i="1" s="1"/>
  <c r="M1441" i="1"/>
  <c r="R1441" i="1" s="1"/>
  <c r="N1441" i="1"/>
  <c r="Q1441" i="1" s="1"/>
  <c r="M1442" i="1"/>
  <c r="R1442" i="1" s="1"/>
  <c r="N1442" i="1"/>
  <c r="Q1442" i="1" s="1"/>
  <c r="M1443" i="1"/>
  <c r="R1443" i="1" s="1"/>
  <c r="N1443" i="1"/>
  <c r="Q1443" i="1" s="1"/>
  <c r="M1444" i="1"/>
  <c r="R1444" i="1" s="1"/>
  <c r="N1444" i="1"/>
  <c r="Q1444" i="1" s="1"/>
  <c r="M1445" i="1"/>
  <c r="R1445" i="1" s="1"/>
  <c r="N1445" i="1"/>
  <c r="Q1445" i="1" s="1"/>
  <c r="M1446" i="1"/>
  <c r="R1446" i="1" s="1"/>
  <c r="N1446" i="1"/>
  <c r="Q1446" i="1" s="1"/>
  <c r="M1447" i="1"/>
  <c r="R1447" i="1" s="1"/>
  <c r="N1447" i="1"/>
  <c r="Q1447" i="1" s="1"/>
  <c r="M1448" i="1"/>
  <c r="R1448" i="1" s="1"/>
  <c r="N1448" i="1"/>
  <c r="Q1448" i="1" s="1"/>
  <c r="M1449" i="1"/>
  <c r="R1449" i="1" s="1"/>
  <c r="N1449" i="1"/>
  <c r="Q1449" i="1" s="1"/>
  <c r="M1450" i="1"/>
  <c r="R1450" i="1" s="1"/>
  <c r="N1450" i="1"/>
  <c r="Q1450" i="1" s="1"/>
  <c r="M1451" i="1"/>
  <c r="R1451" i="1" s="1"/>
  <c r="N1451" i="1"/>
  <c r="Q1451" i="1" s="1"/>
  <c r="M1452" i="1"/>
  <c r="R1452" i="1" s="1"/>
  <c r="N1452" i="1"/>
  <c r="Q1452" i="1" s="1"/>
  <c r="M1453" i="1"/>
  <c r="R1453" i="1" s="1"/>
  <c r="N1453" i="1"/>
  <c r="Q1453" i="1" s="1"/>
  <c r="M1454" i="1"/>
  <c r="R1454" i="1" s="1"/>
  <c r="N1454" i="1"/>
  <c r="Q1454" i="1" s="1"/>
  <c r="M1455" i="1"/>
  <c r="R1455" i="1" s="1"/>
  <c r="N1455" i="1"/>
  <c r="Q1455" i="1" s="1"/>
  <c r="M1456" i="1"/>
  <c r="R1456" i="1" s="1"/>
  <c r="N1456" i="1"/>
  <c r="Q1456" i="1" s="1"/>
  <c r="M1457" i="1"/>
  <c r="R1457" i="1" s="1"/>
  <c r="N1457" i="1"/>
  <c r="Q1457" i="1" s="1"/>
  <c r="M1458" i="1"/>
  <c r="R1458" i="1" s="1"/>
  <c r="N1458" i="1"/>
  <c r="Q1458" i="1" s="1"/>
  <c r="M1459" i="1"/>
  <c r="R1459" i="1" s="1"/>
  <c r="N1459" i="1"/>
  <c r="Q1459" i="1" s="1"/>
  <c r="M1460" i="1"/>
  <c r="R1460" i="1" s="1"/>
  <c r="N1460" i="1"/>
  <c r="Q1460" i="1" s="1"/>
  <c r="M1461" i="1"/>
  <c r="R1461" i="1" s="1"/>
  <c r="N1461" i="1"/>
  <c r="Q1461" i="1" s="1"/>
  <c r="M1462" i="1"/>
  <c r="R1462" i="1" s="1"/>
  <c r="N1462" i="1"/>
  <c r="Q1462" i="1" s="1"/>
  <c r="M1463" i="1"/>
  <c r="R1463" i="1" s="1"/>
  <c r="N1463" i="1"/>
  <c r="Q1463" i="1" s="1"/>
  <c r="M1464" i="1"/>
  <c r="R1464" i="1" s="1"/>
  <c r="N1464" i="1"/>
  <c r="Q1464" i="1" s="1"/>
  <c r="M1465" i="1"/>
  <c r="R1465" i="1" s="1"/>
  <c r="N1465" i="1"/>
  <c r="Q1465" i="1" s="1"/>
  <c r="M1466" i="1"/>
  <c r="R1466" i="1" s="1"/>
  <c r="N1466" i="1"/>
  <c r="Q1466" i="1" s="1"/>
  <c r="M1467" i="1"/>
  <c r="R1467" i="1" s="1"/>
  <c r="N1467" i="1"/>
  <c r="Q1467" i="1" s="1"/>
  <c r="M1468" i="1"/>
  <c r="R1468" i="1" s="1"/>
  <c r="N1468" i="1"/>
  <c r="Q1468" i="1" s="1"/>
  <c r="M1469" i="1"/>
  <c r="R1469" i="1" s="1"/>
  <c r="N1469" i="1"/>
  <c r="Q1469" i="1" s="1"/>
  <c r="M1470" i="1"/>
  <c r="R1470" i="1" s="1"/>
  <c r="N1470" i="1"/>
  <c r="Q1470" i="1" s="1"/>
  <c r="M1471" i="1"/>
  <c r="R1471" i="1" s="1"/>
  <c r="N1471" i="1"/>
  <c r="Q1471" i="1" s="1"/>
  <c r="M1472" i="1"/>
  <c r="R1472" i="1" s="1"/>
  <c r="N1472" i="1"/>
  <c r="Q1472" i="1" s="1"/>
  <c r="M1473" i="1"/>
  <c r="R1473" i="1" s="1"/>
  <c r="N1473" i="1"/>
  <c r="Q1473" i="1" s="1"/>
  <c r="M1474" i="1"/>
  <c r="R1474" i="1" s="1"/>
  <c r="N1474" i="1"/>
  <c r="Q1474" i="1" s="1"/>
  <c r="M1475" i="1"/>
  <c r="R1475" i="1" s="1"/>
  <c r="N1475" i="1"/>
  <c r="Q1475" i="1" s="1"/>
  <c r="M1476" i="1"/>
  <c r="R1476" i="1" s="1"/>
  <c r="N1476" i="1"/>
  <c r="Q1476" i="1" s="1"/>
  <c r="M1477" i="1"/>
  <c r="R1477" i="1" s="1"/>
  <c r="N1477" i="1"/>
  <c r="Q1477" i="1" s="1"/>
  <c r="M1478" i="1"/>
  <c r="R1478" i="1" s="1"/>
  <c r="N1478" i="1"/>
  <c r="Q1478" i="1" s="1"/>
  <c r="M1479" i="1"/>
  <c r="R1479" i="1" s="1"/>
  <c r="N1479" i="1"/>
  <c r="Q1479" i="1" s="1"/>
  <c r="M1480" i="1"/>
  <c r="R1480" i="1" s="1"/>
  <c r="N1480" i="1"/>
  <c r="Q1480" i="1" s="1"/>
  <c r="M1481" i="1"/>
  <c r="R1481" i="1" s="1"/>
  <c r="N1481" i="1"/>
  <c r="Q1481" i="1" s="1"/>
  <c r="M1482" i="1"/>
  <c r="R1482" i="1" s="1"/>
  <c r="N1482" i="1"/>
  <c r="Q1482" i="1" s="1"/>
  <c r="M1483" i="1"/>
  <c r="R1483" i="1" s="1"/>
  <c r="N1483" i="1"/>
  <c r="Q1483" i="1" s="1"/>
  <c r="M1484" i="1"/>
  <c r="R1484" i="1" s="1"/>
  <c r="N1484" i="1"/>
  <c r="Q1484" i="1" s="1"/>
  <c r="M1485" i="1"/>
  <c r="R1485" i="1" s="1"/>
  <c r="N1485" i="1"/>
  <c r="Q1485" i="1" s="1"/>
  <c r="M1486" i="1"/>
  <c r="R1486" i="1" s="1"/>
  <c r="N1486" i="1"/>
  <c r="Q1486" i="1" s="1"/>
  <c r="M1487" i="1"/>
  <c r="R1487" i="1" s="1"/>
  <c r="N1487" i="1"/>
  <c r="Q1487" i="1" s="1"/>
  <c r="M1488" i="1"/>
  <c r="R1488" i="1" s="1"/>
  <c r="N1488" i="1"/>
  <c r="Q1488" i="1" s="1"/>
  <c r="M1489" i="1"/>
  <c r="R1489" i="1" s="1"/>
  <c r="N1489" i="1"/>
  <c r="Q1489" i="1" s="1"/>
  <c r="M1490" i="1"/>
  <c r="R1490" i="1" s="1"/>
  <c r="N1490" i="1"/>
  <c r="Q1490" i="1" s="1"/>
  <c r="M1491" i="1"/>
  <c r="R1491" i="1" s="1"/>
  <c r="N1491" i="1"/>
  <c r="Q1491" i="1" s="1"/>
  <c r="M1492" i="1"/>
  <c r="R1492" i="1" s="1"/>
  <c r="N1492" i="1"/>
  <c r="Q1492" i="1" s="1"/>
  <c r="M1493" i="1"/>
  <c r="R1493" i="1" s="1"/>
  <c r="N1493" i="1"/>
  <c r="Q1493" i="1" s="1"/>
  <c r="M1494" i="1"/>
  <c r="R1494" i="1" s="1"/>
  <c r="N1494" i="1"/>
  <c r="Q1494" i="1" s="1"/>
  <c r="M1495" i="1"/>
  <c r="R1495" i="1" s="1"/>
  <c r="N1495" i="1"/>
  <c r="Q1495" i="1" s="1"/>
  <c r="M1496" i="1"/>
  <c r="R1496" i="1" s="1"/>
  <c r="N1496" i="1"/>
  <c r="Q1496" i="1" s="1"/>
  <c r="M1497" i="1"/>
  <c r="R1497" i="1" s="1"/>
  <c r="N1497" i="1"/>
  <c r="Q1497" i="1" s="1"/>
  <c r="M1498" i="1"/>
  <c r="R1498" i="1" s="1"/>
  <c r="N1498" i="1"/>
  <c r="Q1498" i="1" s="1"/>
  <c r="M1499" i="1"/>
  <c r="R1499" i="1" s="1"/>
  <c r="N1499" i="1"/>
  <c r="Q1499" i="1" s="1"/>
  <c r="M1500" i="1"/>
  <c r="R1500" i="1" s="1"/>
  <c r="N1500" i="1"/>
  <c r="Q1500" i="1" s="1"/>
  <c r="M1501" i="1"/>
  <c r="R1501" i="1" s="1"/>
  <c r="N1501" i="1"/>
  <c r="Q1501" i="1" s="1"/>
  <c r="M1502" i="1"/>
  <c r="R1502" i="1" s="1"/>
  <c r="N1502" i="1"/>
  <c r="Q1502" i="1" s="1"/>
  <c r="M1503" i="1"/>
  <c r="R1503" i="1" s="1"/>
  <c r="N1503" i="1"/>
  <c r="Q1503" i="1" s="1"/>
  <c r="M1504" i="1"/>
  <c r="R1504" i="1" s="1"/>
  <c r="N1504" i="1"/>
  <c r="Q1504" i="1" s="1"/>
  <c r="M1505" i="1"/>
  <c r="R1505" i="1" s="1"/>
  <c r="N1505" i="1"/>
  <c r="Q1505" i="1" s="1"/>
  <c r="M1506" i="1"/>
  <c r="R1506" i="1" s="1"/>
  <c r="N1506" i="1"/>
  <c r="Q1506" i="1" s="1"/>
  <c r="M1507" i="1"/>
  <c r="R1507" i="1" s="1"/>
  <c r="N1507" i="1"/>
  <c r="Q1507" i="1" s="1"/>
  <c r="M1508" i="1"/>
  <c r="R1508" i="1" s="1"/>
  <c r="N1508" i="1"/>
  <c r="Q1508" i="1" s="1"/>
  <c r="M1509" i="1"/>
  <c r="R1509" i="1" s="1"/>
  <c r="N1509" i="1"/>
  <c r="Q1509" i="1" s="1"/>
  <c r="M1510" i="1"/>
  <c r="R1510" i="1" s="1"/>
  <c r="N1510" i="1"/>
  <c r="Q1510" i="1" s="1"/>
  <c r="M1511" i="1"/>
  <c r="R1511" i="1" s="1"/>
  <c r="N1511" i="1"/>
  <c r="Q1511" i="1" s="1"/>
  <c r="M1512" i="1"/>
  <c r="R1512" i="1" s="1"/>
  <c r="N1512" i="1"/>
  <c r="Q1512" i="1" s="1"/>
  <c r="M1513" i="1"/>
  <c r="R1513" i="1" s="1"/>
  <c r="N1513" i="1"/>
  <c r="Q1513" i="1" s="1"/>
  <c r="M1514" i="1"/>
  <c r="R1514" i="1" s="1"/>
  <c r="N1514" i="1"/>
  <c r="Q1514" i="1" s="1"/>
  <c r="M1515" i="1"/>
  <c r="R1515" i="1" s="1"/>
  <c r="N1515" i="1"/>
  <c r="Q1515" i="1" s="1"/>
  <c r="M1516" i="1"/>
  <c r="R1516" i="1" s="1"/>
  <c r="N1516" i="1"/>
  <c r="Q1516" i="1" s="1"/>
  <c r="M1517" i="1"/>
  <c r="R1517" i="1" s="1"/>
  <c r="N1517" i="1"/>
  <c r="Q1517" i="1" s="1"/>
  <c r="M1518" i="1"/>
  <c r="R1518" i="1" s="1"/>
  <c r="N1518" i="1"/>
  <c r="Q1518" i="1" s="1"/>
  <c r="M1519" i="1"/>
  <c r="R1519" i="1" s="1"/>
  <c r="N1519" i="1"/>
  <c r="Q1519" i="1" s="1"/>
  <c r="M1520" i="1"/>
  <c r="R1520" i="1" s="1"/>
  <c r="N1520" i="1"/>
  <c r="Q1520" i="1" s="1"/>
  <c r="M1521" i="1"/>
  <c r="R1521" i="1" s="1"/>
  <c r="N1521" i="1"/>
  <c r="Q1521" i="1" s="1"/>
  <c r="M1522" i="1"/>
  <c r="R1522" i="1" s="1"/>
  <c r="N1522" i="1"/>
  <c r="Q1522" i="1" s="1"/>
  <c r="M1523" i="1"/>
  <c r="R1523" i="1" s="1"/>
  <c r="N1523" i="1"/>
  <c r="Q1523" i="1" s="1"/>
  <c r="M1524" i="1"/>
  <c r="R1524" i="1" s="1"/>
  <c r="N1524" i="1"/>
  <c r="Q1524" i="1" s="1"/>
  <c r="M1525" i="1"/>
  <c r="R1525" i="1" s="1"/>
  <c r="N1525" i="1"/>
  <c r="Q1525" i="1" s="1"/>
  <c r="M1526" i="1"/>
  <c r="R1526" i="1" s="1"/>
  <c r="N1526" i="1"/>
  <c r="Q1526" i="1" s="1"/>
  <c r="M1527" i="1"/>
  <c r="R1527" i="1" s="1"/>
  <c r="N1527" i="1"/>
  <c r="Q1527" i="1" s="1"/>
  <c r="M1528" i="1"/>
  <c r="R1528" i="1" s="1"/>
  <c r="N1528" i="1"/>
  <c r="Q1528" i="1" s="1"/>
  <c r="M1529" i="1"/>
  <c r="R1529" i="1" s="1"/>
  <c r="N1529" i="1"/>
  <c r="Q1529" i="1" s="1"/>
  <c r="M1530" i="1"/>
  <c r="R1530" i="1" s="1"/>
  <c r="N1530" i="1"/>
  <c r="Q1530" i="1" s="1"/>
  <c r="M1531" i="1"/>
  <c r="R1531" i="1" s="1"/>
  <c r="N1531" i="1"/>
  <c r="Q1531" i="1" s="1"/>
  <c r="M1532" i="1"/>
  <c r="R1532" i="1" s="1"/>
  <c r="N1532" i="1"/>
  <c r="Q1532" i="1" s="1"/>
  <c r="M1533" i="1"/>
  <c r="R1533" i="1" s="1"/>
  <c r="N1533" i="1"/>
  <c r="Q1533" i="1" s="1"/>
  <c r="M1534" i="1"/>
  <c r="R1534" i="1" s="1"/>
  <c r="N1534" i="1"/>
  <c r="Q1534" i="1" s="1"/>
  <c r="M1535" i="1"/>
  <c r="R1535" i="1" s="1"/>
  <c r="N1535" i="1"/>
  <c r="Q1535" i="1" s="1"/>
  <c r="M1536" i="1"/>
  <c r="R1536" i="1" s="1"/>
  <c r="N1536" i="1"/>
  <c r="Q1536" i="1" s="1"/>
  <c r="M1537" i="1"/>
  <c r="R1537" i="1" s="1"/>
  <c r="N1537" i="1"/>
  <c r="Q1537" i="1" s="1"/>
  <c r="M1538" i="1"/>
  <c r="R1538" i="1" s="1"/>
  <c r="N1538" i="1"/>
  <c r="Q1538" i="1" s="1"/>
  <c r="M1539" i="1"/>
  <c r="R1539" i="1" s="1"/>
  <c r="N1539" i="1"/>
  <c r="Q1539" i="1" s="1"/>
  <c r="M1540" i="1"/>
  <c r="R1540" i="1" s="1"/>
  <c r="N1540" i="1"/>
  <c r="Q1540" i="1" s="1"/>
  <c r="M1541" i="1"/>
  <c r="R1541" i="1" s="1"/>
  <c r="N1541" i="1"/>
  <c r="Q1541" i="1" s="1"/>
  <c r="M1542" i="1"/>
  <c r="R1542" i="1" s="1"/>
  <c r="N1542" i="1"/>
  <c r="Q1542" i="1" s="1"/>
  <c r="M1543" i="1"/>
  <c r="R1543" i="1" s="1"/>
  <c r="N1543" i="1"/>
  <c r="Q1543" i="1" s="1"/>
  <c r="M1544" i="1"/>
  <c r="R1544" i="1" s="1"/>
  <c r="N1544" i="1"/>
  <c r="Q1544" i="1" s="1"/>
  <c r="M1545" i="1"/>
  <c r="R1545" i="1" s="1"/>
  <c r="N1545" i="1"/>
  <c r="Q1545" i="1" s="1"/>
  <c r="M1546" i="1"/>
  <c r="R1546" i="1" s="1"/>
  <c r="N1546" i="1"/>
  <c r="Q1546" i="1" s="1"/>
  <c r="M1547" i="1"/>
  <c r="R1547" i="1" s="1"/>
  <c r="N1547" i="1"/>
  <c r="Q1547" i="1" s="1"/>
  <c r="M1548" i="1"/>
  <c r="R1548" i="1" s="1"/>
  <c r="N1548" i="1"/>
  <c r="Q1548" i="1" s="1"/>
  <c r="M1549" i="1"/>
  <c r="R1549" i="1" s="1"/>
  <c r="N1549" i="1"/>
  <c r="Q1549" i="1" s="1"/>
  <c r="M1550" i="1"/>
  <c r="R1550" i="1" s="1"/>
  <c r="N1550" i="1"/>
  <c r="Q1550" i="1" s="1"/>
  <c r="M1551" i="1"/>
  <c r="R1551" i="1" s="1"/>
  <c r="N1551" i="1"/>
  <c r="Q1551" i="1" s="1"/>
  <c r="M1552" i="1"/>
  <c r="R1552" i="1" s="1"/>
  <c r="N1552" i="1"/>
  <c r="Q1552" i="1" s="1"/>
  <c r="M1553" i="1"/>
  <c r="R1553" i="1" s="1"/>
  <c r="N1553" i="1"/>
  <c r="Q1553" i="1" s="1"/>
  <c r="M1554" i="1"/>
  <c r="R1554" i="1" s="1"/>
  <c r="N1554" i="1"/>
  <c r="Q1554" i="1" s="1"/>
  <c r="M1555" i="1"/>
  <c r="R1555" i="1" s="1"/>
  <c r="N1555" i="1"/>
  <c r="Q1555" i="1" s="1"/>
  <c r="M1556" i="1"/>
  <c r="R1556" i="1" s="1"/>
  <c r="N1556" i="1"/>
  <c r="Q1556" i="1" s="1"/>
  <c r="M1557" i="1"/>
  <c r="R1557" i="1" s="1"/>
  <c r="N1557" i="1"/>
  <c r="Q1557" i="1" s="1"/>
  <c r="M1558" i="1"/>
  <c r="R1558" i="1" s="1"/>
  <c r="N1558" i="1"/>
  <c r="Q1558" i="1" s="1"/>
  <c r="M1559" i="1"/>
  <c r="R1559" i="1" s="1"/>
  <c r="N1559" i="1"/>
  <c r="Q1559" i="1" s="1"/>
  <c r="M1560" i="1"/>
  <c r="R1560" i="1" s="1"/>
  <c r="N1560" i="1"/>
  <c r="Q1560" i="1" s="1"/>
  <c r="M1561" i="1"/>
  <c r="R1561" i="1" s="1"/>
  <c r="N1561" i="1"/>
  <c r="Q1561" i="1" s="1"/>
  <c r="M1562" i="1"/>
  <c r="R1562" i="1" s="1"/>
  <c r="N1562" i="1"/>
  <c r="Q1562" i="1" s="1"/>
  <c r="M1563" i="1"/>
  <c r="R1563" i="1" s="1"/>
  <c r="N1563" i="1"/>
  <c r="Q1563" i="1" s="1"/>
  <c r="M1564" i="1"/>
  <c r="R1564" i="1" s="1"/>
  <c r="N1564" i="1"/>
  <c r="Q1564" i="1" s="1"/>
  <c r="M1565" i="1"/>
  <c r="R1565" i="1" s="1"/>
  <c r="N1565" i="1"/>
  <c r="Q1565" i="1" s="1"/>
  <c r="M1566" i="1"/>
  <c r="R1566" i="1" s="1"/>
  <c r="N1566" i="1"/>
  <c r="Q1566" i="1" s="1"/>
  <c r="M1567" i="1"/>
  <c r="R1567" i="1" s="1"/>
  <c r="N1567" i="1"/>
  <c r="Q1567" i="1" s="1"/>
  <c r="M1568" i="1"/>
  <c r="R1568" i="1" s="1"/>
  <c r="N1568" i="1"/>
  <c r="Q1568" i="1" s="1"/>
  <c r="M1569" i="1"/>
  <c r="R1569" i="1" s="1"/>
  <c r="N1569" i="1"/>
  <c r="Q1569" i="1" s="1"/>
  <c r="M1570" i="1"/>
  <c r="R1570" i="1" s="1"/>
  <c r="N1570" i="1"/>
  <c r="Q1570" i="1" s="1"/>
  <c r="M1571" i="1"/>
  <c r="R1571" i="1" s="1"/>
  <c r="N1571" i="1"/>
  <c r="Q1571" i="1" s="1"/>
  <c r="M1572" i="1"/>
  <c r="R1572" i="1" s="1"/>
  <c r="N1572" i="1"/>
  <c r="Q1572" i="1" s="1"/>
  <c r="M1573" i="1"/>
  <c r="R1573" i="1" s="1"/>
  <c r="N1573" i="1"/>
  <c r="Q1573" i="1" s="1"/>
  <c r="M1574" i="1"/>
  <c r="R1574" i="1" s="1"/>
  <c r="N1574" i="1"/>
  <c r="Q1574" i="1" s="1"/>
  <c r="M1575" i="1"/>
  <c r="R1575" i="1" s="1"/>
  <c r="N1575" i="1"/>
  <c r="Q1575" i="1" s="1"/>
  <c r="M1576" i="1"/>
  <c r="R1576" i="1" s="1"/>
  <c r="N1576" i="1"/>
  <c r="Q1576" i="1" s="1"/>
  <c r="M1577" i="1"/>
  <c r="R1577" i="1" s="1"/>
  <c r="N1577" i="1"/>
  <c r="Q1577" i="1" s="1"/>
  <c r="M1578" i="1"/>
  <c r="R1578" i="1" s="1"/>
  <c r="N1578" i="1"/>
  <c r="Q1578" i="1" s="1"/>
  <c r="M1579" i="1"/>
  <c r="R1579" i="1" s="1"/>
  <c r="N1579" i="1"/>
  <c r="Q1579" i="1" s="1"/>
  <c r="M1580" i="1"/>
  <c r="R1580" i="1" s="1"/>
  <c r="N1580" i="1"/>
  <c r="Q1580" i="1" s="1"/>
  <c r="M1581" i="1"/>
  <c r="R1581" i="1" s="1"/>
  <c r="N1581" i="1"/>
  <c r="Q1581" i="1" s="1"/>
  <c r="M1582" i="1"/>
  <c r="R1582" i="1" s="1"/>
  <c r="N1582" i="1"/>
  <c r="Q1582" i="1" s="1"/>
  <c r="M1583" i="1"/>
  <c r="R1583" i="1" s="1"/>
  <c r="N1583" i="1"/>
  <c r="Q1583" i="1" s="1"/>
  <c r="M1584" i="1"/>
  <c r="R1584" i="1" s="1"/>
  <c r="N1584" i="1"/>
  <c r="Q1584" i="1" s="1"/>
  <c r="M1585" i="1"/>
  <c r="R1585" i="1" s="1"/>
  <c r="N1585" i="1"/>
  <c r="Q1585" i="1" s="1"/>
  <c r="M1586" i="1"/>
  <c r="R1586" i="1" s="1"/>
  <c r="N1586" i="1"/>
  <c r="Q1586" i="1" s="1"/>
  <c r="M1587" i="1"/>
  <c r="R1587" i="1" s="1"/>
  <c r="N1587" i="1"/>
  <c r="Q1587" i="1" s="1"/>
  <c r="M1588" i="1"/>
  <c r="R1588" i="1" s="1"/>
  <c r="N1588" i="1"/>
  <c r="Q1588" i="1" s="1"/>
  <c r="M1589" i="1"/>
  <c r="R1589" i="1" s="1"/>
  <c r="N1589" i="1"/>
  <c r="Q1589" i="1" s="1"/>
  <c r="M1590" i="1"/>
  <c r="R1590" i="1" s="1"/>
  <c r="N1590" i="1"/>
  <c r="Q1590" i="1" s="1"/>
  <c r="M1591" i="1"/>
  <c r="R1591" i="1" s="1"/>
  <c r="N1591" i="1"/>
  <c r="Q1591" i="1" s="1"/>
  <c r="M1592" i="1"/>
  <c r="R1592" i="1" s="1"/>
  <c r="N1592" i="1"/>
  <c r="Q1592" i="1" s="1"/>
  <c r="M1593" i="1"/>
  <c r="R1593" i="1" s="1"/>
  <c r="N1593" i="1"/>
  <c r="Q1593" i="1" s="1"/>
  <c r="M1594" i="1"/>
  <c r="R1594" i="1" s="1"/>
  <c r="N1594" i="1"/>
  <c r="Q1594" i="1" s="1"/>
  <c r="M1595" i="1"/>
  <c r="R1595" i="1" s="1"/>
  <c r="N1595" i="1"/>
  <c r="Q1595" i="1" s="1"/>
  <c r="M1596" i="1"/>
  <c r="R1596" i="1" s="1"/>
  <c r="N1596" i="1"/>
  <c r="Q1596" i="1" s="1"/>
  <c r="M1597" i="1"/>
  <c r="R1597" i="1" s="1"/>
  <c r="N1597" i="1"/>
  <c r="Q1597" i="1" s="1"/>
  <c r="M1598" i="1"/>
  <c r="R1598" i="1" s="1"/>
  <c r="N1598" i="1"/>
  <c r="Q1598" i="1" s="1"/>
  <c r="M1599" i="1"/>
  <c r="R1599" i="1" s="1"/>
  <c r="N1599" i="1"/>
  <c r="Q1599" i="1" s="1"/>
  <c r="M1600" i="1"/>
  <c r="R1600" i="1" s="1"/>
  <c r="N1600" i="1"/>
  <c r="Q1600" i="1" s="1"/>
  <c r="M1601" i="1"/>
  <c r="R1601" i="1" s="1"/>
  <c r="N1601" i="1"/>
  <c r="Q1601" i="1" s="1"/>
  <c r="M1602" i="1"/>
  <c r="R1602" i="1" s="1"/>
  <c r="N1602" i="1"/>
  <c r="Q1602" i="1" s="1"/>
  <c r="M1603" i="1"/>
  <c r="R1603" i="1" s="1"/>
  <c r="N1603" i="1"/>
  <c r="Q1603" i="1" s="1"/>
  <c r="M1604" i="1"/>
  <c r="R1604" i="1" s="1"/>
  <c r="N1604" i="1"/>
  <c r="Q1604" i="1" s="1"/>
  <c r="M1605" i="1"/>
  <c r="R1605" i="1" s="1"/>
  <c r="N1605" i="1"/>
  <c r="Q1605" i="1" s="1"/>
  <c r="M1606" i="1"/>
  <c r="R1606" i="1" s="1"/>
  <c r="N1606" i="1"/>
  <c r="Q1606" i="1" s="1"/>
  <c r="M1607" i="1"/>
  <c r="R1607" i="1" s="1"/>
  <c r="N1607" i="1"/>
  <c r="Q1607" i="1" s="1"/>
  <c r="M1608" i="1"/>
  <c r="R1608" i="1" s="1"/>
  <c r="N1608" i="1"/>
  <c r="Q1608" i="1" s="1"/>
  <c r="M1609" i="1"/>
  <c r="R1609" i="1" s="1"/>
  <c r="N1609" i="1"/>
  <c r="Q1609" i="1" s="1"/>
  <c r="M1610" i="1"/>
  <c r="R1610" i="1" s="1"/>
  <c r="N1610" i="1"/>
  <c r="Q1610" i="1" s="1"/>
  <c r="M1611" i="1"/>
  <c r="R1611" i="1" s="1"/>
  <c r="N1611" i="1"/>
  <c r="Q1611" i="1" s="1"/>
  <c r="M1612" i="1"/>
  <c r="R1612" i="1" s="1"/>
  <c r="N1612" i="1"/>
  <c r="Q1612" i="1" s="1"/>
  <c r="M1613" i="1"/>
  <c r="R1613" i="1" s="1"/>
  <c r="N1613" i="1"/>
  <c r="Q1613" i="1" s="1"/>
  <c r="M1614" i="1"/>
  <c r="R1614" i="1" s="1"/>
  <c r="N1614" i="1"/>
  <c r="Q1614" i="1" s="1"/>
  <c r="M1615" i="1"/>
  <c r="R1615" i="1" s="1"/>
  <c r="N1615" i="1"/>
  <c r="Q1615" i="1" s="1"/>
  <c r="M1616" i="1"/>
  <c r="R1616" i="1" s="1"/>
  <c r="N1616" i="1"/>
  <c r="Q1616" i="1" s="1"/>
  <c r="M1617" i="1"/>
  <c r="R1617" i="1" s="1"/>
  <c r="N1617" i="1"/>
  <c r="Q1617" i="1" s="1"/>
  <c r="M1618" i="1"/>
  <c r="R1618" i="1" s="1"/>
  <c r="N1618" i="1"/>
  <c r="Q1618" i="1" s="1"/>
  <c r="M1619" i="1"/>
  <c r="R1619" i="1" s="1"/>
  <c r="N1619" i="1"/>
  <c r="Q1619" i="1" s="1"/>
  <c r="M1620" i="1"/>
  <c r="R1620" i="1" s="1"/>
  <c r="N1620" i="1"/>
  <c r="Q1620" i="1" s="1"/>
  <c r="M1621" i="1"/>
  <c r="R1621" i="1" s="1"/>
  <c r="N1621" i="1"/>
  <c r="Q1621" i="1" s="1"/>
  <c r="M1622" i="1"/>
  <c r="R1622" i="1" s="1"/>
  <c r="N1622" i="1"/>
  <c r="Q1622" i="1" s="1"/>
  <c r="M1623" i="1"/>
  <c r="R1623" i="1" s="1"/>
  <c r="N1623" i="1"/>
  <c r="Q1623" i="1" s="1"/>
  <c r="M1624" i="1"/>
  <c r="R1624" i="1" s="1"/>
  <c r="N1624" i="1"/>
  <c r="Q1624" i="1" s="1"/>
  <c r="M1625" i="1"/>
  <c r="R1625" i="1" s="1"/>
  <c r="N1625" i="1"/>
  <c r="Q1625" i="1" s="1"/>
  <c r="M1626" i="1"/>
  <c r="R1626" i="1" s="1"/>
  <c r="N1626" i="1"/>
  <c r="Q1626" i="1" s="1"/>
  <c r="M1627" i="1"/>
  <c r="R1627" i="1" s="1"/>
  <c r="N1627" i="1"/>
  <c r="Q1627" i="1" s="1"/>
  <c r="M1628" i="1"/>
  <c r="R1628" i="1" s="1"/>
  <c r="N1628" i="1"/>
  <c r="Q1628" i="1" s="1"/>
  <c r="M1629" i="1"/>
  <c r="R1629" i="1" s="1"/>
  <c r="N1629" i="1"/>
  <c r="Q1629" i="1" s="1"/>
  <c r="M1630" i="1"/>
  <c r="R1630" i="1" s="1"/>
  <c r="N1630" i="1"/>
  <c r="Q1630" i="1" s="1"/>
  <c r="M1631" i="1"/>
  <c r="R1631" i="1" s="1"/>
  <c r="N1631" i="1"/>
  <c r="Q1631" i="1" s="1"/>
  <c r="M1632" i="1"/>
  <c r="R1632" i="1" s="1"/>
  <c r="N1632" i="1"/>
  <c r="Q1632" i="1" s="1"/>
  <c r="M1633" i="1"/>
  <c r="R1633" i="1" s="1"/>
  <c r="N1633" i="1"/>
  <c r="Q1633" i="1" s="1"/>
  <c r="M1634" i="1"/>
  <c r="R1634" i="1" s="1"/>
  <c r="N1634" i="1"/>
  <c r="Q1634" i="1" s="1"/>
  <c r="M1635" i="1"/>
  <c r="R1635" i="1" s="1"/>
  <c r="N1635" i="1"/>
  <c r="Q1635" i="1" s="1"/>
  <c r="M1636" i="1"/>
  <c r="R1636" i="1" s="1"/>
  <c r="N1636" i="1"/>
  <c r="Q1636" i="1" s="1"/>
  <c r="M1637" i="1"/>
  <c r="R1637" i="1" s="1"/>
  <c r="N1637" i="1"/>
  <c r="Q1637" i="1" s="1"/>
  <c r="M1638" i="1"/>
  <c r="R1638" i="1" s="1"/>
  <c r="N1638" i="1"/>
  <c r="Q1638" i="1" s="1"/>
  <c r="M1639" i="1"/>
  <c r="R1639" i="1" s="1"/>
  <c r="N1639" i="1"/>
  <c r="Q1639" i="1" s="1"/>
  <c r="M1640" i="1"/>
  <c r="R1640" i="1" s="1"/>
  <c r="N1640" i="1"/>
  <c r="Q1640" i="1" s="1"/>
  <c r="M1641" i="1"/>
  <c r="R1641" i="1" s="1"/>
  <c r="N1641" i="1"/>
  <c r="Q1641" i="1" s="1"/>
  <c r="M1642" i="1"/>
  <c r="R1642" i="1" s="1"/>
  <c r="N1642" i="1"/>
  <c r="Q1642" i="1" s="1"/>
  <c r="M1643" i="1"/>
  <c r="R1643" i="1" s="1"/>
  <c r="N1643" i="1"/>
  <c r="Q1643" i="1" s="1"/>
  <c r="M1644" i="1"/>
  <c r="R1644" i="1" s="1"/>
  <c r="N1644" i="1"/>
  <c r="Q1644" i="1" s="1"/>
  <c r="M1645" i="1"/>
  <c r="R1645" i="1" s="1"/>
  <c r="N1645" i="1"/>
  <c r="Q1645" i="1" s="1"/>
  <c r="M1646" i="1"/>
  <c r="R1646" i="1" s="1"/>
  <c r="N1646" i="1"/>
  <c r="Q1646" i="1" s="1"/>
  <c r="M1647" i="1"/>
  <c r="R1647" i="1" s="1"/>
  <c r="N1647" i="1"/>
  <c r="Q1647" i="1" s="1"/>
  <c r="M1648" i="1"/>
  <c r="R1648" i="1" s="1"/>
  <c r="N1648" i="1"/>
  <c r="Q1648" i="1" s="1"/>
  <c r="M1649" i="1"/>
  <c r="R1649" i="1" s="1"/>
  <c r="N1649" i="1"/>
  <c r="Q1649" i="1" s="1"/>
  <c r="M1650" i="1"/>
  <c r="R1650" i="1" s="1"/>
  <c r="N1650" i="1"/>
  <c r="Q1650" i="1" s="1"/>
  <c r="M1651" i="1"/>
  <c r="R1651" i="1" s="1"/>
  <c r="N1651" i="1"/>
  <c r="Q1651" i="1" s="1"/>
  <c r="M1652" i="1"/>
  <c r="R1652" i="1" s="1"/>
  <c r="N1652" i="1"/>
  <c r="Q1652" i="1" s="1"/>
  <c r="M1653" i="1"/>
  <c r="R1653" i="1" s="1"/>
  <c r="N1653" i="1"/>
  <c r="Q1653" i="1" s="1"/>
  <c r="M1654" i="1"/>
  <c r="R1654" i="1" s="1"/>
  <c r="N1654" i="1"/>
  <c r="Q1654" i="1" s="1"/>
  <c r="M1655" i="1"/>
  <c r="R1655" i="1" s="1"/>
  <c r="N1655" i="1"/>
  <c r="Q1655" i="1" s="1"/>
  <c r="M1656" i="1"/>
  <c r="R1656" i="1" s="1"/>
  <c r="N1656" i="1"/>
  <c r="Q1656" i="1" s="1"/>
  <c r="M1657" i="1"/>
  <c r="R1657" i="1" s="1"/>
  <c r="N1657" i="1"/>
  <c r="Q1657" i="1" s="1"/>
  <c r="M1658" i="1"/>
  <c r="R1658" i="1" s="1"/>
  <c r="N1658" i="1"/>
  <c r="Q1658" i="1" s="1"/>
  <c r="M1659" i="1"/>
  <c r="R1659" i="1" s="1"/>
  <c r="N1659" i="1"/>
  <c r="Q1659" i="1" s="1"/>
  <c r="M1660" i="1"/>
  <c r="R1660" i="1" s="1"/>
  <c r="N1660" i="1"/>
  <c r="Q1660" i="1" s="1"/>
  <c r="M1661" i="1"/>
  <c r="R1661" i="1" s="1"/>
  <c r="N1661" i="1"/>
  <c r="Q1661" i="1" s="1"/>
  <c r="M1662" i="1"/>
  <c r="R1662" i="1" s="1"/>
  <c r="N1662" i="1"/>
  <c r="Q1662" i="1" s="1"/>
  <c r="M1663" i="1"/>
  <c r="R1663" i="1" s="1"/>
  <c r="N1663" i="1"/>
  <c r="Q1663" i="1" s="1"/>
  <c r="M1664" i="1"/>
  <c r="R1664" i="1" s="1"/>
  <c r="N1664" i="1"/>
  <c r="Q1664" i="1" s="1"/>
  <c r="M1665" i="1"/>
  <c r="R1665" i="1" s="1"/>
  <c r="N1665" i="1"/>
  <c r="Q1665" i="1" s="1"/>
  <c r="M1666" i="1"/>
  <c r="R1666" i="1" s="1"/>
  <c r="N1666" i="1"/>
  <c r="Q1666" i="1" s="1"/>
  <c r="M1667" i="1"/>
  <c r="R1667" i="1" s="1"/>
  <c r="N1667" i="1"/>
  <c r="Q1667" i="1" s="1"/>
  <c r="M1668" i="1"/>
  <c r="R1668" i="1" s="1"/>
  <c r="N1668" i="1"/>
  <c r="Q1668" i="1" s="1"/>
  <c r="M1669" i="1"/>
  <c r="R1669" i="1" s="1"/>
  <c r="N1669" i="1"/>
  <c r="Q1669" i="1" s="1"/>
  <c r="M1670" i="1"/>
  <c r="R1670" i="1" s="1"/>
  <c r="N1670" i="1"/>
  <c r="Q1670" i="1" s="1"/>
  <c r="M1671" i="1"/>
  <c r="R1671" i="1" s="1"/>
  <c r="N1671" i="1"/>
  <c r="Q1671" i="1" s="1"/>
  <c r="M1672" i="1"/>
  <c r="R1672" i="1" s="1"/>
  <c r="N1672" i="1"/>
  <c r="Q1672" i="1" s="1"/>
  <c r="M1673" i="1"/>
  <c r="R1673" i="1" s="1"/>
  <c r="N1673" i="1"/>
  <c r="Q1673" i="1" s="1"/>
  <c r="M1674" i="1"/>
  <c r="R1674" i="1" s="1"/>
  <c r="N1674" i="1"/>
  <c r="Q1674" i="1" s="1"/>
  <c r="M1675" i="1"/>
  <c r="R1675" i="1" s="1"/>
  <c r="N1675" i="1"/>
  <c r="Q1675" i="1" s="1"/>
  <c r="M1676" i="1"/>
  <c r="R1676" i="1" s="1"/>
  <c r="N1676" i="1"/>
  <c r="Q1676" i="1" s="1"/>
  <c r="M1677" i="1"/>
  <c r="R1677" i="1" s="1"/>
  <c r="N1677" i="1"/>
  <c r="Q1677" i="1" s="1"/>
  <c r="M1678" i="1"/>
  <c r="R1678" i="1" s="1"/>
  <c r="N1678" i="1"/>
  <c r="Q1678" i="1" s="1"/>
  <c r="M1679" i="1"/>
  <c r="R1679" i="1" s="1"/>
  <c r="N1679" i="1"/>
  <c r="Q1679" i="1" s="1"/>
  <c r="M1680" i="1"/>
  <c r="R1680" i="1" s="1"/>
  <c r="N1680" i="1"/>
  <c r="Q1680" i="1" s="1"/>
  <c r="M1681" i="1"/>
  <c r="R1681" i="1" s="1"/>
  <c r="N1681" i="1"/>
  <c r="Q1681" i="1" s="1"/>
  <c r="M1682" i="1"/>
  <c r="R1682" i="1" s="1"/>
  <c r="N1682" i="1"/>
  <c r="Q1682" i="1" s="1"/>
  <c r="M1683" i="1"/>
  <c r="R1683" i="1" s="1"/>
  <c r="N1683" i="1"/>
  <c r="Q1683" i="1" s="1"/>
  <c r="M1684" i="1"/>
  <c r="R1684" i="1" s="1"/>
  <c r="N1684" i="1"/>
  <c r="Q1684" i="1" s="1"/>
  <c r="M1685" i="1"/>
  <c r="R1685" i="1" s="1"/>
  <c r="N1685" i="1"/>
  <c r="Q1685" i="1" s="1"/>
  <c r="M1686" i="1"/>
  <c r="R1686" i="1" s="1"/>
  <c r="N1686" i="1"/>
  <c r="Q1686" i="1" s="1"/>
  <c r="M1687" i="1"/>
  <c r="R1687" i="1" s="1"/>
  <c r="N1687" i="1"/>
  <c r="Q1687" i="1" s="1"/>
  <c r="M1688" i="1"/>
  <c r="R1688" i="1" s="1"/>
  <c r="N1688" i="1"/>
  <c r="Q1688" i="1" s="1"/>
  <c r="M1689" i="1"/>
  <c r="R1689" i="1" s="1"/>
  <c r="N1689" i="1"/>
  <c r="Q1689" i="1" s="1"/>
  <c r="M1690" i="1"/>
  <c r="R1690" i="1" s="1"/>
  <c r="N1690" i="1"/>
  <c r="Q1690" i="1" s="1"/>
  <c r="M1691" i="1"/>
  <c r="R1691" i="1" s="1"/>
  <c r="N1691" i="1"/>
  <c r="Q1691" i="1" s="1"/>
  <c r="M1692" i="1"/>
  <c r="R1692" i="1" s="1"/>
  <c r="N1692" i="1"/>
  <c r="Q1692" i="1" s="1"/>
  <c r="M1693" i="1"/>
  <c r="R1693" i="1" s="1"/>
  <c r="N1693" i="1"/>
  <c r="Q1693" i="1" s="1"/>
  <c r="M1694" i="1"/>
  <c r="R1694" i="1" s="1"/>
  <c r="N1694" i="1"/>
  <c r="Q1694" i="1" s="1"/>
  <c r="M1695" i="1"/>
  <c r="R1695" i="1" s="1"/>
  <c r="N1695" i="1"/>
  <c r="Q1695" i="1" s="1"/>
  <c r="M1696" i="1"/>
  <c r="R1696" i="1" s="1"/>
  <c r="N1696" i="1"/>
  <c r="Q1696" i="1" s="1"/>
  <c r="M1697" i="1"/>
  <c r="R1697" i="1" s="1"/>
  <c r="N1697" i="1"/>
  <c r="Q1697" i="1" s="1"/>
  <c r="M1698" i="1"/>
  <c r="R1698" i="1" s="1"/>
  <c r="N1698" i="1"/>
  <c r="Q1698" i="1" s="1"/>
  <c r="M1699" i="1"/>
  <c r="R1699" i="1" s="1"/>
  <c r="N1699" i="1"/>
  <c r="Q1699" i="1" s="1"/>
  <c r="M1700" i="1"/>
  <c r="R1700" i="1" s="1"/>
  <c r="N1700" i="1"/>
  <c r="Q1700" i="1" s="1"/>
  <c r="M1701" i="1"/>
  <c r="R1701" i="1" s="1"/>
  <c r="N1701" i="1"/>
  <c r="Q1701" i="1" s="1"/>
  <c r="M1702" i="1"/>
  <c r="R1702" i="1" s="1"/>
  <c r="N1702" i="1"/>
  <c r="Q1702" i="1" s="1"/>
  <c r="M1703" i="1"/>
  <c r="R1703" i="1" s="1"/>
  <c r="N1703" i="1"/>
  <c r="Q1703" i="1" s="1"/>
  <c r="M1704" i="1"/>
  <c r="R1704" i="1" s="1"/>
  <c r="N1704" i="1"/>
  <c r="Q1704" i="1" s="1"/>
  <c r="M1705" i="1"/>
  <c r="R1705" i="1" s="1"/>
  <c r="N1705" i="1"/>
  <c r="Q1705" i="1" s="1"/>
  <c r="M1706" i="1"/>
  <c r="R1706" i="1" s="1"/>
  <c r="N1706" i="1"/>
  <c r="Q1706" i="1" s="1"/>
  <c r="M1707" i="1"/>
  <c r="R1707" i="1" s="1"/>
  <c r="N1707" i="1"/>
  <c r="Q1707" i="1" s="1"/>
  <c r="M1708" i="1"/>
  <c r="R1708" i="1" s="1"/>
  <c r="N1708" i="1"/>
  <c r="Q1708" i="1" s="1"/>
  <c r="M1709" i="1"/>
  <c r="R1709" i="1" s="1"/>
  <c r="N1709" i="1"/>
  <c r="Q1709" i="1" s="1"/>
  <c r="M1710" i="1"/>
  <c r="R1710" i="1" s="1"/>
  <c r="N1710" i="1"/>
  <c r="Q1710" i="1" s="1"/>
  <c r="M1711" i="1"/>
  <c r="R1711" i="1" s="1"/>
  <c r="N1711" i="1"/>
  <c r="Q1711" i="1" s="1"/>
  <c r="M1712" i="1"/>
  <c r="R1712" i="1" s="1"/>
  <c r="N1712" i="1"/>
  <c r="Q1712" i="1" s="1"/>
  <c r="M1713" i="1"/>
  <c r="R1713" i="1" s="1"/>
  <c r="N1713" i="1"/>
  <c r="Q1713" i="1" s="1"/>
  <c r="M1714" i="1"/>
  <c r="R1714" i="1" s="1"/>
  <c r="N1714" i="1"/>
  <c r="Q1714" i="1" s="1"/>
  <c r="M1715" i="1"/>
  <c r="R1715" i="1" s="1"/>
  <c r="N1715" i="1"/>
  <c r="Q1715" i="1" s="1"/>
  <c r="M1716" i="1"/>
  <c r="R1716" i="1" s="1"/>
  <c r="N1716" i="1"/>
  <c r="Q1716" i="1" s="1"/>
  <c r="M1717" i="1"/>
  <c r="R1717" i="1" s="1"/>
  <c r="N1717" i="1"/>
  <c r="Q1717" i="1" s="1"/>
  <c r="M1718" i="1"/>
  <c r="R1718" i="1" s="1"/>
  <c r="N1718" i="1"/>
  <c r="Q1718" i="1" s="1"/>
  <c r="M1719" i="1"/>
  <c r="R1719" i="1" s="1"/>
  <c r="N1719" i="1"/>
  <c r="Q1719" i="1" s="1"/>
  <c r="M1720" i="1"/>
  <c r="R1720" i="1" s="1"/>
  <c r="N1720" i="1"/>
  <c r="Q1720" i="1" s="1"/>
  <c r="M1721" i="1"/>
  <c r="R1721" i="1" s="1"/>
  <c r="N1721" i="1"/>
  <c r="Q1721" i="1" s="1"/>
  <c r="M1722" i="1"/>
  <c r="R1722" i="1" s="1"/>
  <c r="N1722" i="1"/>
  <c r="Q1722" i="1" s="1"/>
  <c r="M1723" i="1"/>
  <c r="R1723" i="1" s="1"/>
  <c r="N1723" i="1"/>
  <c r="Q1723" i="1" s="1"/>
  <c r="M1724" i="1"/>
  <c r="R1724" i="1" s="1"/>
  <c r="N1724" i="1"/>
  <c r="Q1724" i="1" s="1"/>
  <c r="M1725" i="1"/>
  <c r="R1725" i="1" s="1"/>
  <c r="N1725" i="1"/>
  <c r="Q1725" i="1" s="1"/>
  <c r="M1726" i="1"/>
  <c r="R1726" i="1" s="1"/>
  <c r="N1726" i="1"/>
  <c r="Q1726" i="1" s="1"/>
  <c r="M1727" i="1"/>
  <c r="R1727" i="1" s="1"/>
  <c r="N1727" i="1"/>
  <c r="Q1727" i="1" s="1"/>
  <c r="M1728" i="1"/>
  <c r="R1728" i="1" s="1"/>
  <c r="N1728" i="1"/>
  <c r="Q1728" i="1" s="1"/>
  <c r="M1729" i="1"/>
  <c r="R1729" i="1" s="1"/>
  <c r="N1729" i="1"/>
  <c r="Q1729" i="1" s="1"/>
  <c r="M1730" i="1"/>
  <c r="R1730" i="1" s="1"/>
  <c r="N1730" i="1"/>
  <c r="Q1730" i="1" s="1"/>
  <c r="M1731" i="1"/>
  <c r="R1731" i="1" s="1"/>
  <c r="N1731" i="1"/>
  <c r="Q1731" i="1" s="1"/>
  <c r="M1732" i="1"/>
  <c r="R1732" i="1" s="1"/>
  <c r="N1732" i="1"/>
  <c r="Q1732" i="1" s="1"/>
  <c r="M1733" i="1"/>
  <c r="R1733" i="1" s="1"/>
  <c r="N1733" i="1"/>
  <c r="Q1733" i="1" s="1"/>
  <c r="M1734" i="1"/>
  <c r="R1734" i="1" s="1"/>
  <c r="N1734" i="1"/>
  <c r="Q1734" i="1" s="1"/>
  <c r="M1735" i="1"/>
  <c r="R1735" i="1" s="1"/>
  <c r="N1735" i="1"/>
  <c r="Q1735" i="1" s="1"/>
  <c r="M1736" i="1"/>
  <c r="R1736" i="1" s="1"/>
  <c r="N1736" i="1"/>
  <c r="Q1736" i="1" s="1"/>
  <c r="M1737" i="1"/>
  <c r="R1737" i="1" s="1"/>
  <c r="N1737" i="1"/>
  <c r="Q1737" i="1" s="1"/>
  <c r="M1738" i="1"/>
  <c r="R1738" i="1" s="1"/>
  <c r="N1738" i="1"/>
  <c r="Q1738" i="1" s="1"/>
  <c r="M1739" i="1"/>
  <c r="R1739" i="1" s="1"/>
  <c r="N1739" i="1"/>
  <c r="Q1739" i="1" s="1"/>
  <c r="M1740" i="1"/>
  <c r="R1740" i="1" s="1"/>
  <c r="N1740" i="1"/>
  <c r="Q1740" i="1" s="1"/>
  <c r="M1741" i="1"/>
  <c r="R1741" i="1" s="1"/>
  <c r="N1741" i="1"/>
  <c r="Q1741" i="1" s="1"/>
  <c r="M1742" i="1"/>
  <c r="R1742" i="1" s="1"/>
  <c r="N1742" i="1"/>
  <c r="Q1742" i="1" s="1"/>
  <c r="M1743" i="1"/>
  <c r="R1743" i="1" s="1"/>
  <c r="N1743" i="1"/>
  <c r="Q1743" i="1" s="1"/>
  <c r="M1744" i="1"/>
  <c r="R1744" i="1" s="1"/>
  <c r="N1744" i="1"/>
  <c r="Q1744" i="1" s="1"/>
  <c r="M1745" i="1"/>
  <c r="R1745" i="1" s="1"/>
  <c r="N1745" i="1"/>
  <c r="Q1745" i="1" s="1"/>
  <c r="M1746" i="1"/>
  <c r="R1746" i="1" s="1"/>
  <c r="N1746" i="1"/>
  <c r="Q1746" i="1" s="1"/>
  <c r="M1747" i="1"/>
  <c r="R1747" i="1" s="1"/>
  <c r="N1747" i="1"/>
  <c r="Q1747" i="1" s="1"/>
  <c r="M1748" i="1"/>
  <c r="R1748" i="1" s="1"/>
  <c r="N1748" i="1"/>
  <c r="Q1748" i="1" s="1"/>
  <c r="M1749" i="1"/>
  <c r="R1749" i="1" s="1"/>
  <c r="N1749" i="1"/>
  <c r="Q1749" i="1" s="1"/>
  <c r="M1750" i="1"/>
  <c r="R1750" i="1" s="1"/>
  <c r="N1750" i="1"/>
  <c r="Q1750" i="1" s="1"/>
  <c r="M1751" i="1"/>
  <c r="R1751" i="1" s="1"/>
  <c r="N1751" i="1"/>
  <c r="Q1751" i="1" s="1"/>
  <c r="M1752" i="1"/>
  <c r="R1752" i="1" s="1"/>
  <c r="N1752" i="1"/>
  <c r="Q1752" i="1" s="1"/>
  <c r="M1753" i="1"/>
  <c r="R1753" i="1" s="1"/>
  <c r="N1753" i="1"/>
  <c r="Q1753" i="1" s="1"/>
  <c r="M1754" i="1"/>
  <c r="R1754" i="1" s="1"/>
  <c r="N1754" i="1"/>
  <c r="Q1754" i="1" s="1"/>
  <c r="M1755" i="1"/>
  <c r="R1755" i="1" s="1"/>
  <c r="N1755" i="1"/>
  <c r="Q1755" i="1" s="1"/>
  <c r="M1756" i="1"/>
  <c r="R1756" i="1" s="1"/>
  <c r="N1756" i="1"/>
  <c r="Q1756" i="1" s="1"/>
  <c r="M1757" i="1"/>
  <c r="R1757" i="1" s="1"/>
  <c r="N1757" i="1"/>
  <c r="Q1757" i="1" s="1"/>
  <c r="M1758" i="1"/>
  <c r="R1758" i="1" s="1"/>
  <c r="N1758" i="1"/>
  <c r="Q1758" i="1" s="1"/>
  <c r="M1759" i="1"/>
  <c r="R1759" i="1" s="1"/>
  <c r="N1759" i="1"/>
  <c r="Q1759" i="1" s="1"/>
  <c r="M1760" i="1"/>
  <c r="R1760" i="1" s="1"/>
  <c r="N1760" i="1"/>
  <c r="Q1760" i="1" s="1"/>
  <c r="M1761" i="1"/>
  <c r="R1761" i="1" s="1"/>
  <c r="N1761" i="1"/>
  <c r="Q1761" i="1" s="1"/>
  <c r="M1762" i="1"/>
  <c r="R1762" i="1" s="1"/>
  <c r="N1762" i="1"/>
  <c r="Q1762" i="1" s="1"/>
  <c r="M1763" i="1"/>
  <c r="R1763" i="1" s="1"/>
  <c r="N1763" i="1"/>
  <c r="Q1763" i="1" s="1"/>
  <c r="M1764" i="1"/>
  <c r="R1764" i="1" s="1"/>
  <c r="N1764" i="1"/>
  <c r="Q1764" i="1" s="1"/>
  <c r="M1765" i="1"/>
  <c r="R1765" i="1" s="1"/>
  <c r="N1765" i="1"/>
  <c r="Q1765" i="1" s="1"/>
  <c r="M1766" i="1"/>
  <c r="R1766" i="1" s="1"/>
  <c r="N1766" i="1"/>
  <c r="Q1766" i="1" s="1"/>
  <c r="M1767" i="1"/>
  <c r="R1767" i="1" s="1"/>
  <c r="N1767" i="1"/>
  <c r="Q1767" i="1" s="1"/>
  <c r="M1768" i="1"/>
  <c r="R1768" i="1" s="1"/>
  <c r="N1768" i="1"/>
  <c r="Q1768" i="1" s="1"/>
  <c r="M1769" i="1"/>
  <c r="R1769" i="1" s="1"/>
  <c r="N1769" i="1"/>
  <c r="Q1769" i="1" s="1"/>
  <c r="M1770" i="1"/>
  <c r="R1770" i="1" s="1"/>
  <c r="N1770" i="1"/>
  <c r="Q1770" i="1" s="1"/>
  <c r="M1771" i="1"/>
  <c r="R1771" i="1" s="1"/>
  <c r="N1771" i="1"/>
  <c r="Q1771" i="1" s="1"/>
  <c r="M1772" i="1"/>
  <c r="R1772" i="1" s="1"/>
  <c r="N1772" i="1"/>
  <c r="Q1772" i="1" s="1"/>
  <c r="M1773" i="1"/>
  <c r="R1773" i="1" s="1"/>
  <c r="N1773" i="1"/>
  <c r="Q1773" i="1" s="1"/>
  <c r="M1774" i="1"/>
  <c r="R1774" i="1" s="1"/>
  <c r="N1774" i="1"/>
  <c r="Q1774" i="1" s="1"/>
  <c r="M1775" i="1"/>
  <c r="R1775" i="1" s="1"/>
  <c r="N1775" i="1"/>
  <c r="Q1775" i="1" s="1"/>
  <c r="M1776" i="1"/>
  <c r="R1776" i="1" s="1"/>
  <c r="N1776" i="1"/>
  <c r="Q1776" i="1" s="1"/>
  <c r="M1777" i="1"/>
  <c r="R1777" i="1" s="1"/>
  <c r="N1777" i="1"/>
  <c r="Q1777" i="1" s="1"/>
  <c r="M1778" i="1"/>
  <c r="R1778" i="1" s="1"/>
  <c r="N1778" i="1"/>
  <c r="Q1778" i="1" s="1"/>
  <c r="M1779" i="1"/>
  <c r="R1779" i="1" s="1"/>
  <c r="N1779" i="1"/>
  <c r="Q1779" i="1" s="1"/>
  <c r="M1780" i="1"/>
  <c r="R1780" i="1" s="1"/>
  <c r="N1780" i="1"/>
  <c r="Q1780" i="1" s="1"/>
  <c r="M1781" i="1"/>
  <c r="R1781" i="1" s="1"/>
  <c r="N1781" i="1"/>
  <c r="Q1781" i="1" s="1"/>
  <c r="M1782" i="1"/>
  <c r="R1782" i="1" s="1"/>
  <c r="N1782" i="1"/>
  <c r="Q1782" i="1" s="1"/>
  <c r="M1783" i="1"/>
  <c r="R1783" i="1" s="1"/>
  <c r="N1783" i="1"/>
  <c r="Q1783" i="1" s="1"/>
  <c r="M1784" i="1"/>
  <c r="R1784" i="1" s="1"/>
  <c r="N1784" i="1"/>
  <c r="Q1784" i="1" s="1"/>
  <c r="M1785" i="1"/>
  <c r="R1785" i="1" s="1"/>
  <c r="N1785" i="1"/>
  <c r="Q1785" i="1" s="1"/>
  <c r="M1786" i="1"/>
  <c r="R1786" i="1" s="1"/>
  <c r="N1786" i="1"/>
  <c r="Q1786" i="1" s="1"/>
  <c r="M1787" i="1"/>
  <c r="R1787" i="1" s="1"/>
  <c r="N1787" i="1"/>
  <c r="Q1787" i="1" s="1"/>
  <c r="M1788" i="1"/>
  <c r="R1788" i="1" s="1"/>
  <c r="N1788" i="1"/>
  <c r="Q1788" i="1" s="1"/>
  <c r="M1789" i="1"/>
  <c r="R1789" i="1" s="1"/>
  <c r="N1789" i="1"/>
  <c r="Q1789" i="1" s="1"/>
  <c r="M1790" i="1"/>
  <c r="R1790" i="1" s="1"/>
  <c r="N1790" i="1"/>
  <c r="Q1790" i="1" s="1"/>
  <c r="M1791" i="1"/>
  <c r="R1791" i="1" s="1"/>
  <c r="N1791" i="1"/>
  <c r="Q1791" i="1" s="1"/>
  <c r="M1792" i="1"/>
  <c r="R1792" i="1" s="1"/>
  <c r="N1792" i="1"/>
  <c r="Q1792" i="1" s="1"/>
  <c r="M1793" i="1"/>
  <c r="R1793" i="1" s="1"/>
  <c r="N1793" i="1"/>
  <c r="Q1793" i="1" s="1"/>
  <c r="M1794" i="1"/>
  <c r="R1794" i="1" s="1"/>
  <c r="N1794" i="1"/>
  <c r="Q1794" i="1" s="1"/>
  <c r="M1795" i="1"/>
  <c r="R1795" i="1" s="1"/>
  <c r="N1795" i="1"/>
  <c r="Q1795" i="1" s="1"/>
  <c r="M1796" i="1"/>
  <c r="R1796" i="1" s="1"/>
  <c r="N1796" i="1"/>
  <c r="Q1796" i="1" s="1"/>
  <c r="M1797" i="1"/>
  <c r="R1797" i="1" s="1"/>
  <c r="N1797" i="1"/>
  <c r="Q1797" i="1" s="1"/>
  <c r="M1798" i="1"/>
  <c r="R1798" i="1" s="1"/>
  <c r="N1798" i="1"/>
  <c r="Q1798" i="1" s="1"/>
  <c r="M1799" i="1"/>
  <c r="R1799" i="1" s="1"/>
  <c r="N1799" i="1"/>
  <c r="Q1799" i="1" s="1"/>
  <c r="M1800" i="1"/>
  <c r="R1800" i="1" s="1"/>
  <c r="N1800" i="1"/>
  <c r="Q1800" i="1" s="1"/>
  <c r="M1801" i="1"/>
  <c r="R1801" i="1" s="1"/>
  <c r="N1801" i="1"/>
  <c r="Q1801" i="1" s="1"/>
  <c r="M1802" i="1"/>
  <c r="R1802" i="1" s="1"/>
  <c r="N1802" i="1"/>
  <c r="Q1802" i="1" s="1"/>
  <c r="M1803" i="1"/>
  <c r="R1803" i="1" s="1"/>
  <c r="N1803" i="1"/>
  <c r="Q1803" i="1" s="1"/>
  <c r="M1804" i="1"/>
  <c r="R1804" i="1" s="1"/>
  <c r="N1804" i="1"/>
  <c r="Q1804" i="1" s="1"/>
  <c r="M1805" i="1"/>
  <c r="R1805" i="1" s="1"/>
  <c r="N1805" i="1"/>
  <c r="Q1805" i="1" s="1"/>
  <c r="M1806" i="1"/>
  <c r="R1806" i="1" s="1"/>
  <c r="N1806" i="1"/>
  <c r="Q1806" i="1" s="1"/>
  <c r="M1807" i="1"/>
  <c r="R1807" i="1" s="1"/>
  <c r="N1807" i="1"/>
  <c r="Q1807" i="1" s="1"/>
  <c r="M1808" i="1"/>
  <c r="R1808" i="1" s="1"/>
  <c r="N1808" i="1"/>
  <c r="Q1808" i="1" s="1"/>
  <c r="M1809" i="1"/>
  <c r="R1809" i="1" s="1"/>
  <c r="N1809" i="1"/>
  <c r="Q1809" i="1" s="1"/>
  <c r="M1810" i="1"/>
  <c r="R1810" i="1" s="1"/>
  <c r="N1810" i="1"/>
  <c r="Q1810" i="1" s="1"/>
  <c r="M1811" i="1"/>
  <c r="R1811" i="1" s="1"/>
  <c r="N1811" i="1"/>
  <c r="Q1811" i="1" s="1"/>
  <c r="M1812" i="1"/>
  <c r="R1812" i="1" s="1"/>
  <c r="N1812" i="1"/>
  <c r="Q1812" i="1" s="1"/>
  <c r="M1813" i="1"/>
  <c r="R1813" i="1" s="1"/>
  <c r="N1813" i="1"/>
  <c r="Q1813" i="1" s="1"/>
  <c r="M1814" i="1"/>
  <c r="R1814" i="1" s="1"/>
  <c r="N1814" i="1"/>
  <c r="Q1814" i="1" s="1"/>
  <c r="M1815" i="1"/>
  <c r="R1815" i="1" s="1"/>
  <c r="N1815" i="1"/>
  <c r="Q1815" i="1" s="1"/>
  <c r="M1816" i="1"/>
  <c r="R1816" i="1" s="1"/>
  <c r="N1816" i="1"/>
  <c r="Q1816" i="1" s="1"/>
  <c r="M1817" i="1"/>
  <c r="R1817" i="1" s="1"/>
  <c r="N1817" i="1"/>
  <c r="Q1817" i="1" s="1"/>
  <c r="M1818" i="1"/>
  <c r="R1818" i="1" s="1"/>
  <c r="N1818" i="1"/>
  <c r="Q1818" i="1" s="1"/>
  <c r="M1819" i="1"/>
  <c r="R1819" i="1" s="1"/>
  <c r="N1819" i="1"/>
  <c r="Q1819" i="1" s="1"/>
  <c r="M1820" i="1"/>
  <c r="R1820" i="1" s="1"/>
  <c r="N1820" i="1"/>
  <c r="Q1820" i="1" s="1"/>
  <c r="M1821" i="1"/>
  <c r="R1821" i="1" s="1"/>
  <c r="N1821" i="1"/>
  <c r="Q1821" i="1" s="1"/>
  <c r="M1822" i="1"/>
  <c r="R1822" i="1" s="1"/>
  <c r="N1822" i="1"/>
  <c r="Q1822" i="1" s="1"/>
  <c r="M1823" i="1"/>
  <c r="R1823" i="1" s="1"/>
  <c r="N1823" i="1"/>
  <c r="Q1823" i="1" s="1"/>
  <c r="M1824" i="1"/>
  <c r="R1824" i="1" s="1"/>
  <c r="N1824" i="1"/>
  <c r="Q1824" i="1" s="1"/>
  <c r="M1825" i="1"/>
  <c r="R1825" i="1" s="1"/>
  <c r="N1825" i="1"/>
  <c r="Q1825" i="1" s="1"/>
  <c r="M1826" i="1"/>
  <c r="R1826" i="1" s="1"/>
  <c r="N1826" i="1"/>
  <c r="Q1826" i="1" s="1"/>
  <c r="M1827" i="1"/>
  <c r="R1827" i="1" s="1"/>
  <c r="N1827" i="1"/>
  <c r="Q1827" i="1" s="1"/>
  <c r="M1828" i="1"/>
  <c r="R1828" i="1" s="1"/>
  <c r="N1828" i="1"/>
  <c r="Q1828" i="1" s="1"/>
  <c r="M1829" i="1"/>
  <c r="R1829" i="1" s="1"/>
  <c r="N1829" i="1"/>
  <c r="Q1829" i="1" s="1"/>
  <c r="M1830" i="1"/>
  <c r="R1830" i="1" s="1"/>
  <c r="N1830" i="1"/>
  <c r="Q1830" i="1" s="1"/>
  <c r="M1831" i="1"/>
  <c r="R1831" i="1" s="1"/>
  <c r="N1831" i="1"/>
  <c r="Q1831" i="1" s="1"/>
  <c r="M1832" i="1"/>
  <c r="R1832" i="1" s="1"/>
  <c r="N1832" i="1"/>
  <c r="Q1832" i="1" s="1"/>
  <c r="M1833" i="1"/>
  <c r="R1833" i="1" s="1"/>
  <c r="N1833" i="1"/>
  <c r="Q1833" i="1" s="1"/>
  <c r="M1834" i="1"/>
  <c r="R1834" i="1" s="1"/>
  <c r="N1834" i="1"/>
  <c r="Q1834" i="1" s="1"/>
  <c r="M1835" i="1"/>
  <c r="R1835" i="1" s="1"/>
  <c r="N1835" i="1"/>
  <c r="Q1835" i="1" s="1"/>
  <c r="M1836" i="1"/>
  <c r="R1836" i="1" s="1"/>
  <c r="N1836" i="1"/>
  <c r="Q1836" i="1" s="1"/>
  <c r="M1837" i="1"/>
  <c r="R1837" i="1" s="1"/>
  <c r="N1837" i="1"/>
  <c r="Q1837" i="1" s="1"/>
  <c r="M1838" i="1"/>
  <c r="R1838" i="1" s="1"/>
  <c r="N1838" i="1"/>
  <c r="Q1838" i="1" s="1"/>
  <c r="M1839" i="1"/>
  <c r="R1839" i="1" s="1"/>
  <c r="N1839" i="1"/>
  <c r="Q1839" i="1" s="1"/>
  <c r="M1840" i="1"/>
  <c r="R1840" i="1" s="1"/>
  <c r="N1840" i="1"/>
  <c r="Q1840" i="1" s="1"/>
  <c r="M1841" i="1"/>
  <c r="R1841" i="1" s="1"/>
  <c r="N1841" i="1"/>
  <c r="Q1841" i="1" s="1"/>
  <c r="M1842" i="1"/>
  <c r="R1842" i="1" s="1"/>
  <c r="N1842" i="1"/>
  <c r="Q1842" i="1" s="1"/>
  <c r="M1843" i="1"/>
  <c r="R1843" i="1" s="1"/>
  <c r="N1843" i="1"/>
  <c r="Q1843" i="1" s="1"/>
  <c r="M1844" i="1"/>
  <c r="R1844" i="1" s="1"/>
  <c r="N1844" i="1"/>
  <c r="Q1844" i="1" s="1"/>
  <c r="M1845" i="1"/>
  <c r="R1845" i="1" s="1"/>
  <c r="N1845" i="1"/>
  <c r="Q1845" i="1" s="1"/>
  <c r="M1846" i="1"/>
  <c r="R1846" i="1" s="1"/>
  <c r="N1846" i="1"/>
  <c r="Q1846" i="1" s="1"/>
  <c r="M1847" i="1"/>
  <c r="R1847" i="1" s="1"/>
  <c r="N1847" i="1"/>
  <c r="Q1847" i="1" s="1"/>
  <c r="M1848" i="1"/>
  <c r="R1848" i="1" s="1"/>
  <c r="N1848" i="1"/>
  <c r="Q1848" i="1" s="1"/>
  <c r="M1849" i="1"/>
  <c r="R1849" i="1" s="1"/>
  <c r="N1849" i="1"/>
  <c r="Q1849" i="1" s="1"/>
  <c r="M1850" i="1"/>
  <c r="R1850" i="1" s="1"/>
  <c r="N1850" i="1"/>
  <c r="Q1850" i="1" s="1"/>
  <c r="M1851" i="1"/>
  <c r="R1851" i="1" s="1"/>
  <c r="N1851" i="1"/>
  <c r="Q1851" i="1" s="1"/>
  <c r="M1852" i="1"/>
  <c r="R1852" i="1" s="1"/>
  <c r="N1852" i="1"/>
  <c r="Q1852" i="1" s="1"/>
  <c r="M1853" i="1"/>
  <c r="R1853" i="1" s="1"/>
  <c r="N1853" i="1"/>
  <c r="Q1853" i="1" s="1"/>
  <c r="M1854" i="1"/>
  <c r="R1854" i="1" s="1"/>
  <c r="N1854" i="1"/>
  <c r="Q1854" i="1" s="1"/>
  <c r="M1855" i="1"/>
  <c r="R1855" i="1" s="1"/>
  <c r="N1855" i="1"/>
  <c r="Q1855" i="1" s="1"/>
  <c r="M1856" i="1"/>
  <c r="R1856" i="1" s="1"/>
  <c r="N1856" i="1"/>
  <c r="Q1856" i="1" s="1"/>
  <c r="M1857" i="1"/>
  <c r="R1857" i="1" s="1"/>
  <c r="N1857" i="1"/>
  <c r="Q1857" i="1" s="1"/>
  <c r="M1858" i="1"/>
  <c r="R1858" i="1" s="1"/>
  <c r="N1858" i="1"/>
  <c r="Q1858" i="1" s="1"/>
  <c r="M1859" i="1"/>
  <c r="R1859" i="1" s="1"/>
  <c r="N1859" i="1"/>
  <c r="Q1859" i="1" s="1"/>
  <c r="M1860" i="1"/>
  <c r="R1860" i="1" s="1"/>
  <c r="N1860" i="1"/>
  <c r="Q1860" i="1" s="1"/>
  <c r="M1861" i="1"/>
  <c r="R1861" i="1" s="1"/>
  <c r="N1861" i="1"/>
  <c r="Q1861" i="1" s="1"/>
  <c r="M1862" i="1"/>
  <c r="R1862" i="1" s="1"/>
  <c r="N1862" i="1"/>
  <c r="Q1862" i="1" s="1"/>
  <c r="M1863" i="1"/>
  <c r="R1863" i="1" s="1"/>
  <c r="N1863" i="1"/>
  <c r="Q1863" i="1" s="1"/>
  <c r="M1864" i="1"/>
  <c r="R1864" i="1" s="1"/>
  <c r="N1864" i="1"/>
  <c r="Q1864" i="1" s="1"/>
  <c r="M1865" i="1"/>
  <c r="R1865" i="1" s="1"/>
  <c r="N1865" i="1"/>
  <c r="Q1865" i="1" s="1"/>
  <c r="M1866" i="1"/>
  <c r="R1866" i="1" s="1"/>
  <c r="N1866" i="1"/>
  <c r="Q1866" i="1" s="1"/>
  <c r="M1867" i="1"/>
  <c r="R1867" i="1" s="1"/>
  <c r="N1867" i="1"/>
  <c r="Q1867" i="1" s="1"/>
  <c r="M1868" i="1"/>
  <c r="R1868" i="1" s="1"/>
  <c r="N1868" i="1"/>
  <c r="Q1868" i="1" s="1"/>
  <c r="M1869" i="1"/>
  <c r="R1869" i="1" s="1"/>
  <c r="N1869" i="1"/>
  <c r="Q1869" i="1" s="1"/>
  <c r="M1870" i="1"/>
  <c r="R1870" i="1" s="1"/>
  <c r="N1870" i="1"/>
  <c r="Q1870" i="1" s="1"/>
  <c r="M1871" i="1"/>
  <c r="R1871" i="1" s="1"/>
  <c r="N1871" i="1"/>
  <c r="Q1871" i="1" s="1"/>
  <c r="M1872" i="1"/>
  <c r="R1872" i="1" s="1"/>
  <c r="N1872" i="1"/>
  <c r="Q1872" i="1" s="1"/>
  <c r="M1873" i="1"/>
  <c r="R1873" i="1" s="1"/>
  <c r="N1873" i="1"/>
  <c r="Q1873" i="1" s="1"/>
  <c r="M1874" i="1"/>
  <c r="R1874" i="1" s="1"/>
  <c r="N1874" i="1"/>
  <c r="Q1874" i="1" s="1"/>
  <c r="M1875" i="1"/>
  <c r="R1875" i="1" s="1"/>
  <c r="N1875" i="1"/>
  <c r="Q1875" i="1" s="1"/>
  <c r="M1876" i="1"/>
  <c r="R1876" i="1" s="1"/>
  <c r="N1876" i="1"/>
  <c r="Q1876" i="1" s="1"/>
  <c r="M1877" i="1"/>
  <c r="R1877" i="1" s="1"/>
  <c r="N1877" i="1"/>
  <c r="Q1877" i="1" s="1"/>
  <c r="M1878" i="1"/>
  <c r="R1878" i="1" s="1"/>
  <c r="N1878" i="1"/>
  <c r="Q1878" i="1" s="1"/>
  <c r="M1879" i="1"/>
  <c r="R1879" i="1" s="1"/>
  <c r="N1879" i="1"/>
  <c r="Q1879" i="1" s="1"/>
  <c r="M1880" i="1"/>
  <c r="R1880" i="1" s="1"/>
  <c r="N1880" i="1"/>
  <c r="Q1880" i="1" s="1"/>
  <c r="M1881" i="1"/>
  <c r="R1881" i="1" s="1"/>
  <c r="N1881" i="1"/>
  <c r="Q1881" i="1" s="1"/>
  <c r="M1882" i="1"/>
  <c r="R1882" i="1" s="1"/>
  <c r="N1882" i="1"/>
  <c r="Q1882" i="1" s="1"/>
  <c r="M1883" i="1"/>
  <c r="R1883" i="1" s="1"/>
  <c r="N1883" i="1"/>
  <c r="Q1883" i="1" s="1"/>
  <c r="M1884" i="1"/>
  <c r="R1884" i="1" s="1"/>
  <c r="N1884" i="1"/>
  <c r="Q1884" i="1" s="1"/>
  <c r="M1885" i="1"/>
  <c r="R1885" i="1" s="1"/>
  <c r="N1885" i="1"/>
  <c r="Q1885" i="1" s="1"/>
  <c r="M1886" i="1"/>
  <c r="R1886" i="1" s="1"/>
  <c r="N1886" i="1"/>
  <c r="Q1886" i="1" s="1"/>
  <c r="M1887" i="1"/>
  <c r="R1887" i="1" s="1"/>
  <c r="N1887" i="1"/>
  <c r="Q1887" i="1" s="1"/>
  <c r="M1888" i="1"/>
  <c r="R1888" i="1" s="1"/>
  <c r="N1888" i="1"/>
  <c r="Q1888" i="1" s="1"/>
  <c r="M1889" i="1"/>
  <c r="R1889" i="1" s="1"/>
  <c r="N1889" i="1"/>
  <c r="Q1889" i="1" s="1"/>
  <c r="M1890" i="1"/>
  <c r="R1890" i="1" s="1"/>
  <c r="N1890" i="1"/>
  <c r="Q1890" i="1" s="1"/>
  <c r="M1891" i="1"/>
  <c r="R1891" i="1" s="1"/>
  <c r="N1891" i="1"/>
  <c r="Q1891" i="1" s="1"/>
  <c r="M1892" i="1"/>
  <c r="R1892" i="1" s="1"/>
  <c r="N1892" i="1"/>
  <c r="Q1892" i="1" s="1"/>
  <c r="M1893" i="1"/>
  <c r="R1893" i="1" s="1"/>
  <c r="N1893" i="1"/>
  <c r="Q1893" i="1" s="1"/>
  <c r="M1894" i="1"/>
  <c r="R1894" i="1" s="1"/>
  <c r="N1894" i="1"/>
  <c r="Q1894" i="1" s="1"/>
  <c r="M1895" i="1"/>
  <c r="R1895" i="1" s="1"/>
  <c r="N1895" i="1"/>
  <c r="Q1895" i="1" s="1"/>
  <c r="M1896" i="1"/>
  <c r="R1896" i="1" s="1"/>
  <c r="N1896" i="1"/>
  <c r="Q1896" i="1" s="1"/>
  <c r="M1897" i="1"/>
  <c r="R1897" i="1" s="1"/>
  <c r="N1897" i="1"/>
  <c r="Q1897" i="1" s="1"/>
  <c r="M1898" i="1"/>
  <c r="R1898" i="1" s="1"/>
  <c r="N1898" i="1"/>
  <c r="Q1898" i="1" s="1"/>
  <c r="M1899" i="1"/>
  <c r="R1899" i="1" s="1"/>
  <c r="N1899" i="1"/>
  <c r="Q1899" i="1" s="1"/>
  <c r="M1900" i="1"/>
  <c r="R1900" i="1" s="1"/>
  <c r="N1900" i="1"/>
  <c r="Q1900" i="1" s="1"/>
  <c r="M1901" i="1"/>
  <c r="R1901" i="1" s="1"/>
  <c r="N1901" i="1"/>
  <c r="Q1901" i="1" s="1"/>
  <c r="M1902" i="1"/>
  <c r="R1902" i="1" s="1"/>
  <c r="N1902" i="1"/>
  <c r="Q1902" i="1" s="1"/>
  <c r="M1903" i="1"/>
  <c r="R1903" i="1" s="1"/>
  <c r="N1903" i="1"/>
  <c r="Q1903" i="1" s="1"/>
  <c r="M1904" i="1"/>
  <c r="R1904" i="1" s="1"/>
  <c r="N1904" i="1"/>
  <c r="Q1904" i="1" s="1"/>
  <c r="M1905" i="1"/>
  <c r="R1905" i="1" s="1"/>
  <c r="N1905" i="1"/>
  <c r="Q1905" i="1" s="1"/>
  <c r="M1906" i="1"/>
  <c r="R1906" i="1" s="1"/>
  <c r="N1906" i="1"/>
  <c r="Q1906" i="1" s="1"/>
  <c r="M1907" i="1"/>
  <c r="R1907" i="1" s="1"/>
  <c r="N1907" i="1"/>
  <c r="Q1907" i="1" s="1"/>
  <c r="M1908" i="1"/>
  <c r="R1908" i="1" s="1"/>
  <c r="N1908" i="1"/>
  <c r="Q1908" i="1" s="1"/>
  <c r="M1909" i="1"/>
  <c r="R1909" i="1" s="1"/>
  <c r="N1909" i="1"/>
  <c r="Q1909" i="1" s="1"/>
  <c r="M1910" i="1"/>
  <c r="R1910" i="1" s="1"/>
  <c r="N1910" i="1"/>
  <c r="Q1910" i="1" s="1"/>
  <c r="M1911" i="1"/>
  <c r="R1911" i="1" s="1"/>
  <c r="N1911" i="1"/>
  <c r="Q1911" i="1" s="1"/>
  <c r="M1912" i="1"/>
  <c r="R1912" i="1" s="1"/>
  <c r="N1912" i="1"/>
  <c r="Q1912" i="1" s="1"/>
  <c r="M1913" i="1"/>
  <c r="R1913" i="1" s="1"/>
  <c r="N1913" i="1"/>
  <c r="Q1913" i="1" s="1"/>
  <c r="M1914" i="1"/>
  <c r="R1914" i="1" s="1"/>
  <c r="N1914" i="1"/>
  <c r="Q1914" i="1" s="1"/>
  <c r="M1915" i="1"/>
  <c r="R1915" i="1" s="1"/>
  <c r="N1915" i="1"/>
  <c r="Q1915" i="1" s="1"/>
  <c r="M1916" i="1"/>
  <c r="R1916" i="1" s="1"/>
  <c r="N1916" i="1"/>
  <c r="Q1916" i="1" s="1"/>
  <c r="M1917" i="1"/>
  <c r="R1917" i="1" s="1"/>
  <c r="N1917" i="1"/>
  <c r="Q1917" i="1" s="1"/>
  <c r="M1918" i="1"/>
  <c r="R1918" i="1" s="1"/>
  <c r="N1918" i="1"/>
  <c r="Q1918" i="1" s="1"/>
  <c r="M1919" i="1"/>
  <c r="R1919" i="1" s="1"/>
  <c r="N1919" i="1"/>
  <c r="Q1919" i="1" s="1"/>
  <c r="M1920" i="1"/>
  <c r="R1920" i="1" s="1"/>
  <c r="N1920" i="1"/>
  <c r="Q1920" i="1" s="1"/>
  <c r="M1921" i="1"/>
  <c r="R1921" i="1" s="1"/>
  <c r="N1921" i="1"/>
  <c r="Q1921" i="1" s="1"/>
  <c r="M1922" i="1"/>
  <c r="R1922" i="1" s="1"/>
  <c r="N1922" i="1"/>
  <c r="Q1922" i="1" s="1"/>
  <c r="M1923" i="1"/>
  <c r="R1923" i="1" s="1"/>
  <c r="N1923" i="1"/>
  <c r="Q1923" i="1" s="1"/>
  <c r="M1924" i="1"/>
  <c r="R1924" i="1" s="1"/>
  <c r="N1924" i="1"/>
  <c r="Q1924" i="1" s="1"/>
  <c r="M1925" i="1"/>
  <c r="R1925" i="1" s="1"/>
  <c r="N1925" i="1"/>
  <c r="Q1925" i="1" s="1"/>
  <c r="M1926" i="1"/>
  <c r="R1926" i="1" s="1"/>
  <c r="N1926" i="1"/>
  <c r="Q1926" i="1" s="1"/>
  <c r="M1927" i="1"/>
  <c r="R1927" i="1" s="1"/>
  <c r="N1927" i="1"/>
  <c r="Q1927" i="1" s="1"/>
  <c r="M1928" i="1"/>
  <c r="R1928" i="1" s="1"/>
  <c r="N1928" i="1"/>
  <c r="Q1928" i="1" s="1"/>
  <c r="M1929" i="1"/>
  <c r="R1929" i="1" s="1"/>
  <c r="N1929" i="1"/>
  <c r="Q1929" i="1" s="1"/>
  <c r="M1930" i="1"/>
  <c r="R1930" i="1" s="1"/>
  <c r="N1930" i="1"/>
  <c r="Q1930" i="1" s="1"/>
  <c r="M1931" i="1"/>
  <c r="R1931" i="1" s="1"/>
  <c r="N1931" i="1"/>
  <c r="Q1931" i="1" s="1"/>
  <c r="M1932" i="1"/>
  <c r="R1932" i="1" s="1"/>
  <c r="N1932" i="1"/>
  <c r="Q1932" i="1" s="1"/>
  <c r="M1933" i="1"/>
  <c r="R1933" i="1" s="1"/>
  <c r="N1933" i="1"/>
  <c r="Q1933" i="1" s="1"/>
  <c r="M1934" i="1"/>
  <c r="R1934" i="1" s="1"/>
  <c r="N1934" i="1"/>
  <c r="Q1934" i="1" s="1"/>
  <c r="M1935" i="1"/>
  <c r="R1935" i="1" s="1"/>
  <c r="N1935" i="1"/>
  <c r="Q1935" i="1" s="1"/>
  <c r="M1936" i="1"/>
  <c r="R1936" i="1" s="1"/>
  <c r="N1936" i="1"/>
  <c r="Q1936" i="1" s="1"/>
  <c r="M1937" i="1"/>
  <c r="R1937" i="1" s="1"/>
  <c r="N1937" i="1"/>
  <c r="Q1937" i="1" s="1"/>
  <c r="M1938" i="1"/>
  <c r="R1938" i="1" s="1"/>
  <c r="N1938" i="1"/>
  <c r="Q1938" i="1" s="1"/>
  <c r="M1939" i="1"/>
  <c r="R1939" i="1" s="1"/>
  <c r="N1939" i="1"/>
  <c r="Q1939" i="1" s="1"/>
  <c r="M1940" i="1"/>
  <c r="R1940" i="1" s="1"/>
  <c r="N1940" i="1"/>
  <c r="Q1940" i="1" s="1"/>
  <c r="M1941" i="1"/>
  <c r="R1941" i="1" s="1"/>
  <c r="N1941" i="1"/>
  <c r="Q1941" i="1" s="1"/>
  <c r="M1942" i="1"/>
  <c r="R1942" i="1" s="1"/>
  <c r="N1942" i="1"/>
  <c r="Q1942" i="1" s="1"/>
  <c r="M1943" i="1"/>
  <c r="R1943" i="1" s="1"/>
  <c r="N1943" i="1"/>
  <c r="Q1943" i="1" s="1"/>
  <c r="M1944" i="1"/>
  <c r="R1944" i="1" s="1"/>
  <c r="N1944" i="1"/>
  <c r="Q1944" i="1" s="1"/>
  <c r="M1945" i="1"/>
  <c r="R1945" i="1" s="1"/>
  <c r="N1945" i="1"/>
  <c r="Q1945" i="1" s="1"/>
  <c r="M1946" i="1"/>
  <c r="R1946" i="1" s="1"/>
  <c r="N1946" i="1"/>
  <c r="Q1946" i="1" s="1"/>
  <c r="M1947" i="1"/>
  <c r="R1947" i="1" s="1"/>
  <c r="N1947" i="1"/>
  <c r="Q1947" i="1" s="1"/>
  <c r="M1948" i="1"/>
  <c r="R1948" i="1" s="1"/>
  <c r="N1948" i="1"/>
  <c r="Q1948" i="1" s="1"/>
  <c r="M1949" i="1"/>
  <c r="R1949" i="1" s="1"/>
  <c r="N1949" i="1"/>
  <c r="Q1949" i="1" s="1"/>
  <c r="M1950" i="1"/>
  <c r="R1950" i="1" s="1"/>
  <c r="N1950" i="1"/>
  <c r="Q1950" i="1" s="1"/>
  <c r="M1951" i="1"/>
  <c r="R1951" i="1" s="1"/>
  <c r="N1951" i="1"/>
  <c r="Q1951" i="1" s="1"/>
  <c r="M1952" i="1"/>
  <c r="R1952" i="1" s="1"/>
  <c r="N1952" i="1"/>
  <c r="Q1952" i="1" s="1"/>
  <c r="M1953" i="1"/>
  <c r="R1953" i="1" s="1"/>
  <c r="N1953" i="1"/>
  <c r="Q1953" i="1" s="1"/>
  <c r="M1954" i="1"/>
  <c r="R1954" i="1" s="1"/>
  <c r="N1954" i="1"/>
  <c r="Q1954" i="1" s="1"/>
  <c r="M1955" i="1"/>
  <c r="R1955" i="1" s="1"/>
  <c r="N1955" i="1"/>
  <c r="Q1955" i="1" s="1"/>
  <c r="M1956" i="1"/>
  <c r="R1956" i="1" s="1"/>
  <c r="N1956" i="1"/>
  <c r="Q1956" i="1" s="1"/>
  <c r="M1957" i="1"/>
  <c r="R1957" i="1" s="1"/>
  <c r="N1957" i="1"/>
  <c r="Q1957" i="1" s="1"/>
  <c r="M1958" i="1"/>
  <c r="R1958" i="1" s="1"/>
  <c r="N1958" i="1"/>
  <c r="Q1958" i="1" s="1"/>
  <c r="M1959" i="1"/>
  <c r="R1959" i="1" s="1"/>
  <c r="N1959" i="1"/>
  <c r="Q1959" i="1" s="1"/>
  <c r="M1960" i="1"/>
  <c r="R1960" i="1" s="1"/>
  <c r="N1960" i="1"/>
  <c r="Q1960" i="1" s="1"/>
  <c r="M1961" i="1"/>
  <c r="R1961" i="1" s="1"/>
  <c r="N1961" i="1"/>
  <c r="Q1961" i="1" s="1"/>
  <c r="M1962" i="1"/>
  <c r="R1962" i="1" s="1"/>
  <c r="N1962" i="1"/>
  <c r="Q1962" i="1" s="1"/>
  <c r="M1963" i="1"/>
  <c r="R1963" i="1" s="1"/>
  <c r="N1963" i="1"/>
  <c r="Q1963" i="1" s="1"/>
  <c r="M1964" i="1"/>
  <c r="R1964" i="1" s="1"/>
  <c r="N1964" i="1"/>
  <c r="Q1964" i="1" s="1"/>
  <c r="M1965" i="1"/>
  <c r="R1965" i="1" s="1"/>
  <c r="N1965" i="1"/>
  <c r="Q1965" i="1" s="1"/>
  <c r="M1966" i="1"/>
  <c r="R1966" i="1" s="1"/>
  <c r="N1966" i="1"/>
  <c r="Q1966" i="1" s="1"/>
  <c r="M1967" i="1"/>
  <c r="R1967" i="1" s="1"/>
  <c r="N1967" i="1"/>
  <c r="Q1967" i="1" s="1"/>
  <c r="M1968" i="1"/>
  <c r="R1968" i="1" s="1"/>
  <c r="N1968" i="1"/>
  <c r="Q1968" i="1" s="1"/>
  <c r="M1969" i="1"/>
  <c r="R1969" i="1" s="1"/>
  <c r="N1969" i="1"/>
  <c r="Q1969" i="1" s="1"/>
  <c r="M1970" i="1"/>
  <c r="R1970" i="1" s="1"/>
  <c r="N1970" i="1"/>
  <c r="Q1970" i="1" s="1"/>
  <c r="M1971" i="1"/>
  <c r="R1971" i="1" s="1"/>
  <c r="N1971" i="1"/>
  <c r="Q1971" i="1" s="1"/>
  <c r="M1972" i="1"/>
  <c r="R1972" i="1" s="1"/>
  <c r="N1972" i="1"/>
  <c r="Q1972" i="1" s="1"/>
  <c r="M1973" i="1"/>
  <c r="R1973" i="1" s="1"/>
  <c r="N1973" i="1"/>
  <c r="Q1973" i="1" s="1"/>
  <c r="M1974" i="1"/>
  <c r="R1974" i="1" s="1"/>
  <c r="N1974" i="1"/>
  <c r="Q1974" i="1" s="1"/>
  <c r="M1975" i="1"/>
  <c r="R1975" i="1" s="1"/>
  <c r="N1975" i="1"/>
  <c r="Q1975" i="1" s="1"/>
  <c r="M1976" i="1"/>
  <c r="R1976" i="1" s="1"/>
  <c r="N1976" i="1"/>
  <c r="Q1976" i="1" s="1"/>
  <c r="M1977" i="1"/>
  <c r="R1977" i="1" s="1"/>
  <c r="N1977" i="1"/>
  <c r="Q1977" i="1" s="1"/>
  <c r="M1978" i="1"/>
  <c r="R1978" i="1" s="1"/>
  <c r="N1978" i="1"/>
  <c r="Q1978" i="1" s="1"/>
  <c r="M1979" i="1"/>
  <c r="R1979" i="1" s="1"/>
  <c r="N1979" i="1"/>
  <c r="Q1979" i="1" s="1"/>
  <c r="M1980" i="1"/>
  <c r="R1980" i="1" s="1"/>
  <c r="N1980" i="1"/>
  <c r="Q1980" i="1" s="1"/>
  <c r="M1981" i="1"/>
  <c r="R1981" i="1" s="1"/>
  <c r="N1981" i="1"/>
  <c r="Q1981" i="1" s="1"/>
  <c r="M1982" i="1"/>
  <c r="R1982" i="1" s="1"/>
  <c r="N1982" i="1"/>
  <c r="Q1982" i="1" s="1"/>
  <c r="M1983" i="1"/>
  <c r="R1983" i="1" s="1"/>
  <c r="N1983" i="1"/>
  <c r="Q1983" i="1" s="1"/>
  <c r="M1984" i="1"/>
  <c r="R1984" i="1" s="1"/>
  <c r="N1984" i="1"/>
  <c r="Q1984" i="1" s="1"/>
  <c r="M1985" i="1"/>
  <c r="R1985" i="1" s="1"/>
  <c r="N1985" i="1"/>
  <c r="Q1985" i="1" s="1"/>
  <c r="M1986" i="1"/>
  <c r="R1986" i="1" s="1"/>
  <c r="N1986" i="1"/>
  <c r="Q1986" i="1" s="1"/>
  <c r="M1987" i="1"/>
  <c r="R1987" i="1" s="1"/>
  <c r="N1987" i="1"/>
  <c r="Q1987" i="1" s="1"/>
  <c r="M1988" i="1"/>
  <c r="R1988" i="1" s="1"/>
  <c r="N1988" i="1"/>
  <c r="Q1988" i="1" s="1"/>
  <c r="M1989" i="1"/>
  <c r="R1989" i="1" s="1"/>
  <c r="N1989" i="1"/>
  <c r="Q1989" i="1" s="1"/>
  <c r="M1990" i="1"/>
  <c r="R1990" i="1" s="1"/>
  <c r="N1990" i="1"/>
  <c r="Q1990" i="1" s="1"/>
  <c r="M1991" i="1"/>
  <c r="R1991" i="1" s="1"/>
  <c r="N1991" i="1"/>
  <c r="Q1991" i="1" s="1"/>
  <c r="M1992" i="1"/>
  <c r="R1992" i="1" s="1"/>
  <c r="N1992" i="1"/>
  <c r="Q1992" i="1" s="1"/>
  <c r="M1993" i="1"/>
  <c r="R1993" i="1" s="1"/>
  <c r="N1993" i="1"/>
  <c r="Q1993" i="1" s="1"/>
  <c r="M1994" i="1"/>
  <c r="R1994" i="1" s="1"/>
  <c r="N1994" i="1"/>
  <c r="Q1994" i="1" s="1"/>
  <c r="M1995" i="1"/>
  <c r="R1995" i="1" s="1"/>
  <c r="N1995" i="1"/>
  <c r="Q1995" i="1" s="1"/>
  <c r="M1996" i="1"/>
  <c r="R1996" i="1" s="1"/>
  <c r="N1996" i="1"/>
  <c r="Q1996" i="1" s="1"/>
  <c r="M1997" i="1"/>
  <c r="R1997" i="1" s="1"/>
  <c r="N1997" i="1"/>
  <c r="Q1997" i="1" s="1"/>
  <c r="M1998" i="1"/>
  <c r="R1998" i="1" s="1"/>
  <c r="N1998" i="1"/>
  <c r="Q1998" i="1" s="1"/>
  <c r="M1999" i="1"/>
  <c r="R1999" i="1" s="1"/>
  <c r="N1999" i="1"/>
  <c r="Q1999" i="1" s="1"/>
  <c r="M2000" i="1"/>
  <c r="R2000" i="1" s="1"/>
  <c r="N2000" i="1"/>
  <c r="Q2000" i="1" s="1"/>
  <c r="M2001" i="1"/>
  <c r="R2001" i="1" s="1"/>
  <c r="N2001" i="1"/>
  <c r="Q2001" i="1" s="1"/>
  <c r="M2002" i="1"/>
  <c r="R2002" i="1" s="1"/>
  <c r="N2002" i="1"/>
  <c r="Q2002" i="1" s="1"/>
  <c r="M2003" i="1"/>
  <c r="R2003" i="1" s="1"/>
  <c r="N2003" i="1"/>
  <c r="Q2003" i="1" s="1"/>
  <c r="M2004" i="1"/>
  <c r="R2004" i="1" s="1"/>
  <c r="N2004" i="1"/>
  <c r="Q2004" i="1" s="1"/>
  <c r="M2005" i="1"/>
  <c r="R2005" i="1" s="1"/>
  <c r="N2005" i="1"/>
  <c r="Q2005" i="1" s="1"/>
  <c r="M2006" i="1"/>
  <c r="R2006" i="1" s="1"/>
  <c r="N2006" i="1"/>
  <c r="Q2006" i="1" s="1"/>
  <c r="M2007" i="1"/>
  <c r="R2007" i="1" s="1"/>
  <c r="N2007" i="1"/>
  <c r="Q2007" i="1" s="1"/>
  <c r="M2008" i="1"/>
  <c r="R2008" i="1" s="1"/>
  <c r="N2008" i="1"/>
  <c r="Q2008" i="1" s="1"/>
  <c r="M2009" i="1"/>
  <c r="R2009" i="1" s="1"/>
  <c r="N2009" i="1"/>
  <c r="Q2009" i="1" s="1"/>
  <c r="M2010" i="1"/>
  <c r="R2010" i="1" s="1"/>
  <c r="N2010" i="1"/>
  <c r="Q2010" i="1" s="1"/>
  <c r="M2011" i="1"/>
  <c r="R2011" i="1" s="1"/>
  <c r="N2011" i="1"/>
  <c r="Q2011" i="1" s="1"/>
  <c r="M2012" i="1"/>
  <c r="R2012" i="1" s="1"/>
  <c r="N2012" i="1"/>
  <c r="Q2012" i="1" s="1"/>
  <c r="M2013" i="1"/>
  <c r="R2013" i="1" s="1"/>
  <c r="N2013" i="1"/>
  <c r="Q2013" i="1" s="1"/>
  <c r="M2014" i="1"/>
  <c r="R2014" i="1" s="1"/>
  <c r="N2014" i="1"/>
  <c r="Q2014" i="1" s="1"/>
  <c r="M2015" i="1"/>
  <c r="R2015" i="1" s="1"/>
  <c r="N2015" i="1"/>
  <c r="Q2015" i="1" s="1"/>
  <c r="M2016" i="1"/>
  <c r="R2016" i="1" s="1"/>
  <c r="N2016" i="1"/>
  <c r="Q2016" i="1" s="1"/>
  <c r="M2017" i="1"/>
  <c r="R2017" i="1" s="1"/>
  <c r="N2017" i="1"/>
  <c r="Q2017" i="1" s="1"/>
  <c r="M2018" i="1"/>
  <c r="R2018" i="1" s="1"/>
  <c r="N2018" i="1"/>
  <c r="Q2018" i="1" s="1"/>
  <c r="M2019" i="1"/>
  <c r="R2019" i="1" s="1"/>
  <c r="N2019" i="1"/>
  <c r="Q2019" i="1" s="1"/>
  <c r="M2020" i="1"/>
  <c r="R2020" i="1" s="1"/>
  <c r="N2020" i="1"/>
  <c r="Q2020" i="1" s="1"/>
  <c r="M2021" i="1"/>
  <c r="R2021" i="1" s="1"/>
  <c r="N2021" i="1"/>
  <c r="Q2021" i="1" s="1"/>
  <c r="M2022" i="1"/>
  <c r="R2022" i="1" s="1"/>
  <c r="N2022" i="1"/>
  <c r="Q2022" i="1" s="1"/>
  <c r="M2023" i="1"/>
  <c r="R2023" i="1" s="1"/>
  <c r="N2023" i="1"/>
  <c r="Q2023" i="1" s="1"/>
  <c r="M2024" i="1"/>
  <c r="R2024" i="1" s="1"/>
  <c r="N2024" i="1"/>
  <c r="Q2024" i="1" s="1"/>
  <c r="M2025" i="1"/>
  <c r="R2025" i="1" s="1"/>
  <c r="N2025" i="1"/>
  <c r="Q2025" i="1" s="1"/>
  <c r="M2026" i="1"/>
  <c r="R2026" i="1" s="1"/>
  <c r="N2026" i="1"/>
  <c r="Q2026" i="1" s="1"/>
  <c r="M2027" i="1"/>
  <c r="R2027" i="1" s="1"/>
  <c r="N2027" i="1"/>
  <c r="Q2027" i="1" s="1"/>
  <c r="M2028" i="1"/>
  <c r="R2028" i="1" s="1"/>
  <c r="N2028" i="1"/>
  <c r="Q2028" i="1" s="1"/>
  <c r="M2029" i="1"/>
  <c r="R2029" i="1" s="1"/>
  <c r="N2029" i="1"/>
  <c r="Q2029" i="1" s="1"/>
  <c r="M2030" i="1"/>
  <c r="R2030" i="1" s="1"/>
  <c r="N2030" i="1"/>
  <c r="Q2030" i="1" s="1"/>
  <c r="M2031" i="1"/>
  <c r="R2031" i="1" s="1"/>
  <c r="N2031" i="1"/>
  <c r="Q2031" i="1" s="1"/>
  <c r="M2032" i="1"/>
  <c r="R2032" i="1" s="1"/>
  <c r="N2032" i="1"/>
  <c r="Q2032" i="1" s="1"/>
  <c r="M2033" i="1"/>
  <c r="R2033" i="1" s="1"/>
  <c r="N2033" i="1"/>
  <c r="Q2033" i="1" s="1"/>
  <c r="M2034" i="1"/>
  <c r="R2034" i="1" s="1"/>
  <c r="N2034" i="1"/>
  <c r="Q2034" i="1" s="1"/>
  <c r="M2035" i="1"/>
  <c r="R2035" i="1" s="1"/>
  <c r="N2035" i="1"/>
  <c r="Q2035" i="1" s="1"/>
  <c r="M2036" i="1"/>
  <c r="R2036" i="1" s="1"/>
  <c r="N2036" i="1"/>
  <c r="Q2036" i="1" s="1"/>
  <c r="M2037" i="1"/>
  <c r="R2037" i="1" s="1"/>
  <c r="N2037" i="1"/>
  <c r="Q2037" i="1" s="1"/>
  <c r="M2038" i="1"/>
  <c r="R2038" i="1" s="1"/>
  <c r="N2038" i="1"/>
  <c r="Q2038" i="1" s="1"/>
  <c r="M2039" i="1"/>
  <c r="R2039" i="1" s="1"/>
  <c r="N2039" i="1"/>
  <c r="Q2039" i="1" s="1"/>
  <c r="M2040" i="1"/>
  <c r="R2040" i="1" s="1"/>
  <c r="N2040" i="1"/>
  <c r="Q2040" i="1" s="1"/>
  <c r="M2041" i="1"/>
  <c r="R2041" i="1" s="1"/>
  <c r="N2041" i="1"/>
  <c r="Q2041" i="1" s="1"/>
  <c r="M2042" i="1"/>
  <c r="R2042" i="1" s="1"/>
  <c r="N2042" i="1"/>
  <c r="Q2042" i="1" s="1"/>
  <c r="M2043" i="1"/>
  <c r="R2043" i="1" s="1"/>
  <c r="N2043" i="1"/>
  <c r="Q2043" i="1" s="1"/>
  <c r="M2044" i="1"/>
  <c r="R2044" i="1" s="1"/>
  <c r="N2044" i="1"/>
  <c r="Q2044" i="1" s="1"/>
  <c r="M2045" i="1"/>
  <c r="R2045" i="1" s="1"/>
  <c r="N2045" i="1"/>
  <c r="Q2045" i="1" s="1"/>
  <c r="M2046" i="1"/>
  <c r="R2046" i="1" s="1"/>
  <c r="N2046" i="1"/>
  <c r="Q2046" i="1" s="1"/>
  <c r="M2047" i="1"/>
  <c r="R2047" i="1" s="1"/>
  <c r="N2047" i="1"/>
  <c r="Q2047" i="1" s="1"/>
  <c r="M2048" i="1"/>
  <c r="R2048" i="1" s="1"/>
  <c r="N2048" i="1"/>
  <c r="Q2048" i="1" s="1"/>
  <c r="M2049" i="1"/>
  <c r="R2049" i="1" s="1"/>
  <c r="N2049" i="1"/>
  <c r="Q2049" i="1" s="1"/>
  <c r="M2050" i="1"/>
  <c r="R2050" i="1" s="1"/>
  <c r="N2050" i="1"/>
  <c r="Q2050" i="1" s="1"/>
  <c r="M2051" i="1"/>
  <c r="R2051" i="1" s="1"/>
  <c r="N2051" i="1"/>
  <c r="Q2051" i="1" s="1"/>
  <c r="M2052" i="1"/>
  <c r="R2052" i="1" s="1"/>
  <c r="N2052" i="1"/>
  <c r="Q2052" i="1" s="1"/>
  <c r="M2053" i="1"/>
  <c r="R2053" i="1" s="1"/>
  <c r="N2053" i="1"/>
  <c r="Q2053" i="1" s="1"/>
  <c r="M2054" i="1"/>
  <c r="R2054" i="1" s="1"/>
  <c r="N2054" i="1"/>
  <c r="Q2054" i="1" s="1"/>
  <c r="M2055" i="1"/>
  <c r="R2055" i="1" s="1"/>
  <c r="N2055" i="1"/>
  <c r="Q2055" i="1" s="1"/>
  <c r="M2056" i="1"/>
  <c r="R2056" i="1" s="1"/>
  <c r="N2056" i="1"/>
  <c r="Q2056" i="1" s="1"/>
  <c r="M2057" i="1"/>
  <c r="R2057" i="1" s="1"/>
  <c r="N2057" i="1"/>
  <c r="Q2057" i="1" s="1"/>
  <c r="M2058" i="1"/>
  <c r="R2058" i="1" s="1"/>
  <c r="N2058" i="1"/>
  <c r="Q2058" i="1" s="1"/>
  <c r="M2059" i="1"/>
  <c r="R2059" i="1" s="1"/>
  <c r="N2059" i="1"/>
  <c r="Q2059" i="1" s="1"/>
  <c r="M2060" i="1"/>
  <c r="R2060" i="1" s="1"/>
  <c r="N2060" i="1"/>
  <c r="Q2060" i="1" s="1"/>
  <c r="M2061" i="1"/>
  <c r="R2061" i="1" s="1"/>
  <c r="N2061" i="1"/>
  <c r="Q2061" i="1" s="1"/>
  <c r="M2062" i="1"/>
  <c r="R2062" i="1" s="1"/>
  <c r="N2062" i="1"/>
  <c r="Q2062" i="1" s="1"/>
  <c r="M2063" i="1"/>
  <c r="R2063" i="1" s="1"/>
  <c r="N2063" i="1"/>
  <c r="Q2063" i="1" s="1"/>
  <c r="M2064" i="1"/>
  <c r="R2064" i="1" s="1"/>
  <c r="N2064" i="1"/>
  <c r="Q2064" i="1" s="1"/>
  <c r="M2065" i="1"/>
  <c r="R2065" i="1" s="1"/>
  <c r="N2065" i="1"/>
  <c r="Q2065" i="1" s="1"/>
  <c r="M2066" i="1"/>
  <c r="R2066" i="1" s="1"/>
  <c r="N2066" i="1"/>
  <c r="Q2066" i="1" s="1"/>
  <c r="M2067" i="1"/>
  <c r="R2067" i="1" s="1"/>
  <c r="N2067" i="1"/>
  <c r="Q2067" i="1" s="1"/>
  <c r="M2068" i="1"/>
  <c r="R2068" i="1" s="1"/>
  <c r="N2068" i="1"/>
  <c r="Q2068" i="1" s="1"/>
  <c r="M2069" i="1"/>
  <c r="R2069" i="1" s="1"/>
  <c r="N2069" i="1"/>
  <c r="Q2069" i="1" s="1"/>
  <c r="M2070" i="1"/>
  <c r="R2070" i="1" s="1"/>
  <c r="N2070" i="1"/>
  <c r="Q2070" i="1" s="1"/>
  <c r="M2071" i="1"/>
  <c r="R2071" i="1" s="1"/>
  <c r="N2071" i="1"/>
  <c r="Q2071" i="1" s="1"/>
  <c r="M2072" i="1"/>
  <c r="R2072" i="1" s="1"/>
  <c r="N2072" i="1"/>
  <c r="Q2072" i="1" s="1"/>
  <c r="M2073" i="1"/>
  <c r="R2073" i="1" s="1"/>
  <c r="N2073" i="1"/>
  <c r="Q2073" i="1" s="1"/>
  <c r="M2074" i="1"/>
  <c r="R2074" i="1" s="1"/>
  <c r="N2074" i="1"/>
  <c r="Q2074" i="1" s="1"/>
  <c r="M2075" i="1"/>
  <c r="R2075" i="1" s="1"/>
  <c r="N2075" i="1"/>
  <c r="Q2075" i="1" s="1"/>
  <c r="M2076" i="1"/>
  <c r="R2076" i="1" s="1"/>
  <c r="N2076" i="1"/>
  <c r="Q2076" i="1" s="1"/>
  <c r="M2077" i="1"/>
  <c r="R2077" i="1" s="1"/>
  <c r="N2077" i="1"/>
  <c r="Q2077" i="1" s="1"/>
  <c r="M2078" i="1"/>
  <c r="R2078" i="1" s="1"/>
  <c r="N2078" i="1"/>
  <c r="Q2078" i="1" s="1"/>
  <c r="M2079" i="1"/>
  <c r="R2079" i="1" s="1"/>
  <c r="N2079" i="1"/>
  <c r="Q2079" i="1" s="1"/>
  <c r="M2080" i="1"/>
  <c r="R2080" i="1" s="1"/>
  <c r="N2080" i="1"/>
  <c r="Q2080" i="1" s="1"/>
  <c r="M2081" i="1"/>
  <c r="R2081" i="1" s="1"/>
  <c r="N2081" i="1"/>
  <c r="Q2081" i="1" s="1"/>
  <c r="M2082" i="1"/>
  <c r="R2082" i="1" s="1"/>
  <c r="N2082" i="1"/>
  <c r="Q2082" i="1" s="1"/>
  <c r="M2083" i="1"/>
  <c r="R2083" i="1" s="1"/>
  <c r="N2083" i="1"/>
  <c r="Q2083" i="1" s="1"/>
  <c r="M2084" i="1"/>
  <c r="R2084" i="1" s="1"/>
  <c r="N2084" i="1"/>
  <c r="Q2084" i="1" s="1"/>
  <c r="M2085" i="1"/>
  <c r="R2085" i="1" s="1"/>
  <c r="N2085" i="1"/>
  <c r="Q2085" i="1" s="1"/>
  <c r="M2086" i="1"/>
  <c r="R2086" i="1" s="1"/>
  <c r="N2086" i="1"/>
  <c r="Q2086" i="1" s="1"/>
  <c r="M2087" i="1"/>
  <c r="R2087" i="1" s="1"/>
  <c r="N2087" i="1"/>
  <c r="Q2087" i="1" s="1"/>
  <c r="M2088" i="1"/>
  <c r="R2088" i="1" s="1"/>
  <c r="N2088" i="1"/>
  <c r="Q2088" i="1" s="1"/>
  <c r="M2089" i="1"/>
  <c r="R2089" i="1" s="1"/>
  <c r="N2089" i="1"/>
  <c r="Q2089" i="1" s="1"/>
  <c r="M2090" i="1"/>
  <c r="R2090" i="1" s="1"/>
  <c r="N2090" i="1"/>
  <c r="Q2090" i="1" s="1"/>
  <c r="M2091" i="1"/>
  <c r="R2091" i="1" s="1"/>
  <c r="N2091" i="1"/>
  <c r="Q2091" i="1" s="1"/>
  <c r="M2092" i="1"/>
  <c r="R2092" i="1" s="1"/>
  <c r="N2092" i="1"/>
  <c r="Q2092" i="1" s="1"/>
  <c r="M2093" i="1"/>
  <c r="R2093" i="1" s="1"/>
  <c r="N2093" i="1"/>
  <c r="Q2093" i="1" s="1"/>
  <c r="M2094" i="1"/>
  <c r="R2094" i="1" s="1"/>
  <c r="N2094" i="1"/>
  <c r="Q2094" i="1" s="1"/>
  <c r="M2095" i="1"/>
  <c r="R2095" i="1" s="1"/>
  <c r="N2095" i="1"/>
  <c r="Q2095" i="1" s="1"/>
  <c r="M2096" i="1"/>
  <c r="R2096" i="1" s="1"/>
  <c r="N2096" i="1"/>
  <c r="Q2096" i="1" s="1"/>
  <c r="M2097" i="1"/>
  <c r="R2097" i="1" s="1"/>
  <c r="N2097" i="1"/>
  <c r="Q2097" i="1" s="1"/>
  <c r="M2098" i="1"/>
  <c r="R2098" i="1" s="1"/>
  <c r="N2098" i="1"/>
  <c r="Q2098" i="1" s="1"/>
  <c r="M2099" i="1"/>
  <c r="R2099" i="1" s="1"/>
  <c r="N2099" i="1"/>
  <c r="Q2099" i="1" s="1"/>
  <c r="M2100" i="1"/>
  <c r="R2100" i="1" s="1"/>
  <c r="N2100" i="1"/>
  <c r="Q2100" i="1" s="1"/>
  <c r="M2101" i="1"/>
  <c r="R2101" i="1" s="1"/>
  <c r="N2101" i="1"/>
  <c r="Q2101" i="1" s="1"/>
  <c r="M2102" i="1"/>
  <c r="R2102" i="1" s="1"/>
  <c r="N2102" i="1"/>
  <c r="Q2102" i="1" s="1"/>
  <c r="M2103" i="1"/>
  <c r="R2103" i="1" s="1"/>
  <c r="N2103" i="1"/>
  <c r="Q2103" i="1" s="1"/>
  <c r="M2104" i="1"/>
  <c r="R2104" i="1" s="1"/>
  <c r="N2104" i="1"/>
  <c r="Q2104" i="1" s="1"/>
  <c r="M2105" i="1"/>
  <c r="R2105" i="1" s="1"/>
  <c r="N2105" i="1"/>
  <c r="Q2105" i="1" s="1"/>
  <c r="M2106" i="1"/>
  <c r="R2106" i="1" s="1"/>
  <c r="N2106" i="1"/>
  <c r="Q2106" i="1" s="1"/>
  <c r="M2107" i="1"/>
  <c r="R2107" i="1" s="1"/>
  <c r="N2107" i="1"/>
  <c r="Q2107" i="1" s="1"/>
  <c r="M2108" i="1"/>
  <c r="R2108" i="1" s="1"/>
  <c r="N2108" i="1"/>
  <c r="Q2108" i="1" s="1"/>
  <c r="M2109" i="1"/>
  <c r="R2109" i="1" s="1"/>
  <c r="N2109" i="1"/>
  <c r="Q2109" i="1" s="1"/>
  <c r="M2110" i="1"/>
  <c r="R2110" i="1" s="1"/>
  <c r="N2110" i="1"/>
  <c r="Q2110" i="1" s="1"/>
  <c r="M2111" i="1"/>
  <c r="R2111" i="1" s="1"/>
  <c r="N2111" i="1"/>
  <c r="Q2111" i="1" s="1"/>
  <c r="M2112" i="1"/>
  <c r="R2112" i="1" s="1"/>
  <c r="N2112" i="1"/>
  <c r="Q2112" i="1" s="1"/>
  <c r="M2113" i="1"/>
  <c r="R2113" i="1" s="1"/>
  <c r="N2113" i="1"/>
  <c r="Q2113" i="1" s="1"/>
  <c r="M2114" i="1"/>
  <c r="R2114" i="1" s="1"/>
  <c r="N2114" i="1"/>
  <c r="Q2114" i="1" s="1"/>
  <c r="M2115" i="1"/>
  <c r="R2115" i="1" s="1"/>
  <c r="N2115" i="1"/>
  <c r="Q2115" i="1" s="1"/>
  <c r="M2116" i="1"/>
  <c r="R2116" i="1" s="1"/>
  <c r="N2116" i="1"/>
  <c r="Q2116" i="1" s="1"/>
  <c r="M2117" i="1"/>
  <c r="R2117" i="1" s="1"/>
  <c r="N2117" i="1"/>
  <c r="Q2117" i="1" s="1"/>
  <c r="M2118" i="1"/>
  <c r="R2118" i="1" s="1"/>
  <c r="N2118" i="1"/>
  <c r="Q2118" i="1" s="1"/>
  <c r="M2119" i="1"/>
  <c r="R2119" i="1" s="1"/>
  <c r="N2119" i="1"/>
  <c r="Q2119" i="1" s="1"/>
  <c r="M2120" i="1"/>
  <c r="R2120" i="1" s="1"/>
  <c r="N2120" i="1"/>
  <c r="Q2120" i="1" s="1"/>
  <c r="M2121" i="1"/>
  <c r="R2121" i="1" s="1"/>
  <c r="N2121" i="1"/>
  <c r="Q2121" i="1" s="1"/>
  <c r="M2122" i="1"/>
  <c r="R2122" i="1" s="1"/>
  <c r="N2122" i="1"/>
  <c r="Q2122" i="1" s="1"/>
  <c r="M2123" i="1"/>
  <c r="R2123" i="1" s="1"/>
  <c r="N2123" i="1"/>
  <c r="Q2123" i="1" s="1"/>
  <c r="M2124" i="1"/>
  <c r="R2124" i="1" s="1"/>
  <c r="N2124" i="1"/>
  <c r="Q2124" i="1" s="1"/>
  <c r="M2125" i="1"/>
  <c r="R2125" i="1" s="1"/>
  <c r="N2125" i="1"/>
  <c r="Q2125" i="1" s="1"/>
  <c r="M2126" i="1"/>
  <c r="R2126" i="1" s="1"/>
  <c r="N2126" i="1"/>
  <c r="Q2126" i="1" s="1"/>
  <c r="M2127" i="1"/>
  <c r="R2127" i="1" s="1"/>
  <c r="N2127" i="1"/>
  <c r="Q2127" i="1" s="1"/>
  <c r="M2128" i="1"/>
  <c r="R2128" i="1" s="1"/>
  <c r="N2128" i="1"/>
  <c r="Q2128" i="1" s="1"/>
  <c r="M2129" i="1"/>
  <c r="R2129" i="1" s="1"/>
  <c r="N2129" i="1"/>
  <c r="Q2129" i="1" s="1"/>
  <c r="M2130" i="1"/>
  <c r="R2130" i="1" s="1"/>
  <c r="N2130" i="1"/>
  <c r="Q2130" i="1" s="1"/>
  <c r="M2131" i="1"/>
  <c r="R2131" i="1" s="1"/>
  <c r="N2131" i="1"/>
  <c r="Q2131" i="1" s="1"/>
  <c r="M2132" i="1"/>
  <c r="R2132" i="1" s="1"/>
  <c r="N2132" i="1"/>
  <c r="Q2132" i="1" s="1"/>
  <c r="M2133" i="1"/>
  <c r="R2133" i="1" s="1"/>
  <c r="N2133" i="1"/>
  <c r="Q2133" i="1" s="1"/>
  <c r="M2134" i="1"/>
  <c r="R2134" i="1" s="1"/>
  <c r="N2134" i="1"/>
  <c r="Q2134" i="1" s="1"/>
  <c r="M2135" i="1"/>
  <c r="R2135" i="1" s="1"/>
  <c r="N2135" i="1"/>
  <c r="Q2135" i="1" s="1"/>
  <c r="M2136" i="1"/>
  <c r="R2136" i="1" s="1"/>
  <c r="N2136" i="1"/>
  <c r="Q2136" i="1" s="1"/>
  <c r="M2137" i="1"/>
  <c r="R2137" i="1" s="1"/>
  <c r="N2137" i="1"/>
  <c r="Q2137" i="1" s="1"/>
  <c r="M2138" i="1"/>
  <c r="R2138" i="1" s="1"/>
  <c r="N2138" i="1"/>
  <c r="Q2138" i="1" s="1"/>
  <c r="M2139" i="1"/>
  <c r="R2139" i="1" s="1"/>
  <c r="N2139" i="1"/>
  <c r="Q2139" i="1" s="1"/>
  <c r="M2140" i="1"/>
  <c r="R2140" i="1" s="1"/>
  <c r="N2140" i="1"/>
  <c r="Q2140" i="1" s="1"/>
  <c r="M2141" i="1"/>
  <c r="R2141" i="1" s="1"/>
  <c r="N2141" i="1"/>
  <c r="Q2141" i="1" s="1"/>
  <c r="M2142" i="1"/>
  <c r="R2142" i="1" s="1"/>
  <c r="N2142" i="1"/>
  <c r="Q2142" i="1" s="1"/>
  <c r="M2143" i="1"/>
  <c r="R2143" i="1" s="1"/>
  <c r="N2143" i="1"/>
  <c r="Q2143" i="1" s="1"/>
  <c r="M2144" i="1"/>
  <c r="R2144" i="1" s="1"/>
  <c r="N2144" i="1"/>
  <c r="Q2144" i="1" s="1"/>
  <c r="M2145" i="1"/>
  <c r="R2145" i="1" s="1"/>
  <c r="N2145" i="1"/>
  <c r="Q2145" i="1" s="1"/>
  <c r="M2146" i="1"/>
  <c r="R2146" i="1" s="1"/>
  <c r="N2146" i="1"/>
  <c r="Q2146" i="1" s="1"/>
  <c r="M2147" i="1"/>
  <c r="R2147" i="1" s="1"/>
  <c r="N2147" i="1"/>
  <c r="Q2147" i="1" s="1"/>
  <c r="M2148" i="1"/>
  <c r="R2148" i="1" s="1"/>
  <c r="N2148" i="1"/>
  <c r="Q2148" i="1" s="1"/>
  <c r="M2149" i="1"/>
  <c r="R2149" i="1" s="1"/>
  <c r="N2149" i="1"/>
  <c r="Q2149" i="1" s="1"/>
  <c r="M2150" i="1"/>
  <c r="R2150" i="1" s="1"/>
  <c r="N2150" i="1"/>
  <c r="Q2150" i="1" s="1"/>
  <c r="M2151" i="1"/>
  <c r="R2151" i="1" s="1"/>
  <c r="N2151" i="1"/>
  <c r="Q2151" i="1" s="1"/>
  <c r="M2152" i="1"/>
  <c r="R2152" i="1" s="1"/>
  <c r="N2152" i="1"/>
  <c r="Q2152" i="1" s="1"/>
  <c r="M2153" i="1"/>
  <c r="R2153" i="1" s="1"/>
  <c r="N2153" i="1"/>
  <c r="Q2153" i="1" s="1"/>
  <c r="M2154" i="1"/>
  <c r="R2154" i="1" s="1"/>
  <c r="N2154" i="1"/>
  <c r="Q2154" i="1" s="1"/>
  <c r="M2155" i="1"/>
  <c r="R2155" i="1" s="1"/>
  <c r="N2155" i="1"/>
  <c r="Q2155" i="1" s="1"/>
  <c r="M2156" i="1"/>
  <c r="R2156" i="1" s="1"/>
  <c r="N2156" i="1"/>
  <c r="Q2156" i="1" s="1"/>
  <c r="M2157" i="1"/>
  <c r="R2157" i="1" s="1"/>
  <c r="N2157" i="1"/>
  <c r="Q2157" i="1" s="1"/>
  <c r="M2158" i="1"/>
  <c r="R2158" i="1" s="1"/>
  <c r="N2158" i="1"/>
  <c r="Q2158" i="1" s="1"/>
  <c r="M2159" i="1"/>
  <c r="R2159" i="1" s="1"/>
  <c r="N2159" i="1"/>
  <c r="Q2159" i="1" s="1"/>
  <c r="M2160" i="1"/>
  <c r="R2160" i="1" s="1"/>
  <c r="N2160" i="1"/>
  <c r="Q2160" i="1" s="1"/>
  <c r="M2161" i="1"/>
  <c r="R2161" i="1" s="1"/>
  <c r="N2161" i="1"/>
  <c r="Q2161" i="1" s="1"/>
  <c r="M2162" i="1"/>
  <c r="R2162" i="1" s="1"/>
  <c r="N2162" i="1"/>
  <c r="Q2162" i="1" s="1"/>
  <c r="M2163" i="1"/>
  <c r="R2163" i="1" s="1"/>
  <c r="N2163" i="1"/>
  <c r="Q2163" i="1" s="1"/>
  <c r="M2164" i="1"/>
  <c r="R2164" i="1" s="1"/>
  <c r="N2164" i="1"/>
  <c r="Q2164" i="1" s="1"/>
  <c r="M2165" i="1"/>
  <c r="R2165" i="1" s="1"/>
  <c r="N2165" i="1"/>
  <c r="Q2165" i="1" s="1"/>
  <c r="M2166" i="1"/>
  <c r="R2166" i="1" s="1"/>
  <c r="N2166" i="1"/>
  <c r="Q2166" i="1" s="1"/>
  <c r="M2167" i="1"/>
  <c r="R2167" i="1" s="1"/>
  <c r="N2167" i="1"/>
  <c r="Q2167" i="1" s="1"/>
  <c r="M2168" i="1"/>
  <c r="R2168" i="1" s="1"/>
  <c r="N2168" i="1"/>
  <c r="Q2168" i="1" s="1"/>
  <c r="M2169" i="1"/>
  <c r="R2169" i="1" s="1"/>
  <c r="N2169" i="1"/>
  <c r="Q2169" i="1" s="1"/>
  <c r="M2170" i="1"/>
  <c r="R2170" i="1" s="1"/>
  <c r="N2170" i="1"/>
  <c r="Q2170" i="1" s="1"/>
  <c r="M2171" i="1"/>
  <c r="R2171" i="1" s="1"/>
  <c r="N2171" i="1"/>
  <c r="Q2171" i="1" s="1"/>
  <c r="M2172" i="1"/>
  <c r="R2172" i="1" s="1"/>
  <c r="N2172" i="1"/>
  <c r="Q2172" i="1" s="1"/>
  <c r="M2173" i="1"/>
  <c r="R2173" i="1" s="1"/>
  <c r="N2173" i="1"/>
  <c r="Q2173" i="1" s="1"/>
  <c r="M2174" i="1"/>
  <c r="R2174" i="1" s="1"/>
  <c r="N2174" i="1"/>
  <c r="Q2174" i="1" s="1"/>
  <c r="M2175" i="1"/>
  <c r="R2175" i="1" s="1"/>
  <c r="N2175" i="1"/>
  <c r="Q2175" i="1" s="1"/>
  <c r="M2176" i="1"/>
  <c r="R2176" i="1" s="1"/>
  <c r="N2176" i="1"/>
  <c r="Q2176" i="1" s="1"/>
  <c r="M2177" i="1"/>
  <c r="R2177" i="1" s="1"/>
  <c r="N2177" i="1"/>
  <c r="Q2177" i="1" s="1"/>
  <c r="M2178" i="1"/>
  <c r="R2178" i="1" s="1"/>
  <c r="N2178" i="1"/>
  <c r="Q2178" i="1" s="1"/>
  <c r="M2179" i="1"/>
  <c r="R2179" i="1" s="1"/>
  <c r="N2179" i="1"/>
  <c r="Q2179" i="1" s="1"/>
  <c r="M2180" i="1"/>
  <c r="R2180" i="1" s="1"/>
  <c r="N2180" i="1"/>
  <c r="Q2180" i="1" s="1"/>
  <c r="M2181" i="1"/>
  <c r="R2181" i="1" s="1"/>
  <c r="N2181" i="1"/>
  <c r="Q2181" i="1" s="1"/>
  <c r="M2182" i="1"/>
  <c r="R2182" i="1" s="1"/>
  <c r="N2182" i="1"/>
  <c r="Q2182" i="1" s="1"/>
  <c r="M2183" i="1"/>
  <c r="R2183" i="1" s="1"/>
  <c r="N2183" i="1"/>
  <c r="Q2183" i="1" s="1"/>
  <c r="M2184" i="1"/>
  <c r="R2184" i="1" s="1"/>
  <c r="N2184" i="1"/>
  <c r="Q2184" i="1" s="1"/>
  <c r="M2185" i="1"/>
  <c r="R2185" i="1" s="1"/>
  <c r="N2185" i="1"/>
  <c r="Q2185" i="1" s="1"/>
  <c r="M2186" i="1"/>
  <c r="R2186" i="1" s="1"/>
  <c r="N2186" i="1"/>
  <c r="Q2186" i="1" s="1"/>
  <c r="M2187" i="1"/>
  <c r="R2187" i="1" s="1"/>
  <c r="N2187" i="1"/>
  <c r="Q2187" i="1" s="1"/>
  <c r="M2188" i="1"/>
  <c r="R2188" i="1" s="1"/>
  <c r="N2188" i="1"/>
  <c r="Q2188" i="1" s="1"/>
  <c r="M2189" i="1"/>
  <c r="R2189" i="1" s="1"/>
  <c r="N2189" i="1"/>
  <c r="Q2189" i="1" s="1"/>
  <c r="M2190" i="1"/>
  <c r="R2190" i="1" s="1"/>
  <c r="N2190" i="1"/>
  <c r="Q2190" i="1" s="1"/>
  <c r="M2191" i="1"/>
  <c r="R2191" i="1" s="1"/>
  <c r="N2191" i="1"/>
  <c r="Q2191" i="1" s="1"/>
  <c r="M2192" i="1"/>
  <c r="R2192" i="1" s="1"/>
  <c r="N2192" i="1"/>
  <c r="Q2192" i="1" s="1"/>
  <c r="M2193" i="1"/>
  <c r="R2193" i="1" s="1"/>
  <c r="N2193" i="1"/>
  <c r="Q2193" i="1" s="1"/>
  <c r="M2194" i="1"/>
  <c r="R2194" i="1" s="1"/>
  <c r="N2194" i="1"/>
  <c r="Q2194" i="1" s="1"/>
  <c r="M2195" i="1"/>
  <c r="R2195" i="1" s="1"/>
  <c r="N2195" i="1"/>
  <c r="Q2195" i="1" s="1"/>
  <c r="M2196" i="1"/>
  <c r="R2196" i="1" s="1"/>
  <c r="N2196" i="1"/>
  <c r="Q2196" i="1" s="1"/>
  <c r="M2197" i="1"/>
  <c r="R2197" i="1" s="1"/>
  <c r="N2197" i="1"/>
  <c r="Q2197" i="1" s="1"/>
  <c r="M2198" i="1"/>
  <c r="R2198" i="1" s="1"/>
  <c r="N2198" i="1"/>
  <c r="Q2198" i="1" s="1"/>
  <c r="M2199" i="1"/>
  <c r="R2199" i="1" s="1"/>
  <c r="N2199" i="1"/>
  <c r="Q2199" i="1" s="1"/>
  <c r="M2200" i="1"/>
  <c r="R2200" i="1" s="1"/>
  <c r="N2200" i="1"/>
  <c r="Q2200" i="1" s="1"/>
  <c r="M2201" i="1"/>
  <c r="R2201" i="1" s="1"/>
  <c r="N2201" i="1"/>
  <c r="Q2201" i="1" s="1"/>
  <c r="M2202" i="1"/>
  <c r="R2202" i="1" s="1"/>
  <c r="N2202" i="1"/>
  <c r="Q2202" i="1" s="1"/>
  <c r="M2203" i="1"/>
  <c r="R2203" i="1" s="1"/>
  <c r="N2203" i="1"/>
  <c r="Q2203" i="1" s="1"/>
  <c r="M2204" i="1"/>
  <c r="R2204" i="1" s="1"/>
  <c r="N2204" i="1"/>
  <c r="Q2204" i="1" s="1"/>
  <c r="M2205" i="1"/>
  <c r="R2205" i="1" s="1"/>
  <c r="N2205" i="1"/>
  <c r="Q2205" i="1" s="1"/>
  <c r="M2206" i="1"/>
  <c r="R2206" i="1" s="1"/>
  <c r="N2206" i="1"/>
  <c r="Q2206" i="1" s="1"/>
  <c r="M2207" i="1"/>
  <c r="R2207" i="1" s="1"/>
  <c r="N2207" i="1"/>
  <c r="Q2207" i="1" s="1"/>
  <c r="M2208" i="1"/>
  <c r="R2208" i="1" s="1"/>
  <c r="N2208" i="1"/>
  <c r="Q2208" i="1" s="1"/>
  <c r="M2209" i="1"/>
  <c r="R2209" i="1" s="1"/>
  <c r="N2209" i="1"/>
  <c r="Q2209" i="1" s="1"/>
  <c r="M2210" i="1"/>
  <c r="R2210" i="1" s="1"/>
  <c r="N2210" i="1"/>
  <c r="Q2210" i="1" s="1"/>
  <c r="M2211" i="1"/>
  <c r="R2211" i="1" s="1"/>
  <c r="N2211" i="1"/>
  <c r="Q2211" i="1" s="1"/>
  <c r="M2212" i="1"/>
  <c r="R2212" i="1" s="1"/>
  <c r="N2212" i="1"/>
  <c r="Q2212" i="1" s="1"/>
  <c r="M2213" i="1"/>
  <c r="R2213" i="1" s="1"/>
  <c r="N2213" i="1"/>
  <c r="Q2213" i="1" s="1"/>
  <c r="M2214" i="1"/>
  <c r="R2214" i="1" s="1"/>
  <c r="N2214" i="1"/>
  <c r="Q2214" i="1" s="1"/>
  <c r="M2215" i="1"/>
  <c r="R2215" i="1" s="1"/>
  <c r="N2215" i="1"/>
  <c r="Q2215" i="1" s="1"/>
  <c r="M2216" i="1"/>
  <c r="R2216" i="1" s="1"/>
  <c r="N2216" i="1"/>
  <c r="Q2216" i="1" s="1"/>
  <c r="M2217" i="1"/>
  <c r="R2217" i="1" s="1"/>
  <c r="N2217" i="1"/>
  <c r="Q2217" i="1" s="1"/>
  <c r="M2218" i="1"/>
  <c r="R2218" i="1" s="1"/>
  <c r="N2218" i="1"/>
  <c r="Q2218" i="1" s="1"/>
  <c r="M2219" i="1"/>
  <c r="R2219" i="1" s="1"/>
  <c r="N2219" i="1"/>
  <c r="Q2219" i="1" s="1"/>
  <c r="M2220" i="1"/>
  <c r="R2220" i="1" s="1"/>
  <c r="N2220" i="1"/>
  <c r="Q2220" i="1" s="1"/>
  <c r="M2221" i="1"/>
  <c r="R2221" i="1" s="1"/>
  <c r="N2221" i="1"/>
  <c r="Q2221" i="1" s="1"/>
  <c r="M2222" i="1"/>
  <c r="R2222" i="1" s="1"/>
  <c r="N2222" i="1"/>
  <c r="Q2222" i="1" s="1"/>
  <c r="M2223" i="1"/>
  <c r="R2223" i="1" s="1"/>
  <c r="N2223" i="1"/>
  <c r="Q2223" i="1" s="1"/>
  <c r="M2224" i="1"/>
  <c r="R2224" i="1" s="1"/>
  <c r="N2224" i="1"/>
  <c r="Q2224" i="1" s="1"/>
  <c r="M2225" i="1"/>
  <c r="R2225" i="1" s="1"/>
  <c r="N2225" i="1"/>
  <c r="Q2225" i="1" s="1"/>
  <c r="M2226" i="1"/>
  <c r="R2226" i="1" s="1"/>
  <c r="N2226" i="1"/>
  <c r="Q2226" i="1" s="1"/>
  <c r="M2227" i="1"/>
  <c r="R2227" i="1" s="1"/>
  <c r="N2227" i="1"/>
  <c r="Q2227" i="1" s="1"/>
  <c r="M2228" i="1"/>
  <c r="R2228" i="1" s="1"/>
  <c r="N2228" i="1"/>
  <c r="Q2228" i="1" s="1"/>
  <c r="M2229" i="1"/>
  <c r="R2229" i="1" s="1"/>
  <c r="N2229" i="1"/>
  <c r="Q2229" i="1" s="1"/>
  <c r="M2230" i="1"/>
  <c r="R2230" i="1" s="1"/>
  <c r="N2230" i="1"/>
  <c r="Q2230" i="1" s="1"/>
  <c r="M2231" i="1"/>
  <c r="R2231" i="1" s="1"/>
  <c r="N2231" i="1"/>
  <c r="Q2231" i="1" s="1"/>
  <c r="M2232" i="1"/>
  <c r="R2232" i="1" s="1"/>
  <c r="N2232" i="1"/>
  <c r="Q2232" i="1" s="1"/>
  <c r="M2233" i="1"/>
  <c r="R2233" i="1" s="1"/>
  <c r="N2233" i="1"/>
  <c r="Q2233" i="1" s="1"/>
  <c r="M2234" i="1"/>
  <c r="R2234" i="1" s="1"/>
  <c r="N2234" i="1"/>
  <c r="Q2234" i="1" s="1"/>
  <c r="M2235" i="1"/>
  <c r="R2235" i="1" s="1"/>
  <c r="N2235" i="1"/>
  <c r="Q2235" i="1" s="1"/>
  <c r="M2236" i="1"/>
  <c r="R2236" i="1" s="1"/>
  <c r="N2236" i="1"/>
  <c r="Q2236" i="1" s="1"/>
  <c r="M2237" i="1"/>
  <c r="R2237" i="1" s="1"/>
  <c r="N2237" i="1"/>
  <c r="Q2237" i="1" s="1"/>
  <c r="M2238" i="1"/>
  <c r="R2238" i="1" s="1"/>
  <c r="N2238" i="1"/>
  <c r="Q2238" i="1" s="1"/>
  <c r="M2239" i="1"/>
  <c r="R2239" i="1" s="1"/>
  <c r="N2239" i="1"/>
  <c r="Q2239" i="1" s="1"/>
  <c r="M2240" i="1"/>
  <c r="R2240" i="1" s="1"/>
  <c r="N2240" i="1"/>
  <c r="Q2240" i="1" s="1"/>
  <c r="M2241" i="1"/>
  <c r="R2241" i="1" s="1"/>
  <c r="N2241" i="1"/>
  <c r="Q2241" i="1" s="1"/>
  <c r="M2242" i="1"/>
  <c r="R2242" i="1" s="1"/>
  <c r="N2242" i="1"/>
  <c r="Q2242" i="1" s="1"/>
  <c r="M2243" i="1"/>
  <c r="R2243" i="1" s="1"/>
  <c r="N2243" i="1"/>
  <c r="Q2243" i="1" s="1"/>
  <c r="M2244" i="1"/>
  <c r="R2244" i="1" s="1"/>
  <c r="N2244" i="1"/>
  <c r="Q2244" i="1" s="1"/>
  <c r="M2245" i="1"/>
  <c r="R2245" i="1" s="1"/>
  <c r="N2245" i="1"/>
  <c r="Q2245" i="1" s="1"/>
  <c r="M2246" i="1"/>
  <c r="R2246" i="1" s="1"/>
  <c r="N2246" i="1"/>
  <c r="Q2246" i="1" s="1"/>
  <c r="M2247" i="1"/>
  <c r="R2247" i="1" s="1"/>
  <c r="N2247" i="1"/>
  <c r="Q2247" i="1" s="1"/>
  <c r="M2248" i="1"/>
  <c r="R2248" i="1" s="1"/>
  <c r="N2248" i="1"/>
  <c r="Q2248" i="1" s="1"/>
  <c r="M2249" i="1"/>
  <c r="R2249" i="1" s="1"/>
  <c r="N2249" i="1"/>
  <c r="Q2249" i="1" s="1"/>
  <c r="M2250" i="1"/>
  <c r="R2250" i="1" s="1"/>
  <c r="N2250" i="1"/>
  <c r="Q2250" i="1" s="1"/>
  <c r="M2251" i="1"/>
  <c r="R2251" i="1" s="1"/>
  <c r="N2251" i="1"/>
  <c r="Q2251" i="1" s="1"/>
  <c r="M2252" i="1"/>
  <c r="R2252" i="1" s="1"/>
  <c r="N2252" i="1"/>
  <c r="Q2252" i="1" s="1"/>
  <c r="M2253" i="1"/>
  <c r="R2253" i="1" s="1"/>
  <c r="N2253" i="1"/>
  <c r="Q2253" i="1" s="1"/>
  <c r="M2254" i="1"/>
  <c r="R2254" i="1" s="1"/>
  <c r="N2254" i="1"/>
  <c r="Q2254" i="1" s="1"/>
  <c r="M2255" i="1"/>
  <c r="R2255" i="1" s="1"/>
  <c r="N2255" i="1"/>
  <c r="Q2255" i="1" s="1"/>
  <c r="M2256" i="1"/>
  <c r="R2256" i="1" s="1"/>
  <c r="N2256" i="1"/>
  <c r="Q2256" i="1" s="1"/>
  <c r="M2257" i="1"/>
  <c r="R2257" i="1" s="1"/>
  <c r="N2257" i="1"/>
  <c r="Q2257" i="1" s="1"/>
  <c r="M2258" i="1"/>
  <c r="R2258" i="1" s="1"/>
  <c r="N2258" i="1"/>
  <c r="Q2258" i="1" s="1"/>
  <c r="M2259" i="1"/>
  <c r="R2259" i="1" s="1"/>
  <c r="N2259" i="1"/>
  <c r="Q2259" i="1" s="1"/>
  <c r="M2260" i="1"/>
  <c r="R2260" i="1" s="1"/>
  <c r="N2260" i="1"/>
  <c r="Q2260" i="1" s="1"/>
  <c r="M2261" i="1"/>
  <c r="R2261" i="1" s="1"/>
  <c r="N2261" i="1"/>
  <c r="Q2261" i="1" s="1"/>
  <c r="M2262" i="1"/>
  <c r="R2262" i="1" s="1"/>
  <c r="N2262" i="1"/>
  <c r="Q2262" i="1" s="1"/>
  <c r="M2263" i="1"/>
  <c r="R2263" i="1" s="1"/>
  <c r="N2263" i="1"/>
  <c r="Q2263" i="1" s="1"/>
  <c r="M2264" i="1"/>
  <c r="R2264" i="1" s="1"/>
  <c r="N2264" i="1"/>
  <c r="Q2264" i="1" s="1"/>
  <c r="M2265" i="1"/>
  <c r="R2265" i="1" s="1"/>
  <c r="N2265" i="1"/>
  <c r="Q2265" i="1" s="1"/>
  <c r="M2266" i="1"/>
  <c r="R2266" i="1" s="1"/>
  <c r="N2266" i="1"/>
  <c r="Q2266" i="1" s="1"/>
  <c r="M2267" i="1"/>
  <c r="R2267" i="1" s="1"/>
  <c r="N2267" i="1"/>
  <c r="Q2267" i="1" s="1"/>
  <c r="M2268" i="1"/>
  <c r="R2268" i="1" s="1"/>
  <c r="N2268" i="1"/>
  <c r="Q2268" i="1" s="1"/>
  <c r="M2269" i="1"/>
  <c r="R2269" i="1" s="1"/>
  <c r="N2269" i="1"/>
  <c r="Q2269" i="1" s="1"/>
  <c r="M2270" i="1"/>
  <c r="R2270" i="1" s="1"/>
  <c r="N2270" i="1"/>
  <c r="Q2270" i="1" s="1"/>
  <c r="M2271" i="1"/>
  <c r="R2271" i="1" s="1"/>
  <c r="N2271" i="1"/>
  <c r="Q2271" i="1" s="1"/>
  <c r="M2272" i="1"/>
  <c r="R2272" i="1" s="1"/>
  <c r="N2272" i="1"/>
  <c r="Q2272" i="1" s="1"/>
  <c r="M2273" i="1"/>
  <c r="R2273" i="1" s="1"/>
  <c r="N2273" i="1"/>
  <c r="Q2273" i="1" s="1"/>
  <c r="M2274" i="1"/>
  <c r="R2274" i="1" s="1"/>
  <c r="N2274" i="1"/>
  <c r="Q2274" i="1" s="1"/>
  <c r="M2275" i="1"/>
  <c r="R2275" i="1" s="1"/>
  <c r="N2275" i="1"/>
  <c r="Q2275" i="1" s="1"/>
  <c r="M2276" i="1"/>
  <c r="R2276" i="1" s="1"/>
  <c r="N2276" i="1"/>
  <c r="Q2276" i="1" s="1"/>
  <c r="M2277" i="1"/>
  <c r="R2277" i="1" s="1"/>
  <c r="N2277" i="1"/>
  <c r="Q2277" i="1" s="1"/>
  <c r="M2278" i="1"/>
  <c r="R2278" i="1" s="1"/>
  <c r="N2278" i="1"/>
  <c r="Q2278" i="1" s="1"/>
  <c r="M2279" i="1"/>
  <c r="R2279" i="1" s="1"/>
  <c r="N2279" i="1"/>
  <c r="Q2279" i="1" s="1"/>
  <c r="M2280" i="1"/>
  <c r="R2280" i="1" s="1"/>
  <c r="N2280" i="1"/>
  <c r="Q2280" i="1" s="1"/>
  <c r="M2281" i="1"/>
  <c r="R2281" i="1" s="1"/>
  <c r="N2281" i="1"/>
  <c r="Q2281" i="1" s="1"/>
  <c r="M2282" i="1"/>
  <c r="R2282" i="1" s="1"/>
  <c r="N2282" i="1"/>
  <c r="Q2282" i="1" s="1"/>
  <c r="M2283" i="1"/>
  <c r="R2283" i="1" s="1"/>
  <c r="N2283" i="1"/>
  <c r="Q2283" i="1" s="1"/>
  <c r="M2284" i="1"/>
  <c r="R2284" i="1" s="1"/>
  <c r="N2284" i="1"/>
  <c r="Q2284" i="1" s="1"/>
  <c r="M2285" i="1"/>
  <c r="R2285" i="1" s="1"/>
  <c r="N2285" i="1"/>
  <c r="Q2285" i="1" s="1"/>
  <c r="M2286" i="1"/>
  <c r="R2286" i="1" s="1"/>
  <c r="N2286" i="1"/>
  <c r="Q2286" i="1" s="1"/>
  <c r="M2287" i="1"/>
  <c r="R2287" i="1" s="1"/>
  <c r="N2287" i="1"/>
  <c r="Q2287" i="1" s="1"/>
  <c r="M2288" i="1"/>
  <c r="R2288" i="1" s="1"/>
  <c r="N2288" i="1"/>
  <c r="Q2288" i="1" s="1"/>
  <c r="M2289" i="1"/>
  <c r="R2289" i="1" s="1"/>
  <c r="N2289" i="1"/>
  <c r="Q2289" i="1" s="1"/>
  <c r="M2290" i="1"/>
  <c r="R2290" i="1" s="1"/>
  <c r="N2290" i="1"/>
  <c r="Q2290" i="1" s="1"/>
  <c r="M2291" i="1"/>
  <c r="R2291" i="1" s="1"/>
  <c r="N2291" i="1"/>
  <c r="Q2291" i="1" s="1"/>
  <c r="M2292" i="1"/>
  <c r="R2292" i="1" s="1"/>
  <c r="N2292" i="1"/>
  <c r="Q2292" i="1" s="1"/>
  <c r="M2293" i="1"/>
  <c r="R2293" i="1" s="1"/>
  <c r="N2293" i="1"/>
  <c r="Q2293" i="1" s="1"/>
  <c r="M2294" i="1"/>
  <c r="R2294" i="1" s="1"/>
  <c r="N2294" i="1"/>
  <c r="Q2294" i="1" s="1"/>
  <c r="M2295" i="1"/>
  <c r="R2295" i="1" s="1"/>
  <c r="N2295" i="1"/>
  <c r="Q2295" i="1" s="1"/>
  <c r="M2296" i="1"/>
  <c r="R2296" i="1" s="1"/>
  <c r="N2296" i="1"/>
  <c r="Q2296" i="1" s="1"/>
  <c r="M2297" i="1"/>
  <c r="R2297" i="1" s="1"/>
  <c r="N2297" i="1"/>
  <c r="Q2297" i="1" s="1"/>
  <c r="M2298" i="1"/>
  <c r="R2298" i="1" s="1"/>
  <c r="N2298" i="1"/>
  <c r="Q2298" i="1" s="1"/>
  <c r="M2299" i="1"/>
  <c r="R2299" i="1" s="1"/>
  <c r="N2299" i="1"/>
  <c r="Q2299" i="1" s="1"/>
  <c r="M2300" i="1"/>
  <c r="R2300" i="1" s="1"/>
  <c r="N2300" i="1"/>
  <c r="Q2300" i="1" s="1"/>
  <c r="M2301" i="1"/>
  <c r="R2301" i="1" s="1"/>
  <c r="N2301" i="1"/>
  <c r="Q2301" i="1" s="1"/>
  <c r="M2302" i="1"/>
  <c r="R2302" i="1" s="1"/>
  <c r="N2302" i="1"/>
  <c r="Q2302" i="1" s="1"/>
  <c r="M2303" i="1"/>
  <c r="R2303" i="1" s="1"/>
  <c r="N2303" i="1"/>
  <c r="Q2303" i="1" s="1"/>
  <c r="M2304" i="1"/>
  <c r="R2304" i="1" s="1"/>
  <c r="N2304" i="1"/>
  <c r="Q2304" i="1" s="1"/>
  <c r="M2305" i="1"/>
  <c r="R2305" i="1" s="1"/>
  <c r="N2305" i="1"/>
  <c r="Q2305" i="1" s="1"/>
  <c r="M2306" i="1"/>
  <c r="R2306" i="1" s="1"/>
  <c r="N2306" i="1"/>
  <c r="Q2306" i="1" s="1"/>
  <c r="M2307" i="1"/>
  <c r="R2307" i="1" s="1"/>
  <c r="N2307" i="1"/>
  <c r="Q2307" i="1" s="1"/>
  <c r="M2308" i="1"/>
  <c r="R2308" i="1" s="1"/>
  <c r="N2308" i="1"/>
  <c r="Q2308" i="1" s="1"/>
  <c r="M2309" i="1"/>
  <c r="R2309" i="1" s="1"/>
  <c r="N2309" i="1"/>
  <c r="Q2309" i="1" s="1"/>
  <c r="M2310" i="1"/>
  <c r="R2310" i="1" s="1"/>
  <c r="N2310" i="1"/>
  <c r="Q2310" i="1" s="1"/>
  <c r="M2311" i="1"/>
  <c r="R2311" i="1" s="1"/>
  <c r="N2311" i="1"/>
  <c r="Q2311" i="1" s="1"/>
  <c r="M2312" i="1"/>
  <c r="R2312" i="1" s="1"/>
  <c r="N2312" i="1"/>
  <c r="Q2312" i="1" s="1"/>
  <c r="M2313" i="1"/>
  <c r="R2313" i="1" s="1"/>
  <c r="N2313" i="1"/>
  <c r="Q2313" i="1" s="1"/>
  <c r="M2314" i="1"/>
  <c r="R2314" i="1" s="1"/>
  <c r="N2314" i="1"/>
  <c r="Q2314" i="1" s="1"/>
  <c r="M2315" i="1"/>
  <c r="R2315" i="1" s="1"/>
  <c r="N2315" i="1"/>
  <c r="Q2315" i="1" s="1"/>
  <c r="M2316" i="1"/>
  <c r="R2316" i="1" s="1"/>
  <c r="N2316" i="1"/>
  <c r="Q2316" i="1" s="1"/>
  <c r="M2317" i="1"/>
  <c r="R2317" i="1" s="1"/>
  <c r="N2317" i="1"/>
  <c r="Q2317" i="1" s="1"/>
  <c r="M2318" i="1"/>
  <c r="R2318" i="1" s="1"/>
  <c r="N2318" i="1"/>
  <c r="Q2318" i="1" s="1"/>
  <c r="M2319" i="1"/>
  <c r="R2319" i="1" s="1"/>
  <c r="N2319" i="1"/>
  <c r="Q2319" i="1" s="1"/>
  <c r="M2320" i="1"/>
  <c r="R2320" i="1" s="1"/>
  <c r="N2320" i="1"/>
  <c r="Q2320" i="1" s="1"/>
  <c r="M2321" i="1"/>
  <c r="R2321" i="1" s="1"/>
  <c r="N2321" i="1"/>
  <c r="Q2321" i="1" s="1"/>
  <c r="M2322" i="1"/>
  <c r="R2322" i="1" s="1"/>
  <c r="N2322" i="1"/>
  <c r="Q2322" i="1" s="1"/>
  <c r="M2323" i="1"/>
  <c r="R2323" i="1" s="1"/>
  <c r="N2323" i="1"/>
  <c r="Q2323" i="1" s="1"/>
  <c r="M2324" i="1"/>
  <c r="R2324" i="1" s="1"/>
  <c r="N2324" i="1"/>
  <c r="Q2324" i="1" s="1"/>
  <c r="M2325" i="1"/>
  <c r="R2325" i="1" s="1"/>
  <c r="N2325" i="1"/>
  <c r="Q2325" i="1" s="1"/>
  <c r="M2326" i="1"/>
  <c r="R2326" i="1" s="1"/>
  <c r="N2326" i="1"/>
  <c r="Q2326" i="1" s="1"/>
  <c r="M2327" i="1"/>
  <c r="R2327" i="1" s="1"/>
  <c r="N2327" i="1"/>
  <c r="Q2327" i="1" s="1"/>
  <c r="M2328" i="1"/>
  <c r="R2328" i="1" s="1"/>
  <c r="N2328" i="1"/>
  <c r="Q2328" i="1" s="1"/>
  <c r="M2329" i="1"/>
  <c r="R2329" i="1" s="1"/>
  <c r="N2329" i="1"/>
  <c r="Q2329" i="1" s="1"/>
  <c r="M2330" i="1"/>
  <c r="R2330" i="1" s="1"/>
  <c r="N2330" i="1"/>
  <c r="Q2330" i="1" s="1"/>
  <c r="M2331" i="1"/>
  <c r="R2331" i="1" s="1"/>
  <c r="N2331" i="1"/>
  <c r="Q2331" i="1" s="1"/>
  <c r="M2332" i="1"/>
  <c r="R2332" i="1" s="1"/>
  <c r="N2332" i="1"/>
  <c r="Q2332" i="1" s="1"/>
  <c r="M2333" i="1"/>
  <c r="R2333" i="1" s="1"/>
  <c r="N2333" i="1"/>
  <c r="Q2333" i="1" s="1"/>
  <c r="M2334" i="1"/>
  <c r="R2334" i="1" s="1"/>
  <c r="N2334" i="1"/>
  <c r="Q2334" i="1" s="1"/>
  <c r="M2335" i="1"/>
  <c r="R2335" i="1" s="1"/>
  <c r="N2335" i="1"/>
  <c r="Q2335" i="1" s="1"/>
  <c r="M2336" i="1"/>
  <c r="R2336" i="1" s="1"/>
  <c r="N2336" i="1"/>
  <c r="Q2336" i="1" s="1"/>
  <c r="M2337" i="1"/>
  <c r="R2337" i="1" s="1"/>
  <c r="N2337" i="1"/>
  <c r="Q2337" i="1" s="1"/>
  <c r="M2338" i="1"/>
  <c r="R2338" i="1" s="1"/>
  <c r="N2338" i="1"/>
  <c r="Q2338" i="1" s="1"/>
  <c r="M2339" i="1"/>
  <c r="R2339" i="1" s="1"/>
  <c r="N2339" i="1"/>
  <c r="Q2339" i="1" s="1"/>
  <c r="M2340" i="1"/>
  <c r="R2340" i="1" s="1"/>
  <c r="N2340" i="1"/>
  <c r="Q2340" i="1" s="1"/>
  <c r="M2341" i="1"/>
  <c r="R2341" i="1" s="1"/>
  <c r="N2341" i="1"/>
  <c r="Q2341" i="1" s="1"/>
  <c r="M2342" i="1"/>
  <c r="R2342" i="1" s="1"/>
  <c r="N2342" i="1"/>
  <c r="Q2342" i="1" s="1"/>
  <c r="M2343" i="1"/>
  <c r="R2343" i="1" s="1"/>
  <c r="N2343" i="1"/>
  <c r="Q2343" i="1" s="1"/>
  <c r="M2344" i="1"/>
  <c r="R2344" i="1" s="1"/>
  <c r="N2344" i="1"/>
  <c r="Q2344" i="1" s="1"/>
  <c r="M2345" i="1"/>
  <c r="R2345" i="1" s="1"/>
  <c r="N2345" i="1"/>
  <c r="Q2345" i="1" s="1"/>
  <c r="M2346" i="1"/>
  <c r="R2346" i="1" s="1"/>
  <c r="N2346" i="1"/>
  <c r="Q2346" i="1" s="1"/>
  <c r="M2347" i="1"/>
  <c r="R2347" i="1" s="1"/>
  <c r="N2347" i="1"/>
  <c r="Q2347" i="1" s="1"/>
  <c r="M2348" i="1"/>
  <c r="R2348" i="1" s="1"/>
  <c r="N2348" i="1"/>
  <c r="Q2348" i="1" s="1"/>
  <c r="M2349" i="1"/>
  <c r="R2349" i="1" s="1"/>
  <c r="N2349" i="1"/>
  <c r="Q2349" i="1" s="1"/>
  <c r="M2350" i="1"/>
  <c r="R2350" i="1" s="1"/>
  <c r="N2350" i="1"/>
  <c r="Q2350" i="1" s="1"/>
  <c r="M2351" i="1"/>
  <c r="R2351" i="1" s="1"/>
  <c r="N2351" i="1"/>
  <c r="Q2351" i="1" s="1"/>
  <c r="M2352" i="1"/>
  <c r="R2352" i="1" s="1"/>
  <c r="N2352" i="1"/>
  <c r="Q2352" i="1" s="1"/>
  <c r="M2353" i="1"/>
  <c r="R2353" i="1" s="1"/>
  <c r="N2353" i="1"/>
  <c r="Q2353" i="1" s="1"/>
  <c r="M2354" i="1"/>
  <c r="R2354" i="1" s="1"/>
  <c r="N2354" i="1"/>
  <c r="Q2354" i="1" s="1"/>
  <c r="M2355" i="1"/>
  <c r="R2355" i="1" s="1"/>
  <c r="N2355" i="1"/>
  <c r="Q2355" i="1" s="1"/>
  <c r="M2356" i="1"/>
  <c r="R2356" i="1" s="1"/>
  <c r="N2356" i="1"/>
  <c r="Q2356" i="1" s="1"/>
  <c r="M2357" i="1"/>
  <c r="R2357" i="1" s="1"/>
  <c r="N2357" i="1"/>
  <c r="Q2357" i="1" s="1"/>
  <c r="M2358" i="1"/>
  <c r="R2358" i="1" s="1"/>
  <c r="N2358" i="1"/>
  <c r="Q2358" i="1" s="1"/>
  <c r="M2359" i="1"/>
  <c r="R2359" i="1" s="1"/>
  <c r="N2359" i="1"/>
  <c r="Q2359" i="1" s="1"/>
  <c r="M2360" i="1"/>
  <c r="R2360" i="1" s="1"/>
  <c r="N2360" i="1"/>
  <c r="Q2360" i="1" s="1"/>
  <c r="M2361" i="1"/>
  <c r="R2361" i="1" s="1"/>
  <c r="N2361" i="1"/>
  <c r="Q2361" i="1" s="1"/>
  <c r="M2362" i="1"/>
  <c r="R2362" i="1" s="1"/>
  <c r="N2362" i="1"/>
  <c r="Q2362" i="1" s="1"/>
  <c r="M2363" i="1"/>
  <c r="R2363" i="1" s="1"/>
  <c r="N2363" i="1"/>
  <c r="Q2363" i="1" s="1"/>
  <c r="M2364" i="1"/>
  <c r="R2364" i="1" s="1"/>
  <c r="N2364" i="1"/>
  <c r="Q2364" i="1" s="1"/>
  <c r="M2365" i="1"/>
  <c r="R2365" i="1" s="1"/>
  <c r="N2365" i="1"/>
  <c r="Q2365" i="1" s="1"/>
  <c r="M2366" i="1"/>
  <c r="R2366" i="1" s="1"/>
  <c r="N2366" i="1"/>
  <c r="Q2366" i="1" s="1"/>
  <c r="M2367" i="1"/>
  <c r="R2367" i="1" s="1"/>
  <c r="N2367" i="1"/>
  <c r="Q2367" i="1" s="1"/>
  <c r="M2368" i="1"/>
  <c r="R2368" i="1" s="1"/>
  <c r="N2368" i="1"/>
  <c r="Q2368" i="1" s="1"/>
  <c r="M2369" i="1"/>
  <c r="R2369" i="1" s="1"/>
  <c r="N2369" i="1"/>
  <c r="Q2369" i="1" s="1"/>
  <c r="M2370" i="1"/>
  <c r="R2370" i="1" s="1"/>
  <c r="N2370" i="1"/>
  <c r="Q2370" i="1" s="1"/>
  <c r="M2371" i="1"/>
  <c r="R2371" i="1" s="1"/>
  <c r="N2371" i="1"/>
  <c r="Q2371" i="1" s="1"/>
  <c r="M2372" i="1"/>
  <c r="R2372" i="1" s="1"/>
  <c r="N2372" i="1"/>
  <c r="Q2372" i="1" s="1"/>
  <c r="M2373" i="1"/>
  <c r="R2373" i="1" s="1"/>
  <c r="N2373" i="1"/>
  <c r="Q2373" i="1" s="1"/>
  <c r="M2374" i="1"/>
  <c r="R2374" i="1" s="1"/>
  <c r="N2374" i="1"/>
  <c r="Q2374" i="1" s="1"/>
  <c r="M2375" i="1"/>
  <c r="R2375" i="1" s="1"/>
  <c r="N2375" i="1"/>
  <c r="Q2375" i="1" s="1"/>
  <c r="M2376" i="1"/>
  <c r="R2376" i="1" s="1"/>
  <c r="N2376" i="1"/>
  <c r="Q2376" i="1" s="1"/>
  <c r="M2377" i="1"/>
  <c r="R2377" i="1" s="1"/>
  <c r="N2377" i="1"/>
  <c r="Q2377" i="1" s="1"/>
  <c r="M2378" i="1"/>
  <c r="R2378" i="1" s="1"/>
  <c r="N2378" i="1"/>
  <c r="Q2378" i="1" s="1"/>
  <c r="M2379" i="1"/>
  <c r="R2379" i="1" s="1"/>
  <c r="N2379" i="1"/>
  <c r="Q2379" i="1" s="1"/>
  <c r="M2380" i="1"/>
  <c r="R2380" i="1" s="1"/>
  <c r="N2380" i="1"/>
  <c r="Q2380" i="1" s="1"/>
  <c r="M2381" i="1"/>
  <c r="R2381" i="1" s="1"/>
  <c r="N2381" i="1"/>
  <c r="Q2381" i="1" s="1"/>
  <c r="M2382" i="1"/>
  <c r="R2382" i="1" s="1"/>
  <c r="N2382" i="1"/>
  <c r="Q2382" i="1" s="1"/>
  <c r="M2383" i="1"/>
  <c r="R2383" i="1" s="1"/>
  <c r="N2383" i="1"/>
  <c r="Q2383" i="1" s="1"/>
  <c r="M2384" i="1"/>
  <c r="R2384" i="1" s="1"/>
  <c r="N2384" i="1"/>
  <c r="Q2384" i="1" s="1"/>
  <c r="M2385" i="1"/>
  <c r="R2385" i="1" s="1"/>
  <c r="N2385" i="1"/>
  <c r="Q2385" i="1" s="1"/>
  <c r="M2386" i="1"/>
  <c r="R2386" i="1" s="1"/>
  <c r="N2386" i="1"/>
  <c r="Q2386" i="1" s="1"/>
  <c r="M2387" i="1"/>
  <c r="R2387" i="1" s="1"/>
  <c r="N2387" i="1"/>
  <c r="Q2387" i="1" s="1"/>
  <c r="M2388" i="1"/>
  <c r="R2388" i="1" s="1"/>
  <c r="N2388" i="1"/>
  <c r="Q2388" i="1" s="1"/>
  <c r="M2389" i="1"/>
  <c r="R2389" i="1" s="1"/>
  <c r="N2389" i="1"/>
  <c r="Q2389" i="1" s="1"/>
  <c r="M2390" i="1"/>
  <c r="R2390" i="1" s="1"/>
  <c r="N2390" i="1"/>
  <c r="Q2390" i="1" s="1"/>
  <c r="M2391" i="1"/>
  <c r="R2391" i="1" s="1"/>
  <c r="N2391" i="1"/>
  <c r="Q2391" i="1" s="1"/>
  <c r="M2392" i="1"/>
  <c r="R2392" i="1" s="1"/>
  <c r="N2392" i="1"/>
  <c r="Q2392" i="1" s="1"/>
  <c r="M2393" i="1"/>
  <c r="R2393" i="1" s="1"/>
  <c r="N2393" i="1"/>
  <c r="Q2393" i="1" s="1"/>
  <c r="M2394" i="1"/>
  <c r="R2394" i="1" s="1"/>
  <c r="N2394" i="1"/>
  <c r="Q2394" i="1" s="1"/>
  <c r="M2395" i="1"/>
  <c r="R2395" i="1" s="1"/>
  <c r="N2395" i="1"/>
  <c r="Q2395" i="1" s="1"/>
  <c r="M2396" i="1"/>
  <c r="R2396" i="1" s="1"/>
  <c r="N2396" i="1"/>
  <c r="Q2396" i="1" s="1"/>
  <c r="M2397" i="1"/>
  <c r="R2397" i="1" s="1"/>
  <c r="N2397" i="1"/>
  <c r="Q2397" i="1" s="1"/>
  <c r="M2398" i="1"/>
  <c r="R2398" i="1" s="1"/>
  <c r="N2398" i="1"/>
  <c r="Q2398" i="1" s="1"/>
  <c r="M2399" i="1"/>
  <c r="R2399" i="1" s="1"/>
  <c r="N2399" i="1"/>
  <c r="Q2399" i="1" s="1"/>
  <c r="M2400" i="1"/>
  <c r="R2400" i="1" s="1"/>
  <c r="N2400" i="1"/>
  <c r="Q2400" i="1" s="1"/>
  <c r="M2401" i="1"/>
  <c r="R2401" i="1" s="1"/>
  <c r="N2401" i="1"/>
  <c r="Q2401" i="1" s="1"/>
  <c r="M2402" i="1"/>
  <c r="R2402" i="1" s="1"/>
  <c r="N2402" i="1"/>
  <c r="Q2402" i="1" s="1"/>
  <c r="M2403" i="1"/>
  <c r="R2403" i="1" s="1"/>
  <c r="N2403" i="1"/>
  <c r="Q2403" i="1" s="1"/>
  <c r="M2404" i="1"/>
  <c r="R2404" i="1" s="1"/>
  <c r="N2404" i="1"/>
  <c r="Q2404" i="1" s="1"/>
  <c r="M2405" i="1"/>
  <c r="R2405" i="1" s="1"/>
  <c r="N2405" i="1"/>
  <c r="Q2405" i="1" s="1"/>
  <c r="M2406" i="1"/>
  <c r="R2406" i="1" s="1"/>
  <c r="N2406" i="1"/>
  <c r="Q2406" i="1" s="1"/>
  <c r="M2407" i="1"/>
  <c r="R2407" i="1" s="1"/>
  <c r="N2407" i="1"/>
  <c r="Q2407" i="1" s="1"/>
  <c r="M2408" i="1"/>
  <c r="R2408" i="1" s="1"/>
  <c r="N2408" i="1"/>
  <c r="Q2408" i="1" s="1"/>
  <c r="M2409" i="1"/>
  <c r="R2409" i="1" s="1"/>
  <c r="N2409" i="1"/>
  <c r="Q2409" i="1" s="1"/>
  <c r="M2410" i="1"/>
  <c r="R2410" i="1" s="1"/>
  <c r="N2410" i="1"/>
  <c r="Q2410" i="1" s="1"/>
  <c r="M2411" i="1"/>
  <c r="R2411" i="1" s="1"/>
  <c r="N2411" i="1"/>
  <c r="Q2411" i="1" s="1"/>
  <c r="M2412" i="1"/>
  <c r="R2412" i="1" s="1"/>
  <c r="N2412" i="1"/>
  <c r="Q2412" i="1" s="1"/>
  <c r="M2413" i="1"/>
  <c r="R2413" i="1" s="1"/>
  <c r="N2413" i="1"/>
  <c r="Q2413" i="1" s="1"/>
  <c r="M2414" i="1"/>
  <c r="R2414" i="1" s="1"/>
  <c r="N2414" i="1"/>
  <c r="Q2414" i="1" s="1"/>
  <c r="M2415" i="1"/>
  <c r="R2415" i="1" s="1"/>
  <c r="N2415" i="1"/>
  <c r="Q2415" i="1" s="1"/>
  <c r="M2416" i="1"/>
  <c r="R2416" i="1" s="1"/>
  <c r="N2416" i="1"/>
  <c r="Q2416" i="1" s="1"/>
  <c r="M2417" i="1"/>
  <c r="R2417" i="1" s="1"/>
  <c r="N2417" i="1"/>
  <c r="Q2417" i="1" s="1"/>
  <c r="M2418" i="1"/>
  <c r="R2418" i="1" s="1"/>
  <c r="N2418" i="1"/>
  <c r="Q2418" i="1" s="1"/>
  <c r="M2419" i="1"/>
  <c r="R2419" i="1" s="1"/>
  <c r="N2419" i="1"/>
  <c r="Q2419" i="1" s="1"/>
  <c r="M2420" i="1"/>
  <c r="R2420" i="1" s="1"/>
  <c r="N2420" i="1"/>
  <c r="Q2420" i="1" s="1"/>
  <c r="M2421" i="1"/>
  <c r="R2421" i="1" s="1"/>
  <c r="N2421" i="1"/>
  <c r="Q2421" i="1" s="1"/>
  <c r="M2422" i="1"/>
  <c r="R2422" i="1" s="1"/>
  <c r="N2422" i="1"/>
  <c r="Q2422" i="1" s="1"/>
  <c r="M2423" i="1"/>
  <c r="R2423" i="1" s="1"/>
  <c r="N2423" i="1"/>
  <c r="Q2423" i="1" s="1"/>
  <c r="M2424" i="1"/>
  <c r="R2424" i="1" s="1"/>
  <c r="N2424" i="1"/>
  <c r="Q2424" i="1" s="1"/>
  <c r="M2425" i="1"/>
  <c r="R2425" i="1" s="1"/>
  <c r="N2425" i="1"/>
  <c r="Q2425" i="1" s="1"/>
  <c r="M2426" i="1"/>
  <c r="R2426" i="1" s="1"/>
  <c r="N2426" i="1"/>
  <c r="Q2426" i="1" s="1"/>
  <c r="M2427" i="1"/>
  <c r="R2427" i="1" s="1"/>
  <c r="N2427" i="1"/>
  <c r="Q2427" i="1" s="1"/>
  <c r="M2428" i="1"/>
  <c r="R2428" i="1" s="1"/>
  <c r="N2428" i="1"/>
  <c r="Q2428" i="1" s="1"/>
  <c r="M2429" i="1"/>
  <c r="R2429" i="1" s="1"/>
  <c r="N2429" i="1"/>
  <c r="Q2429" i="1" s="1"/>
  <c r="M2430" i="1"/>
  <c r="R2430" i="1" s="1"/>
  <c r="N2430" i="1"/>
  <c r="Q2430" i="1" s="1"/>
  <c r="M2431" i="1"/>
  <c r="R2431" i="1" s="1"/>
  <c r="N2431" i="1"/>
  <c r="Q2431" i="1" s="1"/>
  <c r="M2432" i="1"/>
  <c r="R2432" i="1" s="1"/>
  <c r="N2432" i="1"/>
  <c r="Q2432" i="1" s="1"/>
  <c r="M2433" i="1"/>
  <c r="R2433" i="1" s="1"/>
  <c r="N2433" i="1"/>
  <c r="Q2433" i="1" s="1"/>
  <c r="M2434" i="1"/>
  <c r="R2434" i="1" s="1"/>
  <c r="N2434" i="1"/>
  <c r="Q2434" i="1" s="1"/>
  <c r="M2435" i="1"/>
  <c r="R2435" i="1" s="1"/>
  <c r="N2435" i="1"/>
  <c r="Q2435" i="1" s="1"/>
  <c r="M2436" i="1"/>
  <c r="R2436" i="1" s="1"/>
  <c r="N2436" i="1"/>
  <c r="Q2436" i="1" s="1"/>
  <c r="M2437" i="1"/>
  <c r="R2437" i="1" s="1"/>
  <c r="N2437" i="1"/>
  <c r="Q2437" i="1" s="1"/>
  <c r="M2438" i="1"/>
  <c r="R2438" i="1" s="1"/>
  <c r="N2438" i="1"/>
  <c r="Q2438" i="1" s="1"/>
  <c r="M2439" i="1"/>
  <c r="R2439" i="1" s="1"/>
  <c r="N2439" i="1"/>
  <c r="Q2439" i="1" s="1"/>
  <c r="M2440" i="1"/>
  <c r="R2440" i="1" s="1"/>
  <c r="N2440" i="1"/>
  <c r="Q2440" i="1" s="1"/>
  <c r="M2441" i="1"/>
  <c r="R2441" i="1" s="1"/>
  <c r="N2441" i="1"/>
  <c r="Q2441" i="1" s="1"/>
  <c r="M2442" i="1"/>
  <c r="R2442" i="1" s="1"/>
  <c r="N2442" i="1"/>
  <c r="Q2442" i="1" s="1"/>
  <c r="M2443" i="1"/>
  <c r="R2443" i="1" s="1"/>
  <c r="N2443" i="1"/>
  <c r="Q2443" i="1" s="1"/>
  <c r="M2444" i="1"/>
  <c r="R2444" i="1" s="1"/>
  <c r="N2444" i="1"/>
  <c r="Q2444" i="1" s="1"/>
  <c r="M2445" i="1"/>
  <c r="R2445" i="1" s="1"/>
  <c r="N2445" i="1"/>
  <c r="Q2445" i="1" s="1"/>
  <c r="M2446" i="1"/>
  <c r="R2446" i="1" s="1"/>
  <c r="N2446" i="1"/>
  <c r="Q2446" i="1" s="1"/>
  <c r="M2447" i="1"/>
  <c r="R2447" i="1" s="1"/>
  <c r="N2447" i="1"/>
  <c r="Q2447" i="1" s="1"/>
  <c r="M2448" i="1"/>
  <c r="R2448" i="1" s="1"/>
  <c r="N2448" i="1"/>
  <c r="Q2448" i="1" s="1"/>
  <c r="M2449" i="1"/>
  <c r="R2449" i="1" s="1"/>
  <c r="N2449" i="1"/>
  <c r="Q2449" i="1" s="1"/>
  <c r="M2450" i="1"/>
  <c r="R2450" i="1" s="1"/>
  <c r="N2450" i="1"/>
  <c r="Q2450" i="1" s="1"/>
  <c r="M2451" i="1"/>
  <c r="R2451" i="1" s="1"/>
  <c r="N2451" i="1"/>
  <c r="Q2451" i="1" s="1"/>
  <c r="M2452" i="1"/>
  <c r="R2452" i="1" s="1"/>
  <c r="N2452" i="1"/>
  <c r="Q2452" i="1" s="1"/>
  <c r="M2453" i="1"/>
  <c r="R2453" i="1" s="1"/>
  <c r="N2453" i="1"/>
  <c r="Q2453" i="1" s="1"/>
  <c r="M2454" i="1"/>
  <c r="R2454" i="1" s="1"/>
  <c r="N2454" i="1"/>
  <c r="Q2454" i="1" s="1"/>
  <c r="M2455" i="1"/>
  <c r="R2455" i="1" s="1"/>
  <c r="N2455" i="1"/>
  <c r="Q2455" i="1" s="1"/>
  <c r="M2456" i="1"/>
  <c r="R2456" i="1" s="1"/>
  <c r="N2456" i="1"/>
  <c r="Q2456" i="1" s="1"/>
  <c r="M2457" i="1"/>
  <c r="R2457" i="1" s="1"/>
  <c r="N2457" i="1"/>
  <c r="Q2457" i="1" s="1"/>
  <c r="M2458" i="1"/>
  <c r="R2458" i="1" s="1"/>
  <c r="N2458" i="1"/>
  <c r="Q2458" i="1" s="1"/>
  <c r="M2459" i="1"/>
  <c r="R2459" i="1" s="1"/>
  <c r="N2459" i="1"/>
  <c r="Q2459" i="1" s="1"/>
  <c r="M2460" i="1"/>
  <c r="R2460" i="1" s="1"/>
  <c r="N2460" i="1"/>
  <c r="Q2460" i="1" s="1"/>
  <c r="M2461" i="1"/>
  <c r="R2461" i="1" s="1"/>
  <c r="N2461" i="1"/>
  <c r="Q2461" i="1" s="1"/>
  <c r="M2462" i="1"/>
  <c r="R2462" i="1" s="1"/>
  <c r="N2462" i="1"/>
  <c r="Q2462" i="1" s="1"/>
  <c r="M2463" i="1"/>
  <c r="R2463" i="1" s="1"/>
  <c r="N2463" i="1"/>
  <c r="Q2463" i="1" s="1"/>
  <c r="M2464" i="1"/>
  <c r="R2464" i="1" s="1"/>
  <c r="N2464" i="1"/>
  <c r="Q2464" i="1" s="1"/>
  <c r="M2465" i="1"/>
  <c r="R2465" i="1" s="1"/>
  <c r="N2465" i="1"/>
  <c r="Q2465" i="1" s="1"/>
  <c r="M2466" i="1"/>
  <c r="R2466" i="1" s="1"/>
  <c r="N2466" i="1"/>
  <c r="Q2466" i="1" s="1"/>
  <c r="M2467" i="1"/>
  <c r="R2467" i="1" s="1"/>
  <c r="N2467" i="1"/>
  <c r="Q2467" i="1" s="1"/>
  <c r="M2468" i="1"/>
  <c r="R2468" i="1" s="1"/>
  <c r="N2468" i="1"/>
  <c r="Q2468" i="1" s="1"/>
  <c r="M2469" i="1"/>
  <c r="R2469" i="1" s="1"/>
  <c r="N2469" i="1"/>
  <c r="Q2469" i="1" s="1"/>
  <c r="M2470" i="1"/>
  <c r="R2470" i="1" s="1"/>
  <c r="N2470" i="1"/>
  <c r="Q2470" i="1" s="1"/>
  <c r="M2471" i="1"/>
  <c r="R2471" i="1" s="1"/>
  <c r="N2471" i="1"/>
  <c r="Q2471" i="1" s="1"/>
  <c r="M2472" i="1"/>
  <c r="R2472" i="1" s="1"/>
  <c r="N2472" i="1"/>
  <c r="Q2472" i="1" s="1"/>
  <c r="M2473" i="1"/>
  <c r="R2473" i="1" s="1"/>
  <c r="N2473" i="1"/>
  <c r="Q2473" i="1" s="1"/>
  <c r="M2474" i="1"/>
  <c r="R2474" i="1" s="1"/>
  <c r="N2474" i="1"/>
  <c r="Q2474" i="1" s="1"/>
  <c r="M2475" i="1"/>
  <c r="R2475" i="1" s="1"/>
  <c r="N2475" i="1"/>
  <c r="Q2475" i="1" s="1"/>
  <c r="M2476" i="1"/>
  <c r="R2476" i="1" s="1"/>
  <c r="N2476" i="1"/>
  <c r="Q2476" i="1" s="1"/>
  <c r="M2477" i="1"/>
  <c r="R2477" i="1" s="1"/>
  <c r="N2477" i="1"/>
  <c r="Q2477" i="1" s="1"/>
  <c r="M2478" i="1"/>
  <c r="R2478" i="1" s="1"/>
  <c r="N2478" i="1"/>
  <c r="Q2478" i="1" s="1"/>
  <c r="M2479" i="1"/>
  <c r="R2479" i="1" s="1"/>
  <c r="N2479" i="1"/>
  <c r="Q2479" i="1" s="1"/>
  <c r="M2480" i="1"/>
  <c r="R2480" i="1" s="1"/>
  <c r="N2480" i="1"/>
  <c r="Q2480" i="1" s="1"/>
  <c r="M2481" i="1"/>
  <c r="R2481" i="1" s="1"/>
  <c r="N2481" i="1"/>
  <c r="Q2481" i="1" s="1"/>
  <c r="M2482" i="1"/>
  <c r="R2482" i="1" s="1"/>
  <c r="N2482" i="1"/>
  <c r="Q2482" i="1" s="1"/>
  <c r="M2483" i="1"/>
  <c r="R2483" i="1" s="1"/>
  <c r="N2483" i="1"/>
  <c r="Q2483" i="1" s="1"/>
  <c r="M2484" i="1"/>
  <c r="R2484" i="1" s="1"/>
  <c r="N2484" i="1"/>
  <c r="Q2484" i="1" s="1"/>
  <c r="M2485" i="1"/>
  <c r="R2485" i="1" s="1"/>
  <c r="N2485" i="1"/>
  <c r="Q2485" i="1" s="1"/>
  <c r="M2486" i="1"/>
  <c r="R2486" i="1" s="1"/>
  <c r="N2486" i="1"/>
  <c r="Q2486" i="1" s="1"/>
  <c r="M2487" i="1"/>
  <c r="R2487" i="1" s="1"/>
  <c r="N2487" i="1"/>
  <c r="Q2487" i="1" s="1"/>
  <c r="M2488" i="1"/>
  <c r="R2488" i="1" s="1"/>
  <c r="N2488" i="1"/>
  <c r="Q2488" i="1" s="1"/>
  <c r="M2489" i="1"/>
  <c r="R2489" i="1" s="1"/>
  <c r="N2489" i="1"/>
  <c r="Q2489" i="1" s="1"/>
  <c r="M2490" i="1"/>
  <c r="R2490" i="1" s="1"/>
  <c r="N2490" i="1"/>
  <c r="Q2490" i="1" s="1"/>
  <c r="M2491" i="1"/>
  <c r="R2491" i="1" s="1"/>
  <c r="N2491" i="1"/>
  <c r="Q2491" i="1" s="1"/>
  <c r="M2492" i="1"/>
  <c r="R2492" i="1" s="1"/>
  <c r="N2492" i="1"/>
  <c r="Q2492" i="1" s="1"/>
  <c r="M2493" i="1"/>
  <c r="R2493" i="1" s="1"/>
  <c r="N2493" i="1"/>
  <c r="Q2493" i="1" s="1"/>
  <c r="M2494" i="1"/>
  <c r="R2494" i="1" s="1"/>
  <c r="N2494" i="1"/>
  <c r="Q2494" i="1" s="1"/>
  <c r="M2495" i="1"/>
  <c r="R2495" i="1" s="1"/>
  <c r="N2495" i="1"/>
  <c r="Q2495" i="1" s="1"/>
  <c r="M2496" i="1"/>
  <c r="R2496" i="1" s="1"/>
  <c r="N2496" i="1"/>
  <c r="Q2496" i="1" s="1"/>
  <c r="M2497" i="1"/>
  <c r="R2497" i="1" s="1"/>
  <c r="N2497" i="1"/>
  <c r="Q2497" i="1" s="1"/>
  <c r="M2498" i="1"/>
  <c r="R2498" i="1" s="1"/>
  <c r="N2498" i="1"/>
  <c r="Q2498" i="1" s="1"/>
  <c r="M2499" i="1"/>
  <c r="R2499" i="1" s="1"/>
  <c r="N2499" i="1"/>
  <c r="Q2499" i="1" s="1"/>
  <c r="M2500" i="1"/>
  <c r="R2500" i="1" s="1"/>
  <c r="N2500" i="1"/>
  <c r="Q2500" i="1" s="1"/>
  <c r="M2501" i="1"/>
  <c r="R2501" i="1" s="1"/>
  <c r="N2501" i="1"/>
  <c r="Q2501" i="1" s="1"/>
  <c r="M2502" i="1"/>
  <c r="R2502" i="1" s="1"/>
  <c r="N2502" i="1"/>
  <c r="Q2502" i="1" s="1"/>
  <c r="M2503" i="1"/>
  <c r="R2503" i="1" s="1"/>
  <c r="N2503" i="1"/>
  <c r="Q2503" i="1" s="1"/>
  <c r="M2504" i="1"/>
  <c r="R2504" i="1" s="1"/>
  <c r="N2504" i="1"/>
  <c r="Q2504" i="1" s="1"/>
  <c r="M2505" i="1"/>
  <c r="R2505" i="1" s="1"/>
  <c r="N2505" i="1"/>
  <c r="Q2505" i="1" s="1"/>
  <c r="M2506" i="1"/>
  <c r="R2506" i="1" s="1"/>
  <c r="N2506" i="1"/>
  <c r="Q2506" i="1" s="1"/>
  <c r="M2507" i="1"/>
  <c r="R2507" i="1" s="1"/>
  <c r="N2507" i="1"/>
  <c r="Q2507" i="1" s="1"/>
  <c r="M2508" i="1"/>
  <c r="R2508" i="1" s="1"/>
  <c r="N2508" i="1"/>
  <c r="Q2508" i="1" s="1"/>
  <c r="M2509" i="1"/>
  <c r="R2509" i="1" s="1"/>
  <c r="N2509" i="1"/>
  <c r="Q2509" i="1" s="1"/>
  <c r="M2510" i="1"/>
  <c r="R2510" i="1" s="1"/>
  <c r="N2510" i="1"/>
  <c r="Q2510" i="1" s="1"/>
  <c r="M2511" i="1"/>
  <c r="R2511" i="1" s="1"/>
  <c r="N2511" i="1"/>
  <c r="Q2511" i="1" s="1"/>
  <c r="M2512" i="1"/>
  <c r="R2512" i="1" s="1"/>
  <c r="N2512" i="1"/>
  <c r="Q2512" i="1" s="1"/>
  <c r="M2513" i="1"/>
  <c r="R2513" i="1" s="1"/>
  <c r="N2513" i="1"/>
  <c r="Q2513" i="1" s="1"/>
  <c r="M2514" i="1"/>
  <c r="R2514" i="1" s="1"/>
  <c r="N2514" i="1"/>
  <c r="Q2514" i="1" s="1"/>
  <c r="M2515" i="1"/>
  <c r="R2515" i="1" s="1"/>
  <c r="N2515" i="1"/>
  <c r="Q2515" i="1" s="1"/>
  <c r="M2516" i="1"/>
  <c r="R2516" i="1" s="1"/>
  <c r="N2516" i="1"/>
  <c r="Q2516" i="1" s="1"/>
  <c r="M2517" i="1"/>
  <c r="R2517" i="1" s="1"/>
  <c r="N2517" i="1"/>
  <c r="Q2517" i="1" s="1"/>
  <c r="M2518" i="1"/>
  <c r="R2518" i="1" s="1"/>
  <c r="N2518" i="1"/>
  <c r="Q2518" i="1" s="1"/>
  <c r="M2519" i="1"/>
  <c r="R2519" i="1" s="1"/>
  <c r="N2519" i="1"/>
  <c r="Q2519" i="1" s="1"/>
  <c r="M2520" i="1"/>
  <c r="R2520" i="1" s="1"/>
  <c r="N2520" i="1"/>
  <c r="Q2520" i="1" s="1"/>
  <c r="M2521" i="1"/>
  <c r="R2521" i="1" s="1"/>
  <c r="N2521" i="1"/>
  <c r="Q2521" i="1" s="1"/>
  <c r="M2522" i="1"/>
  <c r="R2522" i="1" s="1"/>
  <c r="N2522" i="1"/>
  <c r="Q2522" i="1" s="1"/>
  <c r="M2523" i="1"/>
  <c r="R2523" i="1" s="1"/>
  <c r="N2523" i="1"/>
  <c r="Q2523" i="1" s="1"/>
  <c r="M2524" i="1"/>
  <c r="R2524" i="1" s="1"/>
  <c r="N2524" i="1"/>
  <c r="Q2524" i="1" s="1"/>
  <c r="M2525" i="1"/>
  <c r="R2525" i="1" s="1"/>
  <c r="N2525" i="1"/>
  <c r="Q2525" i="1" s="1"/>
  <c r="M2526" i="1"/>
  <c r="R2526" i="1" s="1"/>
  <c r="N2526" i="1"/>
  <c r="Q2526" i="1" s="1"/>
  <c r="M2527" i="1"/>
  <c r="R2527" i="1" s="1"/>
  <c r="N2527" i="1"/>
  <c r="Q2527" i="1" s="1"/>
  <c r="M2528" i="1"/>
  <c r="R2528" i="1" s="1"/>
  <c r="N2528" i="1"/>
  <c r="Q2528" i="1" s="1"/>
  <c r="M2529" i="1"/>
  <c r="R2529" i="1" s="1"/>
  <c r="N2529" i="1"/>
  <c r="Q2529" i="1" s="1"/>
  <c r="M2530" i="1"/>
  <c r="R2530" i="1" s="1"/>
  <c r="N2530" i="1"/>
  <c r="Q2530" i="1" s="1"/>
  <c r="M2531" i="1"/>
  <c r="R2531" i="1" s="1"/>
  <c r="N2531" i="1"/>
  <c r="Q2531" i="1" s="1"/>
  <c r="M2532" i="1"/>
  <c r="R2532" i="1" s="1"/>
  <c r="N2532" i="1"/>
  <c r="Q2532" i="1" s="1"/>
  <c r="M2533" i="1"/>
  <c r="R2533" i="1" s="1"/>
  <c r="N2533" i="1"/>
  <c r="Q2533" i="1" s="1"/>
  <c r="M2534" i="1"/>
  <c r="R2534" i="1" s="1"/>
  <c r="N2534" i="1"/>
  <c r="Q2534" i="1" s="1"/>
  <c r="M2535" i="1"/>
  <c r="R2535" i="1" s="1"/>
  <c r="N2535" i="1"/>
  <c r="Q2535" i="1" s="1"/>
  <c r="M2536" i="1"/>
  <c r="R2536" i="1" s="1"/>
  <c r="N2536" i="1"/>
  <c r="Q2536" i="1" s="1"/>
  <c r="M2537" i="1"/>
  <c r="R2537" i="1" s="1"/>
  <c r="N2537" i="1"/>
  <c r="Q2537" i="1" s="1"/>
  <c r="M2538" i="1"/>
  <c r="R2538" i="1" s="1"/>
  <c r="N2538" i="1"/>
  <c r="Q2538" i="1" s="1"/>
  <c r="M2539" i="1"/>
  <c r="R2539" i="1" s="1"/>
  <c r="N2539" i="1"/>
  <c r="Q2539" i="1" s="1"/>
  <c r="M2540" i="1"/>
  <c r="R2540" i="1" s="1"/>
  <c r="N2540" i="1"/>
  <c r="Q2540" i="1" s="1"/>
  <c r="M2541" i="1"/>
  <c r="R2541" i="1" s="1"/>
  <c r="N2541" i="1"/>
  <c r="Q2541" i="1" s="1"/>
  <c r="M2542" i="1"/>
  <c r="R2542" i="1" s="1"/>
  <c r="N2542" i="1"/>
  <c r="Q2542" i="1" s="1"/>
  <c r="M2543" i="1"/>
  <c r="R2543" i="1" s="1"/>
  <c r="N2543" i="1"/>
  <c r="Q2543" i="1" s="1"/>
  <c r="M2544" i="1"/>
  <c r="R2544" i="1" s="1"/>
  <c r="N2544" i="1"/>
  <c r="Q2544" i="1" s="1"/>
  <c r="M2545" i="1"/>
  <c r="R2545" i="1" s="1"/>
  <c r="N2545" i="1"/>
  <c r="Q2545" i="1" s="1"/>
  <c r="M2546" i="1"/>
  <c r="R2546" i="1" s="1"/>
  <c r="N2546" i="1"/>
  <c r="Q2546" i="1" s="1"/>
  <c r="M2547" i="1"/>
  <c r="R2547" i="1" s="1"/>
  <c r="N2547" i="1"/>
  <c r="Q2547" i="1" s="1"/>
  <c r="M2548" i="1"/>
  <c r="R2548" i="1" s="1"/>
  <c r="N2548" i="1"/>
  <c r="Q2548" i="1" s="1"/>
  <c r="M2549" i="1"/>
  <c r="R2549" i="1" s="1"/>
  <c r="N2549" i="1"/>
  <c r="Q2549" i="1" s="1"/>
  <c r="M2550" i="1"/>
  <c r="R2550" i="1" s="1"/>
  <c r="N2550" i="1"/>
  <c r="Q2550" i="1" s="1"/>
  <c r="M2551" i="1"/>
  <c r="R2551" i="1" s="1"/>
  <c r="N2551" i="1"/>
  <c r="Q2551" i="1" s="1"/>
  <c r="M2552" i="1"/>
  <c r="R2552" i="1" s="1"/>
  <c r="N2552" i="1"/>
  <c r="Q2552" i="1" s="1"/>
  <c r="M2553" i="1"/>
  <c r="R2553" i="1" s="1"/>
  <c r="N2553" i="1"/>
  <c r="Q2553" i="1" s="1"/>
  <c r="M2554" i="1"/>
  <c r="R2554" i="1" s="1"/>
  <c r="N2554" i="1"/>
  <c r="Q2554" i="1" s="1"/>
  <c r="M2555" i="1"/>
  <c r="R2555" i="1" s="1"/>
  <c r="N2555" i="1"/>
  <c r="Q2555" i="1" s="1"/>
  <c r="M2556" i="1"/>
  <c r="R2556" i="1" s="1"/>
  <c r="N2556" i="1"/>
  <c r="Q2556" i="1" s="1"/>
  <c r="M2557" i="1"/>
  <c r="R2557" i="1" s="1"/>
  <c r="N2557" i="1"/>
  <c r="Q2557" i="1" s="1"/>
  <c r="M2558" i="1"/>
  <c r="R2558" i="1" s="1"/>
  <c r="N2558" i="1"/>
  <c r="Q2558" i="1" s="1"/>
  <c r="M2559" i="1"/>
  <c r="R2559" i="1" s="1"/>
  <c r="N2559" i="1"/>
  <c r="Q2559" i="1" s="1"/>
  <c r="M2560" i="1"/>
  <c r="R2560" i="1" s="1"/>
  <c r="N2560" i="1"/>
  <c r="Q2560" i="1" s="1"/>
  <c r="M2561" i="1"/>
  <c r="R2561" i="1" s="1"/>
  <c r="N2561" i="1"/>
  <c r="Q2561" i="1" s="1"/>
  <c r="M2562" i="1"/>
  <c r="R2562" i="1" s="1"/>
  <c r="N2562" i="1"/>
  <c r="Q2562" i="1" s="1"/>
  <c r="M2563" i="1"/>
  <c r="R2563" i="1" s="1"/>
  <c r="N2563" i="1"/>
  <c r="Q2563" i="1" s="1"/>
  <c r="M2564" i="1"/>
  <c r="R2564" i="1" s="1"/>
  <c r="N2564" i="1"/>
  <c r="Q2564" i="1" s="1"/>
  <c r="M2565" i="1"/>
  <c r="R2565" i="1" s="1"/>
  <c r="N2565" i="1"/>
  <c r="Q2565" i="1" s="1"/>
  <c r="M2566" i="1"/>
  <c r="R2566" i="1" s="1"/>
  <c r="N2566" i="1"/>
  <c r="Q2566" i="1" s="1"/>
  <c r="M2567" i="1"/>
  <c r="R2567" i="1" s="1"/>
  <c r="N2567" i="1"/>
  <c r="Q2567" i="1" s="1"/>
  <c r="M2568" i="1"/>
  <c r="R2568" i="1" s="1"/>
  <c r="N2568" i="1"/>
  <c r="Q2568" i="1" s="1"/>
  <c r="M2569" i="1"/>
  <c r="R2569" i="1" s="1"/>
  <c r="N2569" i="1"/>
  <c r="Q2569" i="1" s="1"/>
  <c r="M2570" i="1"/>
  <c r="R2570" i="1" s="1"/>
  <c r="N2570" i="1"/>
  <c r="Q2570" i="1" s="1"/>
  <c r="M2571" i="1"/>
  <c r="R2571" i="1" s="1"/>
  <c r="N2571" i="1"/>
  <c r="Q2571" i="1" s="1"/>
  <c r="M2572" i="1"/>
  <c r="R2572" i="1" s="1"/>
  <c r="N2572" i="1"/>
  <c r="Q2572" i="1" s="1"/>
  <c r="M2573" i="1"/>
  <c r="R2573" i="1" s="1"/>
  <c r="N2573" i="1"/>
  <c r="Q2573" i="1" s="1"/>
  <c r="M2574" i="1"/>
  <c r="R2574" i="1" s="1"/>
  <c r="N2574" i="1"/>
  <c r="Q2574" i="1" s="1"/>
  <c r="M2575" i="1"/>
  <c r="R2575" i="1" s="1"/>
  <c r="N2575" i="1"/>
  <c r="Q2575" i="1" s="1"/>
  <c r="M2576" i="1"/>
  <c r="R2576" i="1" s="1"/>
  <c r="N2576" i="1"/>
  <c r="Q2576" i="1" s="1"/>
  <c r="M2577" i="1"/>
  <c r="R2577" i="1" s="1"/>
  <c r="N2577" i="1"/>
  <c r="Q2577" i="1" s="1"/>
  <c r="M2578" i="1"/>
  <c r="R2578" i="1" s="1"/>
  <c r="N2578" i="1"/>
  <c r="Q2578" i="1" s="1"/>
  <c r="M2579" i="1"/>
  <c r="R2579" i="1" s="1"/>
  <c r="N2579" i="1"/>
  <c r="Q2579" i="1" s="1"/>
  <c r="M2580" i="1"/>
  <c r="R2580" i="1" s="1"/>
  <c r="N2580" i="1"/>
  <c r="Q2580" i="1" s="1"/>
  <c r="M2581" i="1"/>
  <c r="R2581" i="1" s="1"/>
  <c r="N2581" i="1"/>
  <c r="Q2581" i="1" s="1"/>
  <c r="M2582" i="1"/>
  <c r="R2582" i="1" s="1"/>
  <c r="N2582" i="1"/>
  <c r="Q2582" i="1" s="1"/>
  <c r="M2583" i="1"/>
  <c r="R2583" i="1" s="1"/>
  <c r="N2583" i="1"/>
  <c r="Q2583" i="1" s="1"/>
  <c r="M2584" i="1"/>
  <c r="R2584" i="1" s="1"/>
  <c r="N2584" i="1"/>
  <c r="Q2584" i="1" s="1"/>
  <c r="M2585" i="1"/>
  <c r="R2585" i="1" s="1"/>
  <c r="N2585" i="1"/>
  <c r="Q2585" i="1" s="1"/>
  <c r="M2586" i="1"/>
  <c r="R2586" i="1" s="1"/>
  <c r="N2586" i="1"/>
  <c r="Q2586" i="1" s="1"/>
  <c r="M2587" i="1"/>
  <c r="R2587" i="1" s="1"/>
  <c r="N2587" i="1"/>
  <c r="Q2587" i="1" s="1"/>
  <c r="M2588" i="1"/>
  <c r="R2588" i="1" s="1"/>
  <c r="N2588" i="1"/>
  <c r="Q2588" i="1" s="1"/>
  <c r="M2589" i="1"/>
  <c r="R2589" i="1" s="1"/>
  <c r="N2589" i="1"/>
  <c r="Q2589" i="1" s="1"/>
  <c r="M2590" i="1"/>
  <c r="R2590" i="1" s="1"/>
  <c r="N2590" i="1"/>
  <c r="Q2590" i="1" s="1"/>
  <c r="M2591" i="1"/>
  <c r="R2591" i="1" s="1"/>
  <c r="N2591" i="1"/>
  <c r="Q2591" i="1" s="1"/>
  <c r="M2592" i="1"/>
  <c r="R2592" i="1" s="1"/>
  <c r="N2592" i="1"/>
  <c r="Q2592" i="1" s="1"/>
  <c r="M2593" i="1"/>
  <c r="R2593" i="1" s="1"/>
  <c r="N2593" i="1"/>
  <c r="Q2593" i="1" s="1"/>
  <c r="M2594" i="1"/>
  <c r="R2594" i="1" s="1"/>
  <c r="N2594" i="1"/>
  <c r="Q2594" i="1" s="1"/>
  <c r="M2595" i="1"/>
  <c r="R2595" i="1" s="1"/>
  <c r="N2595" i="1"/>
  <c r="Q2595" i="1" s="1"/>
  <c r="M2596" i="1"/>
  <c r="R2596" i="1" s="1"/>
  <c r="N2596" i="1"/>
  <c r="Q2596" i="1" s="1"/>
  <c r="M2597" i="1"/>
  <c r="R2597" i="1" s="1"/>
  <c r="N2597" i="1"/>
  <c r="Q2597" i="1" s="1"/>
  <c r="M2598" i="1"/>
  <c r="R2598" i="1" s="1"/>
  <c r="N2598" i="1"/>
  <c r="Q2598" i="1" s="1"/>
  <c r="M2599" i="1"/>
  <c r="R2599" i="1" s="1"/>
  <c r="N2599" i="1"/>
  <c r="Q2599" i="1" s="1"/>
  <c r="M2600" i="1"/>
  <c r="R2600" i="1" s="1"/>
  <c r="N2600" i="1"/>
  <c r="Q2600" i="1" s="1"/>
  <c r="M2601" i="1"/>
  <c r="R2601" i="1" s="1"/>
  <c r="N2601" i="1"/>
  <c r="Q2601" i="1" s="1"/>
  <c r="M2602" i="1"/>
  <c r="R2602" i="1" s="1"/>
  <c r="N2602" i="1"/>
  <c r="Q2602" i="1" s="1"/>
  <c r="M2603" i="1"/>
  <c r="R2603" i="1" s="1"/>
  <c r="N2603" i="1"/>
  <c r="Q2603" i="1" s="1"/>
  <c r="M2604" i="1"/>
  <c r="R2604" i="1" s="1"/>
  <c r="N2604" i="1"/>
  <c r="Q2604" i="1" s="1"/>
  <c r="M2605" i="1"/>
  <c r="R2605" i="1" s="1"/>
  <c r="N2605" i="1"/>
  <c r="Q2605" i="1" s="1"/>
  <c r="M2606" i="1"/>
  <c r="R2606" i="1" s="1"/>
  <c r="N2606" i="1"/>
  <c r="Q2606" i="1" s="1"/>
  <c r="M2607" i="1"/>
  <c r="R2607" i="1" s="1"/>
  <c r="N2607" i="1"/>
  <c r="Q2607" i="1" s="1"/>
  <c r="M2608" i="1"/>
  <c r="R2608" i="1" s="1"/>
  <c r="N2608" i="1"/>
  <c r="Q2608" i="1" s="1"/>
  <c r="M2609" i="1"/>
  <c r="R2609" i="1" s="1"/>
  <c r="N2609" i="1"/>
  <c r="Q2609" i="1" s="1"/>
  <c r="M2610" i="1"/>
  <c r="R2610" i="1" s="1"/>
  <c r="N2610" i="1"/>
  <c r="Q2610" i="1" s="1"/>
  <c r="M2611" i="1"/>
  <c r="R2611" i="1" s="1"/>
  <c r="N2611" i="1"/>
  <c r="Q2611" i="1" s="1"/>
  <c r="M2612" i="1"/>
  <c r="R2612" i="1" s="1"/>
  <c r="N2612" i="1"/>
  <c r="Q2612" i="1" s="1"/>
  <c r="M2613" i="1"/>
  <c r="R2613" i="1" s="1"/>
  <c r="N2613" i="1"/>
  <c r="Q2613" i="1" s="1"/>
  <c r="M2614" i="1"/>
  <c r="R2614" i="1" s="1"/>
  <c r="N2614" i="1"/>
  <c r="Q2614" i="1" s="1"/>
  <c r="M2615" i="1"/>
  <c r="R2615" i="1" s="1"/>
  <c r="N2615" i="1"/>
  <c r="Q2615" i="1" s="1"/>
  <c r="M2616" i="1"/>
  <c r="R2616" i="1" s="1"/>
  <c r="N2616" i="1"/>
  <c r="Q2616" i="1" s="1"/>
  <c r="M2617" i="1"/>
  <c r="R2617" i="1" s="1"/>
  <c r="N2617" i="1"/>
  <c r="Q2617" i="1" s="1"/>
  <c r="M2618" i="1"/>
  <c r="R2618" i="1" s="1"/>
  <c r="N2618" i="1"/>
  <c r="Q2618" i="1" s="1"/>
  <c r="M2619" i="1"/>
  <c r="R2619" i="1" s="1"/>
  <c r="N2619" i="1"/>
  <c r="Q2619" i="1" s="1"/>
  <c r="M2620" i="1"/>
  <c r="R2620" i="1" s="1"/>
  <c r="N2620" i="1"/>
  <c r="Q2620" i="1" s="1"/>
  <c r="M2621" i="1"/>
  <c r="R2621" i="1" s="1"/>
  <c r="N2621" i="1"/>
  <c r="Q2621" i="1" s="1"/>
  <c r="M2622" i="1"/>
  <c r="R2622" i="1" s="1"/>
  <c r="N2622" i="1"/>
  <c r="Q2622" i="1" s="1"/>
  <c r="M2623" i="1"/>
  <c r="R2623" i="1" s="1"/>
  <c r="N2623" i="1"/>
  <c r="Q2623" i="1" s="1"/>
  <c r="M2624" i="1"/>
  <c r="R2624" i="1" s="1"/>
  <c r="N2624" i="1"/>
  <c r="Q2624" i="1" s="1"/>
  <c r="M2625" i="1"/>
  <c r="R2625" i="1" s="1"/>
  <c r="N2625" i="1"/>
  <c r="Q2625" i="1" s="1"/>
  <c r="M2626" i="1"/>
  <c r="R2626" i="1" s="1"/>
  <c r="N2626" i="1"/>
  <c r="Q2626" i="1" s="1"/>
  <c r="M2627" i="1"/>
  <c r="R2627" i="1" s="1"/>
  <c r="N2627" i="1"/>
  <c r="Q2627" i="1" s="1"/>
  <c r="M2628" i="1"/>
  <c r="R2628" i="1" s="1"/>
  <c r="N2628" i="1"/>
  <c r="Q2628" i="1" s="1"/>
  <c r="M2629" i="1"/>
  <c r="R2629" i="1" s="1"/>
  <c r="N2629" i="1"/>
  <c r="Q2629" i="1" s="1"/>
  <c r="M2630" i="1"/>
  <c r="R2630" i="1" s="1"/>
  <c r="N2630" i="1"/>
  <c r="Q2630" i="1" s="1"/>
  <c r="M2631" i="1"/>
  <c r="R2631" i="1" s="1"/>
  <c r="N2631" i="1"/>
  <c r="Q2631" i="1" s="1"/>
  <c r="M2632" i="1"/>
  <c r="R2632" i="1" s="1"/>
  <c r="N2632" i="1"/>
  <c r="Q2632" i="1" s="1"/>
  <c r="M2633" i="1"/>
  <c r="R2633" i="1" s="1"/>
  <c r="N2633" i="1"/>
  <c r="Q2633" i="1" s="1"/>
  <c r="M2634" i="1"/>
  <c r="R2634" i="1" s="1"/>
  <c r="N2634" i="1"/>
  <c r="Q2634" i="1" s="1"/>
  <c r="M2635" i="1"/>
  <c r="R2635" i="1" s="1"/>
  <c r="N2635" i="1"/>
  <c r="Q2635" i="1" s="1"/>
  <c r="M2636" i="1"/>
  <c r="R2636" i="1" s="1"/>
  <c r="N2636" i="1"/>
  <c r="Q2636" i="1" s="1"/>
  <c r="M2637" i="1"/>
  <c r="R2637" i="1" s="1"/>
  <c r="N2637" i="1"/>
  <c r="Q2637" i="1" s="1"/>
  <c r="M2638" i="1"/>
  <c r="R2638" i="1" s="1"/>
  <c r="N2638" i="1"/>
  <c r="Q2638" i="1" s="1"/>
  <c r="M2639" i="1"/>
  <c r="R2639" i="1" s="1"/>
  <c r="N2639" i="1"/>
  <c r="Q2639" i="1" s="1"/>
  <c r="M2640" i="1"/>
  <c r="R2640" i="1" s="1"/>
  <c r="N2640" i="1"/>
  <c r="Q2640" i="1" s="1"/>
  <c r="M2641" i="1"/>
  <c r="R2641" i="1" s="1"/>
  <c r="N2641" i="1"/>
  <c r="Q2641" i="1" s="1"/>
  <c r="M2642" i="1"/>
  <c r="R2642" i="1" s="1"/>
  <c r="N2642" i="1"/>
  <c r="Q2642" i="1" s="1"/>
  <c r="M2643" i="1"/>
  <c r="R2643" i="1" s="1"/>
  <c r="N2643" i="1"/>
  <c r="Q2643" i="1" s="1"/>
  <c r="M2644" i="1"/>
  <c r="R2644" i="1" s="1"/>
  <c r="N2644" i="1"/>
  <c r="Q2644" i="1" s="1"/>
  <c r="M2645" i="1"/>
  <c r="R2645" i="1" s="1"/>
  <c r="N2645" i="1"/>
  <c r="Q2645" i="1" s="1"/>
  <c r="M2646" i="1"/>
  <c r="R2646" i="1" s="1"/>
  <c r="N2646" i="1"/>
  <c r="Q2646" i="1" s="1"/>
  <c r="M2647" i="1"/>
  <c r="R2647" i="1" s="1"/>
  <c r="N2647" i="1"/>
  <c r="Q2647" i="1" s="1"/>
  <c r="M2648" i="1"/>
  <c r="R2648" i="1" s="1"/>
  <c r="N2648" i="1"/>
  <c r="Q2648" i="1" s="1"/>
  <c r="M2649" i="1"/>
  <c r="R2649" i="1" s="1"/>
  <c r="N2649" i="1"/>
  <c r="Q2649" i="1" s="1"/>
  <c r="M2650" i="1"/>
  <c r="R2650" i="1" s="1"/>
  <c r="N2650" i="1"/>
  <c r="Q2650" i="1" s="1"/>
  <c r="M2651" i="1"/>
  <c r="R2651" i="1" s="1"/>
  <c r="N2651" i="1"/>
  <c r="Q2651" i="1" s="1"/>
  <c r="M2652" i="1"/>
  <c r="R2652" i="1" s="1"/>
  <c r="N2652" i="1"/>
  <c r="Q2652" i="1" s="1"/>
  <c r="M2653" i="1"/>
  <c r="R2653" i="1" s="1"/>
  <c r="N2653" i="1"/>
  <c r="Q2653" i="1" s="1"/>
  <c r="M2654" i="1"/>
  <c r="R2654" i="1" s="1"/>
  <c r="N2654" i="1"/>
  <c r="Q2654" i="1" s="1"/>
  <c r="M2655" i="1"/>
  <c r="R2655" i="1" s="1"/>
  <c r="N2655" i="1"/>
  <c r="Q2655" i="1" s="1"/>
  <c r="M2656" i="1"/>
  <c r="R2656" i="1" s="1"/>
  <c r="N2656" i="1"/>
  <c r="Q2656" i="1" s="1"/>
  <c r="M2657" i="1"/>
  <c r="R2657" i="1" s="1"/>
  <c r="N2657" i="1"/>
  <c r="Q2657" i="1" s="1"/>
  <c r="M2658" i="1"/>
  <c r="R2658" i="1" s="1"/>
  <c r="N2658" i="1"/>
  <c r="Q2658" i="1" s="1"/>
  <c r="M2659" i="1"/>
  <c r="R2659" i="1" s="1"/>
  <c r="N2659" i="1"/>
  <c r="Q2659" i="1" s="1"/>
  <c r="M2660" i="1"/>
  <c r="R2660" i="1" s="1"/>
  <c r="N2660" i="1"/>
  <c r="Q2660" i="1" s="1"/>
  <c r="M2661" i="1"/>
  <c r="R2661" i="1" s="1"/>
  <c r="N2661" i="1"/>
  <c r="Q2661" i="1" s="1"/>
  <c r="M2662" i="1"/>
  <c r="R2662" i="1" s="1"/>
  <c r="N2662" i="1"/>
  <c r="Q2662" i="1" s="1"/>
  <c r="M2663" i="1"/>
  <c r="R2663" i="1" s="1"/>
  <c r="N2663" i="1"/>
  <c r="Q2663" i="1" s="1"/>
  <c r="M2664" i="1"/>
  <c r="R2664" i="1" s="1"/>
  <c r="N2664" i="1"/>
  <c r="Q2664" i="1" s="1"/>
  <c r="M2665" i="1"/>
  <c r="R2665" i="1" s="1"/>
  <c r="N2665" i="1"/>
  <c r="Q2665" i="1" s="1"/>
  <c r="M2666" i="1"/>
  <c r="R2666" i="1" s="1"/>
  <c r="N2666" i="1"/>
  <c r="Q2666" i="1" s="1"/>
  <c r="M2667" i="1"/>
  <c r="R2667" i="1" s="1"/>
  <c r="N2667" i="1"/>
  <c r="Q2667" i="1" s="1"/>
  <c r="M2668" i="1"/>
  <c r="R2668" i="1" s="1"/>
  <c r="N2668" i="1"/>
  <c r="Q2668" i="1" s="1"/>
  <c r="M2669" i="1"/>
  <c r="R2669" i="1" s="1"/>
  <c r="N2669" i="1"/>
  <c r="Q2669" i="1" s="1"/>
  <c r="M2670" i="1"/>
  <c r="R2670" i="1" s="1"/>
  <c r="N2670" i="1"/>
  <c r="Q2670" i="1" s="1"/>
  <c r="M2671" i="1"/>
  <c r="R2671" i="1" s="1"/>
  <c r="N2671" i="1"/>
  <c r="Q2671" i="1" s="1"/>
  <c r="M2672" i="1"/>
  <c r="R2672" i="1" s="1"/>
  <c r="N2672" i="1"/>
  <c r="Q2672" i="1" s="1"/>
  <c r="M2673" i="1"/>
  <c r="R2673" i="1" s="1"/>
  <c r="N2673" i="1"/>
  <c r="Q2673" i="1" s="1"/>
  <c r="M2674" i="1"/>
  <c r="R2674" i="1" s="1"/>
  <c r="N2674" i="1"/>
  <c r="Q2674" i="1" s="1"/>
  <c r="M2675" i="1"/>
  <c r="R2675" i="1" s="1"/>
  <c r="N2675" i="1"/>
  <c r="Q2675" i="1" s="1"/>
  <c r="M2676" i="1"/>
  <c r="R2676" i="1" s="1"/>
  <c r="N2676" i="1"/>
  <c r="Q2676" i="1" s="1"/>
  <c r="M2677" i="1"/>
  <c r="R2677" i="1" s="1"/>
  <c r="N2677" i="1"/>
  <c r="Q2677" i="1" s="1"/>
  <c r="M2678" i="1"/>
  <c r="R2678" i="1" s="1"/>
  <c r="N2678" i="1"/>
  <c r="Q2678" i="1" s="1"/>
  <c r="M2679" i="1"/>
  <c r="R2679" i="1" s="1"/>
  <c r="N2679" i="1"/>
  <c r="Q2679" i="1" s="1"/>
  <c r="M2680" i="1"/>
  <c r="R2680" i="1" s="1"/>
  <c r="N2680" i="1"/>
  <c r="Q2680" i="1" s="1"/>
  <c r="M2681" i="1"/>
  <c r="R2681" i="1" s="1"/>
  <c r="N2681" i="1"/>
  <c r="Q2681" i="1" s="1"/>
  <c r="M2682" i="1"/>
  <c r="R2682" i="1" s="1"/>
  <c r="N2682" i="1"/>
  <c r="Q2682" i="1" s="1"/>
  <c r="M2683" i="1"/>
  <c r="R2683" i="1" s="1"/>
  <c r="N2683" i="1"/>
  <c r="Q2683" i="1" s="1"/>
  <c r="M2684" i="1"/>
  <c r="R2684" i="1" s="1"/>
  <c r="N2684" i="1"/>
  <c r="Q2684" i="1" s="1"/>
  <c r="M2685" i="1"/>
  <c r="R2685" i="1" s="1"/>
  <c r="N2685" i="1"/>
  <c r="Q2685" i="1" s="1"/>
  <c r="M2686" i="1"/>
  <c r="R2686" i="1" s="1"/>
  <c r="N2686" i="1"/>
  <c r="Q2686" i="1" s="1"/>
  <c r="M2687" i="1"/>
  <c r="R2687" i="1" s="1"/>
  <c r="N2687" i="1"/>
  <c r="Q2687" i="1" s="1"/>
  <c r="M2688" i="1"/>
  <c r="R2688" i="1" s="1"/>
  <c r="N2688" i="1"/>
  <c r="Q2688" i="1" s="1"/>
  <c r="M2689" i="1"/>
  <c r="R2689" i="1" s="1"/>
  <c r="N2689" i="1"/>
  <c r="Q2689" i="1" s="1"/>
  <c r="M2690" i="1"/>
  <c r="R2690" i="1" s="1"/>
  <c r="N2690" i="1"/>
  <c r="Q2690" i="1" s="1"/>
  <c r="M2691" i="1"/>
  <c r="R2691" i="1" s="1"/>
  <c r="N2691" i="1"/>
  <c r="Q2691" i="1" s="1"/>
  <c r="M2692" i="1"/>
  <c r="R2692" i="1" s="1"/>
  <c r="N2692" i="1"/>
  <c r="Q2692" i="1" s="1"/>
  <c r="M2693" i="1"/>
  <c r="R2693" i="1" s="1"/>
  <c r="N2693" i="1"/>
  <c r="Q2693" i="1" s="1"/>
  <c r="M2694" i="1"/>
  <c r="R2694" i="1" s="1"/>
  <c r="N2694" i="1"/>
  <c r="Q2694" i="1" s="1"/>
  <c r="M2695" i="1"/>
  <c r="R2695" i="1" s="1"/>
  <c r="N2695" i="1"/>
  <c r="Q2695" i="1" s="1"/>
  <c r="M2696" i="1"/>
  <c r="R2696" i="1" s="1"/>
  <c r="N2696" i="1"/>
  <c r="Q2696" i="1" s="1"/>
  <c r="M2697" i="1"/>
  <c r="R2697" i="1" s="1"/>
  <c r="N2697" i="1"/>
  <c r="Q2697" i="1" s="1"/>
  <c r="M2698" i="1"/>
  <c r="R2698" i="1" s="1"/>
  <c r="N2698" i="1"/>
  <c r="Q2698" i="1" s="1"/>
  <c r="M2699" i="1"/>
  <c r="R2699" i="1" s="1"/>
  <c r="N2699" i="1"/>
  <c r="Q2699" i="1" s="1"/>
  <c r="M2700" i="1"/>
  <c r="R2700" i="1" s="1"/>
  <c r="N2700" i="1"/>
  <c r="Q2700" i="1" s="1"/>
  <c r="M2701" i="1"/>
  <c r="R2701" i="1" s="1"/>
  <c r="N2701" i="1"/>
  <c r="Q2701" i="1" s="1"/>
  <c r="M2702" i="1"/>
  <c r="R2702" i="1" s="1"/>
  <c r="N2702" i="1"/>
  <c r="Q2702" i="1" s="1"/>
  <c r="M2703" i="1"/>
  <c r="R2703" i="1" s="1"/>
  <c r="N2703" i="1"/>
  <c r="Q2703" i="1" s="1"/>
  <c r="M2704" i="1"/>
  <c r="R2704" i="1" s="1"/>
  <c r="N2704" i="1"/>
  <c r="Q2704" i="1" s="1"/>
  <c r="M2705" i="1"/>
  <c r="R2705" i="1" s="1"/>
  <c r="N2705" i="1"/>
  <c r="Q2705" i="1" s="1"/>
  <c r="M2706" i="1"/>
  <c r="R2706" i="1" s="1"/>
  <c r="N2706" i="1"/>
  <c r="Q2706" i="1" s="1"/>
  <c r="M2707" i="1"/>
  <c r="R2707" i="1" s="1"/>
  <c r="N2707" i="1"/>
  <c r="Q2707" i="1" s="1"/>
  <c r="M2708" i="1"/>
  <c r="R2708" i="1" s="1"/>
  <c r="N2708" i="1"/>
  <c r="Q2708" i="1" s="1"/>
  <c r="M2709" i="1"/>
  <c r="R2709" i="1" s="1"/>
  <c r="N2709" i="1"/>
  <c r="Q2709" i="1" s="1"/>
  <c r="M2710" i="1"/>
  <c r="R2710" i="1" s="1"/>
  <c r="N2710" i="1"/>
  <c r="Q2710" i="1" s="1"/>
  <c r="M2711" i="1"/>
  <c r="R2711" i="1" s="1"/>
  <c r="N2711" i="1"/>
  <c r="Q2711" i="1" s="1"/>
  <c r="M2712" i="1"/>
  <c r="R2712" i="1" s="1"/>
  <c r="N2712" i="1"/>
  <c r="Q2712" i="1" s="1"/>
  <c r="M2713" i="1"/>
  <c r="R2713" i="1" s="1"/>
  <c r="N2713" i="1"/>
  <c r="Q2713" i="1" s="1"/>
  <c r="M2714" i="1"/>
  <c r="R2714" i="1" s="1"/>
  <c r="N2714" i="1"/>
  <c r="Q2714" i="1" s="1"/>
  <c r="M2715" i="1"/>
  <c r="R2715" i="1" s="1"/>
  <c r="N2715" i="1"/>
  <c r="Q2715" i="1" s="1"/>
  <c r="M2716" i="1"/>
  <c r="R2716" i="1" s="1"/>
  <c r="N2716" i="1"/>
  <c r="Q2716" i="1" s="1"/>
  <c r="M2717" i="1"/>
  <c r="R2717" i="1" s="1"/>
  <c r="N2717" i="1"/>
  <c r="Q2717" i="1" s="1"/>
  <c r="M2718" i="1"/>
  <c r="R2718" i="1" s="1"/>
  <c r="N2718" i="1"/>
  <c r="Q2718" i="1" s="1"/>
  <c r="M2719" i="1"/>
  <c r="R2719" i="1" s="1"/>
  <c r="N2719" i="1"/>
  <c r="Q2719" i="1" s="1"/>
  <c r="M2720" i="1"/>
  <c r="R2720" i="1" s="1"/>
  <c r="N2720" i="1"/>
  <c r="Q2720" i="1" s="1"/>
  <c r="M2721" i="1"/>
  <c r="R2721" i="1" s="1"/>
  <c r="N2721" i="1"/>
  <c r="Q2721" i="1" s="1"/>
  <c r="M2722" i="1"/>
  <c r="R2722" i="1" s="1"/>
  <c r="N2722" i="1"/>
  <c r="Q2722" i="1" s="1"/>
  <c r="M2723" i="1"/>
  <c r="R2723" i="1" s="1"/>
  <c r="N2723" i="1"/>
  <c r="Q2723" i="1" s="1"/>
  <c r="M2724" i="1"/>
  <c r="R2724" i="1" s="1"/>
  <c r="N2724" i="1"/>
  <c r="Q2724" i="1" s="1"/>
  <c r="M2725" i="1"/>
  <c r="R2725" i="1" s="1"/>
  <c r="N2725" i="1"/>
  <c r="Q2725" i="1" s="1"/>
  <c r="M2726" i="1"/>
  <c r="R2726" i="1" s="1"/>
  <c r="N2726" i="1"/>
  <c r="Q2726" i="1" s="1"/>
  <c r="M2727" i="1"/>
  <c r="R2727" i="1" s="1"/>
  <c r="N2727" i="1"/>
  <c r="Q2727" i="1" s="1"/>
  <c r="M2728" i="1"/>
  <c r="R2728" i="1" s="1"/>
  <c r="N2728" i="1"/>
  <c r="Q2728" i="1" s="1"/>
  <c r="M2729" i="1"/>
  <c r="R2729" i="1" s="1"/>
  <c r="N2729" i="1"/>
  <c r="Q2729" i="1" s="1"/>
  <c r="M2730" i="1"/>
  <c r="R2730" i="1" s="1"/>
  <c r="N2730" i="1"/>
  <c r="Q2730" i="1" s="1"/>
  <c r="M2731" i="1"/>
  <c r="R2731" i="1" s="1"/>
  <c r="N2731" i="1"/>
  <c r="Q2731" i="1" s="1"/>
  <c r="M2732" i="1"/>
  <c r="R2732" i="1" s="1"/>
  <c r="N2732" i="1"/>
  <c r="Q2732" i="1" s="1"/>
  <c r="M2733" i="1"/>
  <c r="R2733" i="1" s="1"/>
  <c r="N2733" i="1"/>
  <c r="Q2733" i="1" s="1"/>
  <c r="M2734" i="1"/>
  <c r="R2734" i="1" s="1"/>
  <c r="N2734" i="1"/>
  <c r="Q2734" i="1" s="1"/>
  <c r="M2735" i="1"/>
  <c r="R2735" i="1" s="1"/>
  <c r="N2735" i="1"/>
  <c r="Q2735" i="1" s="1"/>
  <c r="M2736" i="1"/>
  <c r="R2736" i="1" s="1"/>
  <c r="N2736" i="1"/>
  <c r="Q2736" i="1" s="1"/>
  <c r="M2737" i="1"/>
  <c r="R2737" i="1" s="1"/>
  <c r="N2737" i="1"/>
  <c r="Q2737" i="1" s="1"/>
  <c r="M2738" i="1"/>
  <c r="R2738" i="1" s="1"/>
  <c r="N2738" i="1"/>
  <c r="Q2738" i="1" s="1"/>
  <c r="M2739" i="1"/>
  <c r="R2739" i="1" s="1"/>
  <c r="N2739" i="1"/>
  <c r="Q2739" i="1" s="1"/>
  <c r="M2740" i="1"/>
  <c r="R2740" i="1" s="1"/>
  <c r="N2740" i="1"/>
  <c r="Q2740" i="1" s="1"/>
  <c r="M2741" i="1"/>
  <c r="R2741" i="1" s="1"/>
  <c r="N2741" i="1"/>
  <c r="Q2741" i="1" s="1"/>
  <c r="M2742" i="1"/>
  <c r="R2742" i="1" s="1"/>
  <c r="N2742" i="1"/>
  <c r="Q2742" i="1" s="1"/>
  <c r="M2743" i="1"/>
  <c r="R2743" i="1" s="1"/>
  <c r="N2743" i="1"/>
  <c r="Q2743" i="1" s="1"/>
  <c r="M2744" i="1"/>
  <c r="R2744" i="1" s="1"/>
  <c r="N2744" i="1"/>
  <c r="Q2744" i="1" s="1"/>
  <c r="M2745" i="1"/>
  <c r="R2745" i="1" s="1"/>
  <c r="N2745" i="1"/>
  <c r="Q2745" i="1" s="1"/>
  <c r="M2746" i="1"/>
  <c r="R2746" i="1" s="1"/>
  <c r="N2746" i="1"/>
  <c r="Q2746" i="1" s="1"/>
  <c r="M2747" i="1"/>
  <c r="R2747" i="1" s="1"/>
  <c r="N2747" i="1"/>
  <c r="Q2747" i="1" s="1"/>
  <c r="M2748" i="1"/>
  <c r="R2748" i="1" s="1"/>
  <c r="N2748" i="1"/>
  <c r="Q2748" i="1" s="1"/>
  <c r="M2749" i="1"/>
  <c r="R2749" i="1" s="1"/>
  <c r="N2749" i="1"/>
  <c r="Q2749" i="1" s="1"/>
  <c r="M2750" i="1"/>
  <c r="R2750" i="1" s="1"/>
  <c r="N2750" i="1"/>
  <c r="Q2750" i="1" s="1"/>
  <c r="M2751" i="1"/>
  <c r="R2751" i="1" s="1"/>
  <c r="N2751" i="1"/>
  <c r="Q2751" i="1" s="1"/>
  <c r="M2752" i="1"/>
  <c r="R2752" i="1" s="1"/>
  <c r="N2752" i="1"/>
  <c r="Q2752" i="1" s="1"/>
  <c r="M2753" i="1"/>
  <c r="R2753" i="1" s="1"/>
  <c r="N2753" i="1"/>
  <c r="Q2753" i="1" s="1"/>
  <c r="M2754" i="1"/>
  <c r="R2754" i="1" s="1"/>
  <c r="N2754" i="1"/>
  <c r="Q2754" i="1" s="1"/>
  <c r="M2755" i="1"/>
  <c r="R2755" i="1" s="1"/>
  <c r="N2755" i="1"/>
  <c r="Q2755" i="1" s="1"/>
  <c r="M2756" i="1"/>
  <c r="R2756" i="1" s="1"/>
  <c r="N2756" i="1"/>
  <c r="Q2756" i="1" s="1"/>
  <c r="M2757" i="1"/>
  <c r="R2757" i="1" s="1"/>
  <c r="N2757" i="1"/>
  <c r="Q2757" i="1" s="1"/>
  <c r="M2758" i="1"/>
  <c r="R2758" i="1" s="1"/>
  <c r="N2758" i="1"/>
  <c r="Q2758" i="1" s="1"/>
  <c r="M2759" i="1"/>
  <c r="R2759" i="1" s="1"/>
  <c r="N2759" i="1"/>
  <c r="Q2759" i="1" s="1"/>
  <c r="M2760" i="1"/>
  <c r="R2760" i="1" s="1"/>
  <c r="N2760" i="1"/>
  <c r="Q2760" i="1" s="1"/>
  <c r="M2761" i="1"/>
  <c r="R2761" i="1" s="1"/>
  <c r="N2761" i="1"/>
  <c r="Q2761" i="1" s="1"/>
  <c r="M2762" i="1"/>
  <c r="R2762" i="1" s="1"/>
  <c r="N2762" i="1"/>
  <c r="Q2762" i="1" s="1"/>
  <c r="M2763" i="1"/>
  <c r="R2763" i="1" s="1"/>
  <c r="N2763" i="1"/>
  <c r="Q2763" i="1" s="1"/>
  <c r="M2764" i="1"/>
  <c r="R2764" i="1" s="1"/>
  <c r="N2764" i="1"/>
  <c r="Q2764" i="1" s="1"/>
  <c r="M2765" i="1"/>
  <c r="R2765" i="1" s="1"/>
  <c r="N2765" i="1"/>
  <c r="Q2765" i="1" s="1"/>
  <c r="M2766" i="1"/>
  <c r="R2766" i="1" s="1"/>
  <c r="N2766" i="1"/>
  <c r="Q2766" i="1" s="1"/>
  <c r="M2767" i="1"/>
  <c r="R2767" i="1" s="1"/>
  <c r="N2767" i="1"/>
  <c r="Q2767" i="1" s="1"/>
  <c r="M2768" i="1"/>
  <c r="R2768" i="1" s="1"/>
  <c r="N2768" i="1"/>
  <c r="Q2768" i="1" s="1"/>
  <c r="M2769" i="1"/>
  <c r="R2769" i="1" s="1"/>
  <c r="N2769" i="1"/>
  <c r="Q2769" i="1" s="1"/>
  <c r="M2770" i="1"/>
  <c r="R2770" i="1" s="1"/>
  <c r="N2770" i="1"/>
  <c r="Q2770" i="1" s="1"/>
  <c r="M2771" i="1"/>
  <c r="R2771" i="1" s="1"/>
  <c r="N2771" i="1"/>
  <c r="Q2771" i="1" s="1"/>
  <c r="M2772" i="1"/>
  <c r="R2772" i="1" s="1"/>
  <c r="N2772" i="1"/>
  <c r="Q2772" i="1" s="1"/>
  <c r="M2773" i="1"/>
  <c r="R2773" i="1" s="1"/>
  <c r="N2773" i="1"/>
  <c r="Q2773" i="1" s="1"/>
  <c r="M2774" i="1"/>
  <c r="R2774" i="1" s="1"/>
  <c r="N2774" i="1"/>
  <c r="Q2774" i="1" s="1"/>
  <c r="M2775" i="1"/>
  <c r="R2775" i="1" s="1"/>
  <c r="N2775" i="1"/>
  <c r="Q2775" i="1" s="1"/>
  <c r="M2776" i="1"/>
  <c r="R2776" i="1" s="1"/>
  <c r="N2776" i="1"/>
  <c r="Q2776" i="1" s="1"/>
  <c r="M2777" i="1"/>
  <c r="R2777" i="1" s="1"/>
  <c r="N2777" i="1"/>
  <c r="Q2777" i="1" s="1"/>
  <c r="M2778" i="1"/>
  <c r="R2778" i="1" s="1"/>
  <c r="N2778" i="1"/>
  <c r="Q2778" i="1" s="1"/>
  <c r="M2779" i="1"/>
  <c r="R2779" i="1" s="1"/>
  <c r="N2779" i="1"/>
  <c r="Q2779" i="1" s="1"/>
  <c r="M2780" i="1"/>
  <c r="R2780" i="1" s="1"/>
  <c r="N2780" i="1"/>
  <c r="Q2780" i="1" s="1"/>
  <c r="M2781" i="1"/>
  <c r="R2781" i="1" s="1"/>
  <c r="N2781" i="1"/>
  <c r="Q2781" i="1" s="1"/>
  <c r="M2782" i="1"/>
  <c r="R2782" i="1" s="1"/>
  <c r="N2782" i="1"/>
  <c r="Q2782" i="1" s="1"/>
  <c r="M2783" i="1"/>
  <c r="R2783" i="1" s="1"/>
  <c r="N2783" i="1"/>
  <c r="Q2783" i="1" s="1"/>
  <c r="M2784" i="1"/>
  <c r="R2784" i="1" s="1"/>
  <c r="N2784" i="1"/>
  <c r="Q2784" i="1" s="1"/>
  <c r="M2785" i="1"/>
  <c r="R2785" i="1" s="1"/>
  <c r="N2785" i="1"/>
  <c r="Q2785" i="1" s="1"/>
  <c r="M2786" i="1"/>
  <c r="R2786" i="1" s="1"/>
  <c r="N2786" i="1"/>
  <c r="Q2786" i="1" s="1"/>
  <c r="M2787" i="1"/>
  <c r="R2787" i="1" s="1"/>
  <c r="N2787" i="1"/>
  <c r="Q2787" i="1" s="1"/>
  <c r="M2788" i="1"/>
  <c r="R2788" i="1" s="1"/>
  <c r="N2788" i="1"/>
  <c r="Q2788" i="1" s="1"/>
  <c r="M2789" i="1"/>
  <c r="R2789" i="1" s="1"/>
  <c r="N2789" i="1"/>
  <c r="Q2789" i="1" s="1"/>
  <c r="M2790" i="1"/>
  <c r="R2790" i="1" s="1"/>
  <c r="N2790" i="1"/>
  <c r="Q2790" i="1" s="1"/>
  <c r="M2791" i="1"/>
  <c r="R2791" i="1" s="1"/>
  <c r="N2791" i="1"/>
  <c r="Q2791" i="1" s="1"/>
  <c r="M2792" i="1"/>
  <c r="R2792" i="1" s="1"/>
  <c r="N2792" i="1"/>
  <c r="Q2792" i="1" s="1"/>
  <c r="M2793" i="1"/>
  <c r="R2793" i="1" s="1"/>
  <c r="N2793" i="1"/>
  <c r="Q2793" i="1" s="1"/>
  <c r="M2794" i="1"/>
  <c r="R2794" i="1" s="1"/>
  <c r="N2794" i="1"/>
  <c r="Q2794" i="1" s="1"/>
  <c r="M2795" i="1"/>
  <c r="R2795" i="1" s="1"/>
  <c r="N2795" i="1"/>
  <c r="Q2795" i="1" s="1"/>
  <c r="M2796" i="1"/>
  <c r="R2796" i="1" s="1"/>
  <c r="N2796" i="1"/>
  <c r="Q2796" i="1" s="1"/>
  <c r="M2797" i="1"/>
  <c r="R2797" i="1" s="1"/>
  <c r="N2797" i="1"/>
  <c r="Q2797" i="1" s="1"/>
  <c r="M2798" i="1"/>
  <c r="R2798" i="1" s="1"/>
  <c r="N2798" i="1"/>
  <c r="Q2798" i="1" s="1"/>
  <c r="M2799" i="1"/>
  <c r="R2799" i="1" s="1"/>
  <c r="N2799" i="1"/>
  <c r="Q2799" i="1" s="1"/>
  <c r="M2800" i="1"/>
  <c r="R2800" i="1" s="1"/>
  <c r="N2800" i="1"/>
  <c r="Q2800" i="1" s="1"/>
  <c r="M2801" i="1"/>
  <c r="R2801" i="1" s="1"/>
  <c r="N2801" i="1"/>
  <c r="Q2801" i="1" s="1"/>
  <c r="M2802" i="1"/>
  <c r="R2802" i="1" s="1"/>
  <c r="N2802" i="1"/>
  <c r="Q2802" i="1" s="1"/>
  <c r="M2803" i="1"/>
  <c r="R2803" i="1" s="1"/>
  <c r="N2803" i="1"/>
  <c r="Q2803" i="1" s="1"/>
  <c r="M2804" i="1"/>
  <c r="R2804" i="1" s="1"/>
  <c r="N2804" i="1"/>
  <c r="Q2804" i="1" s="1"/>
  <c r="M2805" i="1"/>
  <c r="R2805" i="1" s="1"/>
  <c r="N2805" i="1"/>
  <c r="Q2805" i="1" s="1"/>
  <c r="M2806" i="1"/>
  <c r="R2806" i="1" s="1"/>
  <c r="N2806" i="1"/>
  <c r="Q2806" i="1" s="1"/>
  <c r="M2807" i="1"/>
  <c r="R2807" i="1" s="1"/>
  <c r="N2807" i="1"/>
  <c r="Q2807" i="1" s="1"/>
  <c r="M2808" i="1"/>
  <c r="R2808" i="1" s="1"/>
  <c r="N2808" i="1"/>
  <c r="Q2808" i="1" s="1"/>
  <c r="M2809" i="1"/>
  <c r="R2809" i="1" s="1"/>
  <c r="N2809" i="1"/>
  <c r="Q2809" i="1" s="1"/>
  <c r="M2810" i="1"/>
  <c r="R2810" i="1" s="1"/>
  <c r="N2810" i="1"/>
  <c r="Q2810" i="1" s="1"/>
  <c r="M2811" i="1"/>
  <c r="R2811" i="1" s="1"/>
  <c r="N2811" i="1"/>
  <c r="Q2811" i="1" s="1"/>
  <c r="M2812" i="1"/>
  <c r="R2812" i="1" s="1"/>
  <c r="N2812" i="1"/>
  <c r="Q2812" i="1" s="1"/>
  <c r="M2813" i="1"/>
  <c r="R2813" i="1" s="1"/>
  <c r="N2813" i="1"/>
  <c r="Q2813" i="1" s="1"/>
  <c r="M2814" i="1"/>
  <c r="R2814" i="1" s="1"/>
  <c r="N2814" i="1"/>
  <c r="Q2814" i="1" s="1"/>
  <c r="M2815" i="1"/>
  <c r="R2815" i="1" s="1"/>
  <c r="N2815" i="1"/>
  <c r="Q2815" i="1" s="1"/>
  <c r="M2816" i="1"/>
  <c r="R2816" i="1" s="1"/>
  <c r="N2816" i="1"/>
  <c r="Q2816" i="1" s="1"/>
  <c r="M2817" i="1"/>
  <c r="R2817" i="1" s="1"/>
  <c r="N2817" i="1"/>
  <c r="Q2817" i="1" s="1"/>
  <c r="M2818" i="1"/>
  <c r="R2818" i="1" s="1"/>
  <c r="N2818" i="1"/>
  <c r="Q2818" i="1" s="1"/>
  <c r="M2819" i="1"/>
  <c r="R2819" i="1" s="1"/>
  <c r="N2819" i="1"/>
  <c r="Q2819" i="1" s="1"/>
  <c r="M2820" i="1"/>
  <c r="R2820" i="1" s="1"/>
  <c r="N2820" i="1"/>
  <c r="Q2820" i="1" s="1"/>
  <c r="M2821" i="1"/>
  <c r="R2821" i="1" s="1"/>
  <c r="N2821" i="1"/>
  <c r="Q2821" i="1" s="1"/>
  <c r="M2822" i="1"/>
  <c r="R2822" i="1" s="1"/>
  <c r="N2822" i="1"/>
  <c r="Q2822" i="1" s="1"/>
  <c r="M2823" i="1"/>
  <c r="R2823" i="1" s="1"/>
  <c r="N2823" i="1"/>
  <c r="Q2823" i="1" s="1"/>
  <c r="M2824" i="1"/>
  <c r="R2824" i="1" s="1"/>
  <c r="N2824" i="1"/>
  <c r="Q2824" i="1" s="1"/>
  <c r="M2825" i="1"/>
  <c r="R2825" i="1" s="1"/>
  <c r="N2825" i="1"/>
  <c r="Q2825" i="1" s="1"/>
  <c r="M2826" i="1"/>
  <c r="R2826" i="1" s="1"/>
  <c r="N2826" i="1"/>
  <c r="Q2826" i="1" s="1"/>
  <c r="M2827" i="1"/>
  <c r="R2827" i="1" s="1"/>
  <c r="N2827" i="1"/>
  <c r="Q2827" i="1" s="1"/>
  <c r="M2828" i="1"/>
  <c r="R2828" i="1" s="1"/>
  <c r="N2828" i="1"/>
  <c r="Q2828" i="1" s="1"/>
  <c r="M2829" i="1"/>
  <c r="R2829" i="1" s="1"/>
  <c r="N2829" i="1"/>
  <c r="Q2829" i="1" s="1"/>
  <c r="M2830" i="1"/>
  <c r="R2830" i="1" s="1"/>
  <c r="N2830" i="1"/>
  <c r="Q2830" i="1" s="1"/>
  <c r="M2831" i="1"/>
  <c r="R2831" i="1" s="1"/>
  <c r="N2831" i="1"/>
  <c r="Q2831" i="1" s="1"/>
  <c r="M2832" i="1"/>
  <c r="R2832" i="1" s="1"/>
  <c r="N2832" i="1"/>
  <c r="Q2832" i="1" s="1"/>
  <c r="M2833" i="1"/>
  <c r="R2833" i="1" s="1"/>
  <c r="N2833" i="1"/>
  <c r="Q2833" i="1" s="1"/>
  <c r="M2834" i="1"/>
  <c r="R2834" i="1" s="1"/>
  <c r="N2834" i="1"/>
  <c r="Q2834" i="1" s="1"/>
  <c r="M2835" i="1"/>
  <c r="R2835" i="1" s="1"/>
  <c r="N2835" i="1"/>
  <c r="Q2835" i="1" s="1"/>
  <c r="M2836" i="1"/>
  <c r="R2836" i="1" s="1"/>
  <c r="N2836" i="1"/>
  <c r="Q2836" i="1" s="1"/>
  <c r="M2837" i="1"/>
  <c r="R2837" i="1" s="1"/>
  <c r="N2837" i="1"/>
  <c r="Q2837" i="1" s="1"/>
  <c r="M2838" i="1"/>
  <c r="R2838" i="1" s="1"/>
  <c r="N2838" i="1"/>
  <c r="Q2838" i="1" s="1"/>
  <c r="M2839" i="1"/>
  <c r="R2839" i="1" s="1"/>
  <c r="N2839" i="1"/>
  <c r="Q2839" i="1" s="1"/>
  <c r="M2840" i="1"/>
  <c r="R2840" i="1" s="1"/>
  <c r="N2840" i="1"/>
  <c r="Q2840" i="1" s="1"/>
  <c r="M2841" i="1"/>
  <c r="R2841" i="1" s="1"/>
  <c r="N2841" i="1"/>
  <c r="Q2841" i="1" s="1"/>
  <c r="M2842" i="1"/>
  <c r="R2842" i="1" s="1"/>
  <c r="N2842" i="1"/>
  <c r="Q2842" i="1" s="1"/>
  <c r="M2843" i="1"/>
  <c r="R2843" i="1" s="1"/>
  <c r="N2843" i="1"/>
  <c r="Q2843" i="1" s="1"/>
  <c r="M2844" i="1"/>
  <c r="R2844" i="1" s="1"/>
  <c r="N2844" i="1"/>
  <c r="Q2844" i="1" s="1"/>
  <c r="M2845" i="1"/>
  <c r="R2845" i="1" s="1"/>
  <c r="N2845" i="1"/>
  <c r="Q2845" i="1" s="1"/>
  <c r="M2846" i="1"/>
  <c r="R2846" i="1" s="1"/>
  <c r="N2846" i="1"/>
  <c r="Q2846" i="1" s="1"/>
  <c r="M2847" i="1"/>
  <c r="R2847" i="1" s="1"/>
  <c r="N2847" i="1"/>
  <c r="Q2847" i="1" s="1"/>
  <c r="M2848" i="1"/>
  <c r="R2848" i="1" s="1"/>
  <c r="N2848" i="1"/>
  <c r="Q2848" i="1" s="1"/>
  <c r="M2849" i="1"/>
  <c r="R2849" i="1" s="1"/>
  <c r="N2849" i="1"/>
  <c r="Q2849" i="1" s="1"/>
  <c r="M2850" i="1"/>
  <c r="R2850" i="1" s="1"/>
  <c r="N2850" i="1"/>
  <c r="Q2850" i="1" s="1"/>
  <c r="M2851" i="1"/>
  <c r="R2851" i="1" s="1"/>
  <c r="N2851" i="1"/>
  <c r="Q2851" i="1" s="1"/>
  <c r="M2852" i="1"/>
  <c r="R2852" i="1" s="1"/>
  <c r="N2852" i="1"/>
  <c r="Q2852" i="1" s="1"/>
  <c r="M2853" i="1"/>
  <c r="R2853" i="1" s="1"/>
  <c r="N2853" i="1"/>
  <c r="Q2853" i="1" s="1"/>
  <c r="M2854" i="1"/>
  <c r="R2854" i="1" s="1"/>
  <c r="N2854" i="1"/>
  <c r="Q2854" i="1" s="1"/>
  <c r="M2855" i="1"/>
  <c r="R2855" i="1" s="1"/>
  <c r="N2855" i="1"/>
  <c r="Q2855" i="1" s="1"/>
  <c r="M2856" i="1"/>
  <c r="R2856" i="1" s="1"/>
  <c r="N2856" i="1"/>
  <c r="Q2856" i="1" s="1"/>
  <c r="M2857" i="1"/>
  <c r="R2857" i="1" s="1"/>
  <c r="N2857" i="1"/>
  <c r="Q2857" i="1" s="1"/>
  <c r="M2858" i="1"/>
  <c r="R2858" i="1" s="1"/>
  <c r="N2858" i="1"/>
  <c r="Q2858" i="1" s="1"/>
  <c r="M2859" i="1"/>
  <c r="R2859" i="1" s="1"/>
  <c r="N2859" i="1"/>
  <c r="Q2859" i="1" s="1"/>
  <c r="M2860" i="1"/>
  <c r="R2860" i="1" s="1"/>
  <c r="N2860" i="1"/>
  <c r="Q2860" i="1" s="1"/>
  <c r="M2861" i="1"/>
  <c r="R2861" i="1" s="1"/>
  <c r="N2861" i="1"/>
  <c r="Q2861" i="1" s="1"/>
  <c r="M2862" i="1"/>
  <c r="R2862" i="1" s="1"/>
  <c r="N2862" i="1"/>
  <c r="Q2862" i="1" s="1"/>
  <c r="M2863" i="1"/>
  <c r="R2863" i="1" s="1"/>
  <c r="N2863" i="1"/>
  <c r="Q2863" i="1" s="1"/>
  <c r="M2864" i="1"/>
  <c r="R2864" i="1" s="1"/>
  <c r="N2864" i="1"/>
  <c r="Q2864" i="1" s="1"/>
  <c r="M2865" i="1"/>
  <c r="R2865" i="1" s="1"/>
  <c r="N2865" i="1"/>
  <c r="Q2865" i="1" s="1"/>
  <c r="M2866" i="1"/>
  <c r="R2866" i="1" s="1"/>
  <c r="N2866" i="1"/>
  <c r="Q2866" i="1" s="1"/>
  <c r="M2867" i="1"/>
  <c r="R2867" i="1" s="1"/>
  <c r="N2867" i="1"/>
  <c r="Q2867" i="1" s="1"/>
  <c r="M2868" i="1"/>
  <c r="R2868" i="1" s="1"/>
  <c r="N2868" i="1"/>
  <c r="Q2868" i="1" s="1"/>
  <c r="M2869" i="1"/>
  <c r="R2869" i="1" s="1"/>
  <c r="N2869" i="1"/>
  <c r="Q2869" i="1" s="1"/>
  <c r="M2870" i="1"/>
  <c r="R2870" i="1" s="1"/>
  <c r="N2870" i="1"/>
  <c r="Q2870" i="1" s="1"/>
  <c r="M2871" i="1"/>
  <c r="R2871" i="1" s="1"/>
  <c r="N2871" i="1"/>
  <c r="Q2871" i="1" s="1"/>
  <c r="M2872" i="1"/>
  <c r="R2872" i="1" s="1"/>
  <c r="N2872" i="1"/>
  <c r="Q2872" i="1" s="1"/>
  <c r="M2873" i="1"/>
  <c r="R2873" i="1" s="1"/>
  <c r="N2873" i="1"/>
  <c r="Q2873" i="1" s="1"/>
  <c r="M2874" i="1"/>
  <c r="R2874" i="1" s="1"/>
  <c r="N2874" i="1"/>
  <c r="Q2874" i="1" s="1"/>
  <c r="M2875" i="1"/>
  <c r="R2875" i="1" s="1"/>
  <c r="N2875" i="1"/>
  <c r="Q2875" i="1" s="1"/>
  <c r="M2876" i="1"/>
  <c r="R2876" i="1" s="1"/>
  <c r="N2876" i="1"/>
  <c r="Q2876" i="1" s="1"/>
  <c r="M2877" i="1"/>
  <c r="R2877" i="1" s="1"/>
  <c r="N2877" i="1"/>
  <c r="Q2877" i="1" s="1"/>
  <c r="M2878" i="1"/>
  <c r="R2878" i="1" s="1"/>
  <c r="N2878" i="1"/>
  <c r="Q2878" i="1" s="1"/>
  <c r="M2879" i="1"/>
  <c r="R2879" i="1" s="1"/>
  <c r="N2879" i="1"/>
  <c r="Q2879" i="1" s="1"/>
  <c r="M2880" i="1"/>
  <c r="R2880" i="1" s="1"/>
  <c r="N2880" i="1"/>
  <c r="Q2880" i="1" s="1"/>
  <c r="M2881" i="1"/>
  <c r="R2881" i="1" s="1"/>
  <c r="N2881" i="1"/>
  <c r="Q2881" i="1" s="1"/>
  <c r="M2882" i="1"/>
  <c r="R2882" i="1" s="1"/>
  <c r="N2882" i="1"/>
  <c r="Q2882" i="1" s="1"/>
  <c r="M2883" i="1"/>
  <c r="R2883" i="1" s="1"/>
  <c r="N2883" i="1"/>
  <c r="Q2883" i="1" s="1"/>
  <c r="M2884" i="1"/>
  <c r="R2884" i="1" s="1"/>
  <c r="N2884" i="1"/>
  <c r="Q2884" i="1" s="1"/>
  <c r="M2885" i="1"/>
  <c r="R2885" i="1" s="1"/>
  <c r="N2885" i="1"/>
  <c r="Q2885" i="1" s="1"/>
  <c r="M2886" i="1"/>
  <c r="R2886" i="1" s="1"/>
  <c r="N2886" i="1"/>
  <c r="Q2886" i="1" s="1"/>
  <c r="M2887" i="1"/>
  <c r="R2887" i="1" s="1"/>
  <c r="N2887" i="1"/>
  <c r="Q2887" i="1" s="1"/>
  <c r="M2888" i="1"/>
  <c r="R2888" i="1" s="1"/>
  <c r="N2888" i="1"/>
  <c r="Q2888" i="1" s="1"/>
  <c r="M2889" i="1"/>
  <c r="R2889" i="1" s="1"/>
  <c r="N2889" i="1"/>
  <c r="Q2889" i="1" s="1"/>
  <c r="M2890" i="1"/>
  <c r="R2890" i="1" s="1"/>
  <c r="N2890" i="1"/>
  <c r="Q2890" i="1" s="1"/>
  <c r="M2891" i="1"/>
  <c r="R2891" i="1" s="1"/>
  <c r="N2891" i="1"/>
  <c r="Q2891" i="1" s="1"/>
  <c r="M2892" i="1"/>
  <c r="R2892" i="1" s="1"/>
  <c r="N2892" i="1"/>
  <c r="Q2892" i="1" s="1"/>
  <c r="M2893" i="1"/>
  <c r="R2893" i="1" s="1"/>
  <c r="N2893" i="1"/>
  <c r="Q2893" i="1" s="1"/>
  <c r="M2894" i="1"/>
  <c r="R2894" i="1" s="1"/>
  <c r="N2894" i="1"/>
  <c r="Q2894" i="1" s="1"/>
  <c r="M2895" i="1"/>
  <c r="R2895" i="1" s="1"/>
  <c r="N2895" i="1"/>
  <c r="Q2895" i="1" s="1"/>
  <c r="M2896" i="1"/>
  <c r="R2896" i="1" s="1"/>
  <c r="N2896" i="1"/>
  <c r="Q2896" i="1" s="1"/>
  <c r="M2897" i="1"/>
  <c r="R2897" i="1" s="1"/>
  <c r="N2897" i="1"/>
  <c r="Q2897" i="1" s="1"/>
  <c r="M2898" i="1"/>
  <c r="R2898" i="1" s="1"/>
  <c r="N2898" i="1"/>
  <c r="Q2898" i="1" s="1"/>
  <c r="M2899" i="1"/>
  <c r="R2899" i="1" s="1"/>
  <c r="N2899" i="1"/>
  <c r="Q2899" i="1" s="1"/>
  <c r="M2900" i="1"/>
  <c r="R2900" i="1" s="1"/>
  <c r="N2900" i="1"/>
  <c r="Q2900" i="1" s="1"/>
  <c r="M2901" i="1"/>
  <c r="R2901" i="1" s="1"/>
  <c r="N2901" i="1"/>
  <c r="Q2901" i="1" s="1"/>
  <c r="M2902" i="1"/>
  <c r="R2902" i="1" s="1"/>
  <c r="N2902" i="1"/>
  <c r="Q2902" i="1" s="1"/>
  <c r="M2903" i="1"/>
  <c r="R2903" i="1" s="1"/>
  <c r="N2903" i="1"/>
  <c r="Q2903" i="1" s="1"/>
  <c r="M2904" i="1"/>
  <c r="R2904" i="1" s="1"/>
  <c r="N2904" i="1"/>
  <c r="Q2904" i="1" s="1"/>
  <c r="M2905" i="1"/>
  <c r="R2905" i="1" s="1"/>
  <c r="N2905" i="1"/>
  <c r="Q2905" i="1" s="1"/>
  <c r="M2906" i="1"/>
  <c r="R2906" i="1" s="1"/>
  <c r="N2906" i="1"/>
  <c r="Q2906" i="1" s="1"/>
  <c r="M2907" i="1"/>
  <c r="R2907" i="1" s="1"/>
  <c r="N2907" i="1"/>
  <c r="Q2907" i="1" s="1"/>
  <c r="M2908" i="1"/>
  <c r="R2908" i="1" s="1"/>
  <c r="N2908" i="1"/>
  <c r="Q2908" i="1" s="1"/>
  <c r="M2909" i="1"/>
  <c r="R2909" i="1" s="1"/>
  <c r="N2909" i="1"/>
  <c r="Q2909" i="1" s="1"/>
  <c r="M2910" i="1"/>
  <c r="R2910" i="1" s="1"/>
  <c r="N2910" i="1"/>
  <c r="Q2910" i="1" s="1"/>
  <c r="M2911" i="1"/>
  <c r="R2911" i="1" s="1"/>
  <c r="N2911" i="1"/>
  <c r="Q2911" i="1" s="1"/>
  <c r="M2912" i="1"/>
  <c r="R2912" i="1" s="1"/>
  <c r="N2912" i="1"/>
  <c r="Q2912" i="1" s="1"/>
  <c r="M2913" i="1"/>
  <c r="R2913" i="1" s="1"/>
  <c r="N2913" i="1"/>
  <c r="Q2913" i="1" s="1"/>
  <c r="M2914" i="1"/>
  <c r="R2914" i="1" s="1"/>
  <c r="N2914" i="1"/>
  <c r="Q2914" i="1" s="1"/>
  <c r="M2915" i="1"/>
  <c r="R2915" i="1" s="1"/>
  <c r="N2915" i="1"/>
  <c r="Q2915" i="1" s="1"/>
  <c r="M2916" i="1"/>
  <c r="R2916" i="1" s="1"/>
  <c r="N2916" i="1"/>
  <c r="Q2916" i="1" s="1"/>
  <c r="M2917" i="1"/>
  <c r="R2917" i="1" s="1"/>
  <c r="N2917" i="1"/>
  <c r="Q2917" i="1" s="1"/>
  <c r="M2918" i="1"/>
  <c r="R2918" i="1" s="1"/>
  <c r="N2918" i="1"/>
  <c r="Q2918" i="1" s="1"/>
  <c r="M2919" i="1"/>
  <c r="R2919" i="1" s="1"/>
  <c r="N2919" i="1"/>
  <c r="Q2919" i="1" s="1"/>
  <c r="M2920" i="1"/>
  <c r="R2920" i="1" s="1"/>
  <c r="N2920" i="1"/>
  <c r="Q2920" i="1" s="1"/>
  <c r="M2921" i="1"/>
  <c r="R2921" i="1" s="1"/>
  <c r="N2921" i="1"/>
  <c r="Q2921" i="1" s="1"/>
  <c r="M2922" i="1"/>
  <c r="R2922" i="1" s="1"/>
  <c r="N2922" i="1"/>
  <c r="Q2922" i="1" s="1"/>
  <c r="M2923" i="1"/>
  <c r="R2923" i="1" s="1"/>
  <c r="N2923" i="1"/>
  <c r="Q2923" i="1" s="1"/>
  <c r="M2924" i="1"/>
  <c r="R2924" i="1" s="1"/>
  <c r="N2924" i="1"/>
  <c r="Q2924" i="1" s="1"/>
  <c r="M2925" i="1"/>
  <c r="R2925" i="1" s="1"/>
  <c r="N2925" i="1"/>
  <c r="Q2925" i="1" s="1"/>
  <c r="M2926" i="1"/>
  <c r="R2926" i="1" s="1"/>
  <c r="N2926" i="1"/>
  <c r="Q2926" i="1" s="1"/>
  <c r="M2927" i="1"/>
  <c r="R2927" i="1" s="1"/>
  <c r="N2927" i="1"/>
  <c r="Q2927" i="1" s="1"/>
  <c r="M2928" i="1"/>
  <c r="R2928" i="1" s="1"/>
  <c r="N2928" i="1"/>
  <c r="Q2928" i="1" s="1"/>
  <c r="M2929" i="1"/>
  <c r="R2929" i="1" s="1"/>
  <c r="N2929" i="1"/>
  <c r="Q2929" i="1" s="1"/>
  <c r="M2930" i="1"/>
  <c r="R2930" i="1" s="1"/>
  <c r="N2930" i="1"/>
  <c r="Q2930" i="1" s="1"/>
  <c r="M2931" i="1"/>
  <c r="R2931" i="1" s="1"/>
  <c r="N2931" i="1"/>
  <c r="Q2931" i="1" s="1"/>
  <c r="M2932" i="1"/>
  <c r="R2932" i="1" s="1"/>
  <c r="N2932" i="1"/>
  <c r="Q2932" i="1" s="1"/>
  <c r="M2933" i="1"/>
  <c r="R2933" i="1" s="1"/>
  <c r="N2933" i="1"/>
  <c r="Q2933" i="1" s="1"/>
  <c r="M2934" i="1"/>
  <c r="R2934" i="1" s="1"/>
  <c r="N2934" i="1"/>
  <c r="Q2934" i="1" s="1"/>
  <c r="M2935" i="1"/>
  <c r="R2935" i="1" s="1"/>
  <c r="N2935" i="1"/>
  <c r="Q2935" i="1" s="1"/>
  <c r="M2936" i="1"/>
  <c r="R2936" i="1" s="1"/>
  <c r="N2936" i="1"/>
  <c r="Q2936" i="1" s="1"/>
  <c r="M2937" i="1"/>
  <c r="R2937" i="1" s="1"/>
  <c r="N2937" i="1"/>
  <c r="Q2937" i="1" s="1"/>
  <c r="M2938" i="1"/>
  <c r="R2938" i="1" s="1"/>
  <c r="N2938" i="1"/>
  <c r="Q2938" i="1" s="1"/>
  <c r="M2939" i="1"/>
  <c r="R2939" i="1" s="1"/>
  <c r="N2939" i="1"/>
  <c r="Q2939" i="1" s="1"/>
  <c r="M2940" i="1"/>
  <c r="R2940" i="1" s="1"/>
  <c r="N2940" i="1"/>
  <c r="Q2940" i="1" s="1"/>
  <c r="M2941" i="1"/>
  <c r="R2941" i="1" s="1"/>
  <c r="N2941" i="1"/>
  <c r="Q2941" i="1" s="1"/>
  <c r="M2942" i="1"/>
  <c r="R2942" i="1" s="1"/>
  <c r="N2942" i="1"/>
  <c r="Q2942" i="1" s="1"/>
  <c r="M2943" i="1"/>
  <c r="R2943" i="1" s="1"/>
  <c r="N2943" i="1"/>
  <c r="Q2943" i="1" s="1"/>
  <c r="M2944" i="1"/>
  <c r="R2944" i="1" s="1"/>
  <c r="N2944" i="1"/>
  <c r="Q2944" i="1" s="1"/>
  <c r="M2945" i="1"/>
  <c r="R2945" i="1" s="1"/>
  <c r="N2945" i="1"/>
  <c r="Q2945" i="1" s="1"/>
  <c r="M2946" i="1"/>
  <c r="R2946" i="1" s="1"/>
  <c r="N2946" i="1"/>
  <c r="Q2946" i="1" s="1"/>
  <c r="M2947" i="1"/>
  <c r="R2947" i="1" s="1"/>
  <c r="N2947" i="1"/>
  <c r="Q2947" i="1" s="1"/>
  <c r="M2948" i="1"/>
  <c r="R2948" i="1" s="1"/>
  <c r="N2948" i="1"/>
  <c r="Q2948" i="1" s="1"/>
  <c r="M2949" i="1"/>
  <c r="R2949" i="1" s="1"/>
  <c r="N2949" i="1"/>
  <c r="Q2949" i="1" s="1"/>
  <c r="M2950" i="1"/>
  <c r="R2950" i="1" s="1"/>
  <c r="N2950" i="1"/>
  <c r="Q2950" i="1" s="1"/>
  <c r="M2951" i="1"/>
  <c r="R2951" i="1" s="1"/>
  <c r="N2951" i="1"/>
  <c r="Q2951" i="1" s="1"/>
  <c r="M2952" i="1"/>
  <c r="R2952" i="1" s="1"/>
  <c r="N2952" i="1"/>
  <c r="Q2952" i="1" s="1"/>
  <c r="M2953" i="1"/>
  <c r="R2953" i="1" s="1"/>
  <c r="N2953" i="1"/>
  <c r="Q2953" i="1" s="1"/>
  <c r="M2954" i="1"/>
  <c r="R2954" i="1" s="1"/>
  <c r="N2954" i="1"/>
  <c r="Q2954" i="1" s="1"/>
  <c r="M2955" i="1"/>
  <c r="R2955" i="1" s="1"/>
  <c r="N2955" i="1"/>
  <c r="Q2955" i="1" s="1"/>
  <c r="M2956" i="1"/>
  <c r="R2956" i="1" s="1"/>
  <c r="N2956" i="1"/>
  <c r="Q2956" i="1" s="1"/>
  <c r="M2957" i="1"/>
  <c r="R2957" i="1" s="1"/>
  <c r="N2957" i="1"/>
  <c r="Q2957" i="1" s="1"/>
  <c r="M2958" i="1"/>
  <c r="R2958" i="1" s="1"/>
  <c r="N2958" i="1"/>
  <c r="Q2958" i="1" s="1"/>
  <c r="M2959" i="1"/>
  <c r="R2959" i="1" s="1"/>
  <c r="N2959" i="1"/>
  <c r="Q2959" i="1" s="1"/>
  <c r="M2960" i="1"/>
  <c r="R2960" i="1" s="1"/>
  <c r="N2960" i="1"/>
  <c r="Q2960" i="1" s="1"/>
  <c r="M2961" i="1"/>
  <c r="R2961" i="1" s="1"/>
  <c r="N2961" i="1"/>
  <c r="Q2961" i="1" s="1"/>
  <c r="M2962" i="1"/>
  <c r="R2962" i="1" s="1"/>
  <c r="N2962" i="1"/>
  <c r="Q2962" i="1" s="1"/>
  <c r="M2963" i="1"/>
  <c r="R2963" i="1" s="1"/>
  <c r="N2963" i="1"/>
  <c r="Q2963" i="1" s="1"/>
  <c r="M2964" i="1"/>
  <c r="R2964" i="1" s="1"/>
  <c r="N2964" i="1"/>
  <c r="Q2964" i="1" s="1"/>
  <c r="M2965" i="1"/>
  <c r="R2965" i="1" s="1"/>
  <c r="N2965" i="1"/>
  <c r="Q2965" i="1" s="1"/>
  <c r="M2966" i="1"/>
  <c r="R2966" i="1" s="1"/>
  <c r="N2966" i="1"/>
  <c r="Q2966" i="1" s="1"/>
  <c r="M2967" i="1"/>
  <c r="R2967" i="1" s="1"/>
  <c r="N2967" i="1"/>
  <c r="Q2967" i="1" s="1"/>
  <c r="M2968" i="1"/>
  <c r="R2968" i="1" s="1"/>
  <c r="N2968" i="1"/>
  <c r="Q2968" i="1" s="1"/>
  <c r="M2969" i="1"/>
  <c r="R2969" i="1" s="1"/>
  <c r="N2969" i="1"/>
  <c r="Q2969" i="1" s="1"/>
  <c r="M2970" i="1"/>
  <c r="R2970" i="1" s="1"/>
  <c r="N2970" i="1"/>
  <c r="Q2970" i="1" s="1"/>
  <c r="M2971" i="1"/>
  <c r="R2971" i="1" s="1"/>
  <c r="N2971" i="1"/>
  <c r="Q2971" i="1" s="1"/>
  <c r="M2972" i="1"/>
  <c r="R2972" i="1" s="1"/>
  <c r="N2972" i="1"/>
  <c r="Q2972" i="1" s="1"/>
  <c r="M2973" i="1"/>
  <c r="R2973" i="1" s="1"/>
  <c r="N2973" i="1"/>
  <c r="Q2973" i="1" s="1"/>
  <c r="M2974" i="1"/>
  <c r="R2974" i="1" s="1"/>
  <c r="N2974" i="1"/>
  <c r="Q2974" i="1" s="1"/>
  <c r="M2975" i="1"/>
  <c r="R2975" i="1" s="1"/>
  <c r="N2975" i="1"/>
  <c r="Q2975" i="1" s="1"/>
  <c r="M2976" i="1"/>
  <c r="R2976" i="1" s="1"/>
  <c r="N2976" i="1"/>
  <c r="Q2976" i="1" s="1"/>
  <c r="M2977" i="1"/>
  <c r="R2977" i="1" s="1"/>
  <c r="N2977" i="1"/>
  <c r="Q2977" i="1" s="1"/>
  <c r="M2978" i="1"/>
  <c r="R2978" i="1" s="1"/>
  <c r="N2978" i="1"/>
  <c r="Q2978" i="1" s="1"/>
  <c r="M2979" i="1"/>
  <c r="R2979" i="1" s="1"/>
  <c r="N2979" i="1"/>
  <c r="Q2979" i="1" s="1"/>
  <c r="M2980" i="1"/>
  <c r="R2980" i="1" s="1"/>
  <c r="N2980" i="1"/>
  <c r="Q2980" i="1" s="1"/>
  <c r="M2981" i="1"/>
  <c r="R2981" i="1" s="1"/>
  <c r="N2981" i="1"/>
  <c r="Q2981" i="1" s="1"/>
  <c r="M2982" i="1"/>
  <c r="R2982" i="1" s="1"/>
  <c r="N2982" i="1"/>
  <c r="Q2982" i="1" s="1"/>
  <c r="M2983" i="1"/>
  <c r="R2983" i="1" s="1"/>
  <c r="N2983" i="1"/>
  <c r="Q2983" i="1" s="1"/>
  <c r="M2984" i="1"/>
  <c r="R2984" i="1" s="1"/>
  <c r="N2984" i="1"/>
  <c r="Q2984" i="1" s="1"/>
  <c r="M2985" i="1"/>
  <c r="R2985" i="1" s="1"/>
  <c r="N2985" i="1"/>
  <c r="Q2985" i="1" s="1"/>
  <c r="M2986" i="1"/>
  <c r="R2986" i="1" s="1"/>
  <c r="N2986" i="1"/>
  <c r="Q2986" i="1" s="1"/>
  <c r="M2987" i="1"/>
  <c r="R2987" i="1" s="1"/>
  <c r="N2987" i="1"/>
  <c r="Q2987" i="1" s="1"/>
  <c r="M2988" i="1"/>
  <c r="R2988" i="1" s="1"/>
  <c r="N2988" i="1"/>
  <c r="Q2988" i="1" s="1"/>
  <c r="M2989" i="1"/>
  <c r="R2989" i="1" s="1"/>
  <c r="N2989" i="1"/>
  <c r="Q2989" i="1" s="1"/>
  <c r="M2990" i="1"/>
  <c r="R2990" i="1" s="1"/>
  <c r="N2990" i="1"/>
  <c r="Q2990" i="1" s="1"/>
  <c r="M2991" i="1"/>
  <c r="R2991" i="1" s="1"/>
  <c r="N2991" i="1"/>
  <c r="Q2991" i="1" s="1"/>
  <c r="M2992" i="1"/>
  <c r="R2992" i="1" s="1"/>
  <c r="N2992" i="1"/>
  <c r="Q2992" i="1" s="1"/>
  <c r="M2993" i="1"/>
  <c r="R2993" i="1" s="1"/>
  <c r="N2993" i="1"/>
  <c r="Q2993" i="1" s="1"/>
  <c r="M2994" i="1"/>
  <c r="R2994" i="1" s="1"/>
  <c r="N2994" i="1"/>
  <c r="Q2994" i="1" s="1"/>
  <c r="M2995" i="1"/>
  <c r="R2995" i="1" s="1"/>
  <c r="N2995" i="1"/>
  <c r="Q2995" i="1" s="1"/>
  <c r="M2996" i="1"/>
  <c r="R2996" i="1" s="1"/>
  <c r="N2996" i="1"/>
  <c r="Q2996" i="1" s="1"/>
  <c r="M2997" i="1"/>
  <c r="R2997" i="1" s="1"/>
  <c r="N2997" i="1"/>
  <c r="Q2997" i="1" s="1"/>
  <c r="M2998" i="1"/>
  <c r="R2998" i="1" s="1"/>
  <c r="N2998" i="1"/>
  <c r="Q2998" i="1" s="1"/>
  <c r="M2999" i="1"/>
  <c r="R2999" i="1" s="1"/>
  <c r="N2999" i="1"/>
  <c r="Q2999" i="1" s="1"/>
  <c r="M3000" i="1"/>
  <c r="R3000" i="1" s="1"/>
  <c r="N3000" i="1"/>
  <c r="Q3000" i="1" s="1"/>
  <c r="M3001" i="1"/>
  <c r="R3001" i="1" s="1"/>
  <c r="N3001" i="1"/>
  <c r="Q3001" i="1" s="1"/>
  <c r="M3002" i="1"/>
  <c r="R3002" i="1" s="1"/>
  <c r="N3002" i="1"/>
  <c r="Q3002" i="1" s="1"/>
  <c r="M3003" i="1"/>
  <c r="R3003" i="1" s="1"/>
  <c r="N3003" i="1"/>
  <c r="Q3003" i="1" s="1"/>
  <c r="M3004" i="1"/>
  <c r="R3004" i="1" s="1"/>
  <c r="N3004" i="1"/>
  <c r="Q3004" i="1" s="1"/>
  <c r="M3005" i="1"/>
  <c r="R3005" i="1" s="1"/>
  <c r="N3005" i="1"/>
  <c r="Q3005" i="1" s="1"/>
  <c r="M3006" i="1"/>
  <c r="R3006" i="1" s="1"/>
  <c r="N3006" i="1"/>
  <c r="Q3006" i="1" s="1"/>
  <c r="M3007" i="1"/>
  <c r="R3007" i="1" s="1"/>
  <c r="N3007" i="1"/>
  <c r="Q3007" i="1" s="1"/>
  <c r="M3008" i="1"/>
  <c r="R3008" i="1" s="1"/>
  <c r="N3008" i="1"/>
  <c r="Q3008" i="1" s="1"/>
  <c r="M3009" i="1"/>
  <c r="R3009" i="1" s="1"/>
  <c r="N3009" i="1"/>
  <c r="Q3009" i="1" s="1"/>
  <c r="M3010" i="1"/>
  <c r="R3010" i="1" s="1"/>
  <c r="N3010" i="1"/>
  <c r="Q3010" i="1" s="1"/>
  <c r="M3011" i="1"/>
  <c r="R3011" i="1" s="1"/>
  <c r="N3011" i="1"/>
  <c r="Q3011" i="1" s="1"/>
  <c r="M3012" i="1"/>
  <c r="R3012" i="1" s="1"/>
  <c r="N3012" i="1"/>
  <c r="Q3012" i="1" s="1"/>
  <c r="M3013" i="1"/>
  <c r="R3013" i="1" s="1"/>
  <c r="N3013" i="1"/>
  <c r="Q3013" i="1" s="1"/>
  <c r="M3014" i="1"/>
  <c r="R3014" i="1" s="1"/>
  <c r="N3014" i="1"/>
  <c r="Q3014" i="1" s="1"/>
  <c r="M3015" i="1"/>
  <c r="R3015" i="1" s="1"/>
  <c r="N3015" i="1"/>
  <c r="Q3015" i="1" s="1"/>
  <c r="M3016" i="1"/>
  <c r="R3016" i="1" s="1"/>
  <c r="N3016" i="1"/>
  <c r="Q3016" i="1" s="1"/>
  <c r="M3017" i="1"/>
  <c r="R3017" i="1" s="1"/>
  <c r="N3017" i="1"/>
  <c r="Q3017" i="1" s="1"/>
  <c r="M3018" i="1"/>
  <c r="R3018" i="1" s="1"/>
  <c r="N3018" i="1"/>
  <c r="Q3018" i="1" s="1"/>
  <c r="M3019" i="1"/>
  <c r="R3019" i="1" s="1"/>
  <c r="N3019" i="1"/>
  <c r="Q3019" i="1" s="1"/>
  <c r="M3020" i="1"/>
  <c r="R3020" i="1" s="1"/>
  <c r="N3020" i="1"/>
  <c r="Q3020" i="1" s="1"/>
  <c r="M3021" i="1"/>
  <c r="R3021" i="1" s="1"/>
  <c r="N3021" i="1"/>
  <c r="Q3021" i="1" s="1"/>
  <c r="M3022" i="1"/>
  <c r="R3022" i="1" s="1"/>
  <c r="N3022" i="1"/>
  <c r="Q3022" i="1" s="1"/>
  <c r="M3023" i="1"/>
  <c r="R3023" i="1" s="1"/>
  <c r="N3023" i="1"/>
  <c r="Q3023" i="1" s="1"/>
  <c r="M3024" i="1"/>
  <c r="R3024" i="1" s="1"/>
  <c r="N3024" i="1"/>
  <c r="Q3024" i="1" s="1"/>
  <c r="M3025" i="1"/>
  <c r="R3025" i="1" s="1"/>
  <c r="N3025" i="1"/>
  <c r="Q3025" i="1" s="1"/>
  <c r="M3026" i="1"/>
  <c r="R3026" i="1" s="1"/>
  <c r="N3026" i="1"/>
  <c r="Q3026" i="1" s="1"/>
  <c r="M3027" i="1"/>
  <c r="R3027" i="1" s="1"/>
  <c r="N3027" i="1"/>
  <c r="Q3027" i="1" s="1"/>
  <c r="M3028" i="1"/>
  <c r="R3028" i="1" s="1"/>
  <c r="N3028" i="1"/>
  <c r="Q3028" i="1" s="1"/>
  <c r="M3029" i="1"/>
  <c r="R3029" i="1" s="1"/>
  <c r="N3029" i="1"/>
  <c r="Q3029" i="1" s="1"/>
  <c r="M3030" i="1"/>
  <c r="R3030" i="1" s="1"/>
  <c r="N3030" i="1"/>
  <c r="Q3030" i="1" s="1"/>
  <c r="M3031" i="1"/>
  <c r="R3031" i="1" s="1"/>
  <c r="N3031" i="1"/>
  <c r="Q3031" i="1" s="1"/>
  <c r="M3032" i="1"/>
  <c r="R3032" i="1" s="1"/>
  <c r="N3032" i="1"/>
  <c r="Q3032" i="1" s="1"/>
  <c r="M3033" i="1"/>
  <c r="R3033" i="1" s="1"/>
  <c r="N3033" i="1"/>
  <c r="Q3033" i="1" s="1"/>
  <c r="M3034" i="1"/>
  <c r="R3034" i="1" s="1"/>
  <c r="N3034" i="1"/>
  <c r="Q3034" i="1" s="1"/>
  <c r="M3035" i="1"/>
  <c r="R3035" i="1" s="1"/>
  <c r="N3035" i="1"/>
  <c r="Q3035" i="1" s="1"/>
  <c r="M3036" i="1"/>
  <c r="R3036" i="1" s="1"/>
  <c r="N3036" i="1"/>
  <c r="Q3036" i="1" s="1"/>
  <c r="M3037" i="1"/>
  <c r="R3037" i="1" s="1"/>
  <c r="N3037" i="1"/>
  <c r="Q3037" i="1" s="1"/>
  <c r="M3038" i="1"/>
  <c r="R3038" i="1" s="1"/>
  <c r="N3038" i="1"/>
  <c r="Q3038" i="1" s="1"/>
  <c r="M3039" i="1"/>
  <c r="R3039" i="1" s="1"/>
  <c r="N3039" i="1"/>
  <c r="Q3039" i="1" s="1"/>
  <c r="M3040" i="1"/>
  <c r="R3040" i="1" s="1"/>
  <c r="N3040" i="1"/>
  <c r="Q3040" i="1" s="1"/>
  <c r="M3041" i="1"/>
  <c r="R3041" i="1" s="1"/>
  <c r="N3041" i="1"/>
  <c r="Q3041" i="1" s="1"/>
  <c r="M3042" i="1"/>
  <c r="R3042" i="1" s="1"/>
  <c r="N3042" i="1"/>
  <c r="Q3042" i="1" s="1"/>
  <c r="M3043" i="1"/>
  <c r="R3043" i="1" s="1"/>
  <c r="N3043" i="1"/>
  <c r="Q3043" i="1" s="1"/>
  <c r="M3044" i="1"/>
  <c r="R3044" i="1" s="1"/>
  <c r="N3044" i="1"/>
  <c r="Q3044" i="1" s="1"/>
  <c r="M3045" i="1"/>
  <c r="R3045" i="1" s="1"/>
  <c r="N3045" i="1"/>
  <c r="Q3045" i="1" s="1"/>
  <c r="M3046" i="1"/>
  <c r="R3046" i="1" s="1"/>
  <c r="N3046" i="1"/>
  <c r="Q3046" i="1" s="1"/>
  <c r="M3047" i="1"/>
  <c r="R3047" i="1" s="1"/>
  <c r="N3047" i="1"/>
  <c r="Q3047" i="1" s="1"/>
  <c r="M3048" i="1"/>
  <c r="R3048" i="1" s="1"/>
  <c r="N3048" i="1"/>
  <c r="Q3048" i="1" s="1"/>
  <c r="M3049" i="1"/>
  <c r="R3049" i="1" s="1"/>
  <c r="N3049" i="1"/>
  <c r="Q3049" i="1" s="1"/>
  <c r="M3050" i="1"/>
  <c r="R3050" i="1" s="1"/>
  <c r="N3050" i="1"/>
  <c r="Q3050" i="1" s="1"/>
  <c r="M3051" i="1"/>
  <c r="R3051" i="1" s="1"/>
  <c r="N3051" i="1"/>
  <c r="Q3051" i="1" s="1"/>
  <c r="M3052" i="1"/>
  <c r="R3052" i="1" s="1"/>
  <c r="N3052" i="1"/>
  <c r="Q3052" i="1" s="1"/>
  <c r="M3053" i="1"/>
  <c r="R3053" i="1" s="1"/>
  <c r="N3053" i="1"/>
  <c r="Q3053" i="1" s="1"/>
  <c r="M3054" i="1"/>
  <c r="R3054" i="1" s="1"/>
  <c r="N3054" i="1"/>
  <c r="Q3054" i="1" s="1"/>
  <c r="M3055" i="1"/>
  <c r="R3055" i="1" s="1"/>
  <c r="N3055" i="1"/>
  <c r="Q3055" i="1" s="1"/>
  <c r="M3056" i="1"/>
  <c r="R3056" i="1" s="1"/>
  <c r="N3056" i="1"/>
  <c r="Q3056" i="1" s="1"/>
  <c r="M3057" i="1"/>
  <c r="R3057" i="1" s="1"/>
  <c r="N3057" i="1"/>
  <c r="Q3057" i="1" s="1"/>
  <c r="M3058" i="1"/>
  <c r="R3058" i="1" s="1"/>
  <c r="N3058" i="1"/>
  <c r="Q3058" i="1" s="1"/>
  <c r="M3059" i="1"/>
  <c r="R3059" i="1" s="1"/>
  <c r="N3059" i="1"/>
  <c r="Q3059" i="1" s="1"/>
  <c r="M3060" i="1"/>
  <c r="R3060" i="1" s="1"/>
  <c r="N3060" i="1"/>
  <c r="Q3060" i="1" s="1"/>
  <c r="M3061" i="1"/>
  <c r="R3061" i="1" s="1"/>
  <c r="N3061" i="1"/>
  <c r="Q3061" i="1" s="1"/>
  <c r="M3062" i="1"/>
  <c r="R3062" i="1" s="1"/>
  <c r="N3062" i="1"/>
  <c r="Q3062" i="1" s="1"/>
  <c r="M3063" i="1"/>
  <c r="R3063" i="1" s="1"/>
  <c r="N3063" i="1"/>
  <c r="Q3063" i="1" s="1"/>
  <c r="M3064" i="1"/>
  <c r="R3064" i="1" s="1"/>
  <c r="N3064" i="1"/>
  <c r="Q3064" i="1" s="1"/>
  <c r="M3065" i="1"/>
  <c r="R3065" i="1" s="1"/>
  <c r="N3065" i="1"/>
  <c r="Q3065" i="1" s="1"/>
  <c r="M3066" i="1"/>
  <c r="R3066" i="1" s="1"/>
  <c r="N3066" i="1"/>
  <c r="Q3066" i="1" s="1"/>
  <c r="M3067" i="1"/>
  <c r="R3067" i="1" s="1"/>
  <c r="N3067" i="1"/>
  <c r="Q3067" i="1" s="1"/>
  <c r="M3068" i="1"/>
  <c r="R3068" i="1" s="1"/>
  <c r="N3068" i="1"/>
  <c r="Q3068" i="1" s="1"/>
  <c r="M3069" i="1"/>
  <c r="R3069" i="1" s="1"/>
  <c r="N3069" i="1"/>
  <c r="Q3069" i="1" s="1"/>
  <c r="M3070" i="1"/>
  <c r="R3070" i="1" s="1"/>
  <c r="N3070" i="1"/>
  <c r="Q3070" i="1" s="1"/>
  <c r="M3071" i="1"/>
  <c r="R3071" i="1" s="1"/>
  <c r="N3071" i="1"/>
  <c r="Q3071" i="1" s="1"/>
  <c r="M3072" i="1"/>
  <c r="R3072" i="1" s="1"/>
  <c r="N3072" i="1"/>
  <c r="Q3072" i="1" s="1"/>
  <c r="M3073" i="1"/>
  <c r="R3073" i="1" s="1"/>
  <c r="N3073" i="1"/>
  <c r="Q3073" i="1" s="1"/>
  <c r="M3074" i="1"/>
  <c r="R3074" i="1" s="1"/>
  <c r="N3074" i="1"/>
  <c r="Q3074" i="1" s="1"/>
  <c r="M3075" i="1"/>
  <c r="R3075" i="1" s="1"/>
  <c r="N3075" i="1"/>
  <c r="Q3075" i="1" s="1"/>
  <c r="M3076" i="1"/>
  <c r="R3076" i="1" s="1"/>
  <c r="N3076" i="1"/>
  <c r="Q3076" i="1" s="1"/>
  <c r="M3077" i="1"/>
  <c r="R3077" i="1" s="1"/>
  <c r="N3077" i="1"/>
  <c r="Q3077" i="1" s="1"/>
  <c r="M3078" i="1"/>
  <c r="R3078" i="1" s="1"/>
  <c r="N3078" i="1"/>
  <c r="Q3078" i="1" s="1"/>
  <c r="M3079" i="1"/>
  <c r="R3079" i="1" s="1"/>
  <c r="N3079" i="1"/>
  <c r="Q3079" i="1" s="1"/>
  <c r="M3080" i="1"/>
  <c r="R3080" i="1" s="1"/>
  <c r="N3080" i="1"/>
  <c r="Q3080" i="1" s="1"/>
  <c r="M3081" i="1"/>
  <c r="R3081" i="1" s="1"/>
  <c r="N3081" i="1"/>
  <c r="Q3081" i="1" s="1"/>
  <c r="M3082" i="1"/>
  <c r="R3082" i="1" s="1"/>
  <c r="N3082" i="1"/>
  <c r="Q3082" i="1" s="1"/>
  <c r="M3083" i="1"/>
  <c r="R3083" i="1" s="1"/>
  <c r="N3083" i="1"/>
  <c r="Q3083" i="1" s="1"/>
  <c r="M3084" i="1"/>
  <c r="R3084" i="1" s="1"/>
  <c r="N3084" i="1"/>
  <c r="Q3084" i="1" s="1"/>
  <c r="M3085" i="1"/>
  <c r="R3085" i="1" s="1"/>
  <c r="N3085" i="1"/>
  <c r="Q3085" i="1" s="1"/>
  <c r="M3086" i="1"/>
  <c r="R3086" i="1" s="1"/>
  <c r="N3086" i="1"/>
  <c r="Q3086" i="1" s="1"/>
  <c r="M3087" i="1"/>
  <c r="R3087" i="1" s="1"/>
  <c r="N3087" i="1"/>
  <c r="Q3087" i="1" s="1"/>
  <c r="M3088" i="1"/>
  <c r="R3088" i="1" s="1"/>
  <c r="N3088" i="1"/>
  <c r="Q3088" i="1" s="1"/>
  <c r="M3089" i="1"/>
  <c r="R3089" i="1" s="1"/>
  <c r="N3089" i="1"/>
  <c r="Q3089" i="1" s="1"/>
  <c r="M3090" i="1"/>
  <c r="R3090" i="1" s="1"/>
  <c r="N3090" i="1"/>
  <c r="Q3090" i="1" s="1"/>
  <c r="M3091" i="1"/>
  <c r="R3091" i="1" s="1"/>
  <c r="N3091" i="1"/>
  <c r="Q3091" i="1" s="1"/>
  <c r="M3092" i="1"/>
  <c r="R3092" i="1" s="1"/>
  <c r="N3092" i="1"/>
  <c r="Q3092" i="1" s="1"/>
  <c r="M3093" i="1"/>
  <c r="R3093" i="1" s="1"/>
  <c r="N3093" i="1"/>
  <c r="Q3093" i="1" s="1"/>
  <c r="M3094" i="1"/>
  <c r="R3094" i="1" s="1"/>
  <c r="N3094" i="1"/>
  <c r="Q3094" i="1" s="1"/>
  <c r="M3095" i="1"/>
  <c r="R3095" i="1" s="1"/>
  <c r="N3095" i="1"/>
  <c r="Q3095" i="1" s="1"/>
  <c r="M3096" i="1"/>
  <c r="R3096" i="1" s="1"/>
  <c r="N3096" i="1"/>
  <c r="Q3096" i="1" s="1"/>
  <c r="M3097" i="1"/>
  <c r="R3097" i="1" s="1"/>
  <c r="N3097" i="1"/>
  <c r="Q3097" i="1" s="1"/>
  <c r="M3098" i="1"/>
  <c r="R3098" i="1" s="1"/>
  <c r="N3098" i="1"/>
  <c r="Q3098" i="1" s="1"/>
  <c r="M3099" i="1"/>
  <c r="R3099" i="1" s="1"/>
  <c r="N3099" i="1"/>
  <c r="Q3099" i="1" s="1"/>
  <c r="M3100" i="1"/>
  <c r="R3100" i="1" s="1"/>
  <c r="N3100" i="1"/>
  <c r="Q3100" i="1" s="1"/>
  <c r="M3101" i="1"/>
  <c r="R3101" i="1" s="1"/>
  <c r="N3101" i="1"/>
  <c r="Q3101" i="1" s="1"/>
  <c r="M3102" i="1"/>
  <c r="R3102" i="1" s="1"/>
  <c r="N3102" i="1"/>
  <c r="Q3102" i="1" s="1"/>
  <c r="M3103" i="1"/>
  <c r="R3103" i="1" s="1"/>
  <c r="N3103" i="1"/>
  <c r="Q3103" i="1" s="1"/>
  <c r="M3104" i="1"/>
  <c r="R3104" i="1" s="1"/>
  <c r="N3104" i="1"/>
  <c r="Q3104" i="1" s="1"/>
  <c r="M3105" i="1"/>
  <c r="R3105" i="1" s="1"/>
  <c r="N3105" i="1"/>
  <c r="Q3105" i="1" s="1"/>
  <c r="M3106" i="1"/>
  <c r="R3106" i="1" s="1"/>
  <c r="N3106" i="1"/>
  <c r="Q3106" i="1" s="1"/>
  <c r="M3107" i="1"/>
  <c r="R3107" i="1" s="1"/>
  <c r="N3107" i="1"/>
  <c r="Q3107" i="1" s="1"/>
  <c r="M3108" i="1"/>
  <c r="R3108" i="1" s="1"/>
  <c r="N3108" i="1"/>
  <c r="Q3108" i="1" s="1"/>
  <c r="M3109" i="1"/>
  <c r="R3109" i="1" s="1"/>
  <c r="N3109" i="1"/>
  <c r="Q3109" i="1" s="1"/>
  <c r="M3110" i="1"/>
  <c r="R3110" i="1" s="1"/>
  <c r="N3110" i="1"/>
  <c r="Q3110" i="1" s="1"/>
  <c r="M3111" i="1"/>
  <c r="R3111" i="1" s="1"/>
  <c r="N3111" i="1"/>
  <c r="Q3111" i="1" s="1"/>
  <c r="M3112" i="1"/>
  <c r="R3112" i="1" s="1"/>
  <c r="N3112" i="1"/>
  <c r="Q3112" i="1" s="1"/>
  <c r="M3113" i="1"/>
  <c r="R3113" i="1" s="1"/>
  <c r="N3113" i="1"/>
  <c r="Q3113" i="1" s="1"/>
  <c r="M3114" i="1"/>
  <c r="R3114" i="1" s="1"/>
  <c r="N3114" i="1"/>
  <c r="Q3114" i="1" s="1"/>
  <c r="M3115" i="1"/>
  <c r="R3115" i="1" s="1"/>
  <c r="N3115" i="1"/>
  <c r="Q3115" i="1" s="1"/>
  <c r="M3116" i="1"/>
  <c r="R3116" i="1" s="1"/>
  <c r="N3116" i="1"/>
  <c r="Q3116" i="1" s="1"/>
  <c r="M3117" i="1"/>
  <c r="R3117" i="1" s="1"/>
  <c r="N3117" i="1"/>
  <c r="Q3117" i="1" s="1"/>
  <c r="M3118" i="1"/>
  <c r="R3118" i="1" s="1"/>
  <c r="N3118" i="1"/>
  <c r="Q3118" i="1" s="1"/>
  <c r="M3119" i="1"/>
  <c r="R3119" i="1" s="1"/>
  <c r="N3119" i="1"/>
  <c r="Q3119" i="1" s="1"/>
  <c r="M3120" i="1"/>
  <c r="R3120" i="1" s="1"/>
  <c r="N3120" i="1"/>
  <c r="Q3120" i="1" s="1"/>
  <c r="M3121" i="1"/>
  <c r="R3121" i="1" s="1"/>
  <c r="N3121" i="1"/>
  <c r="Q3121" i="1" s="1"/>
  <c r="M3122" i="1"/>
  <c r="R3122" i="1" s="1"/>
  <c r="N3122" i="1"/>
  <c r="Q3122" i="1" s="1"/>
  <c r="M3123" i="1"/>
  <c r="R3123" i="1" s="1"/>
  <c r="N3123" i="1"/>
  <c r="Q3123" i="1" s="1"/>
  <c r="M3124" i="1"/>
  <c r="R3124" i="1" s="1"/>
  <c r="N3124" i="1"/>
  <c r="Q3124" i="1" s="1"/>
  <c r="M3125" i="1"/>
  <c r="R3125" i="1" s="1"/>
  <c r="N3125" i="1"/>
  <c r="Q3125" i="1" s="1"/>
  <c r="M3126" i="1"/>
  <c r="R3126" i="1" s="1"/>
  <c r="N3126" i="1"/>
  <c r="Q3126" i="1" s="1"/>
  <c r="M3127" i="1"/>
  <c r="R3127" i="1" s="1"/>
  <c r="N3127" i="1"/>
  <c r="Q3127" i="1" s="1"/>
  <c r="M3128" i="1"/>
  <c r="R3128" i="1" s="1"/>
  <c r="N3128" i="1"/>
  <c r="Q3128" i="1" s="1"/>
  <c r="M3129" i="1"/>
  <c r="R3129" i="1" s="1"/>
  <c r="N3129" i="1"/>
  <c r="Q3129" i="1" s="1"/>
  <c r="M3130" i="1"/>
  <c r="R3130" i="1" s="1"/>
  <c r="N3130" i="1"/>
  <c r="Q3130" i="1" s="1"/>
  <c r="M3131" i="1"/>
  <c r="R3131" i="1" s="1"/>
  <c r="N3131" i="1"/>
  <c r="Q3131" i="1" s="1"/>
  <c r="M3132" i="1"/>
  <c r="R3132" i="1" s="1"/>
  <c r="N3132" i="1"/>
  <c r="Q3132" i="1" s="1"/>
  <c r="M3133" i="1"/>
  <c r="R3133" i="1" s="1"/>
  <c r="N3133" i="1"/>
  <c r="Q3133" i="1" s="1"/>
  <c r="M3134" i="1"/>
  <c r="R3134" i="1" s="1"/>
  <c r="N3134" i="1"/>
  <c r="Q3134" i="1" s="1"/>
  <c r="M3135" i="1"/>
  <c r="R3135" i="1" s="1"/>
  <c r="N3135" i="1"/>
  <c r="Q3135" i="1" s="1"/>
  <c r="M3136" i="1"/>
  <c r="R3136" i="1" s="1"/>
  <c r="N3136" i="1"/>
  <c r="Q3136" i="1" s="1"/>
  <c r="M3137" i="1"/>
  <c r="R3137" i="1" s="1"/>
  <c r="N3137" i="1"/>
  <c r="Q3137" i="1" s="1"/>
  <c r="M3138" i="1"/>
  <c r="R3138" i="1" s="1"/>
  <c r="N3138" i="1"/>
  <c r="Q3138" i="1" s="1"/>
  <c r="M3139" i="1"/>
  <c r="R3139" i="1" s="1"/>
  <c r="N3139" i="1"/>
  <c r="Q3139" i="1" s="1"/>
  <c r="M3140" i="1"/>
  <c r="R3140" i="1" s="1"/>
  <c r="N3140" i="1"/>
  <c r="Q3140" i="1" s="1"/>
  <c r="M3141" i="1"/>
  <c r="R3141" i="1" s="1"/>
  <c r="N3141" i="1"/>
  <c r="Q3141" i="1" s="1"/>
  <c r="M3142" i="1"/>
  <c r="R3142" i="1" s="1"/>
  <c r="N3142" i="1"/>
  <c r="Q3142" i="1" s="1"/>
  <c r="M3143" i="1"/>
  <c r="R3143" i="1" s="1"/>
  <c r="N3143" i="1"/>
  <c r="Q3143" i="1" s="1"/>
  <c r="M3144" i="1"/>
  <c r="R3144" i="1" s="1"/>
  <c r="N3144" i="1"/>
  <c r="Q3144" i="1" s="1"/>
  <c r="M3145" i="1"/>
  <c r="R3145" i="1" s="1"/>
  <c r="N3145" i="1"/>
  <c r="Q3145" i="1" s="1"/>
  <c r="M3146" i="1"/>
  <c r="R3146" i="1" s="1"/>
  <c r="N3146" i="1"/>
  <c r="Q3146" i="1" s="1"/>
  <c r="M3147" i="1"/>
  <c r="R3147" i="1" s="1"/>
  <c r="N3147" i="1"/>
  <c r="Q3147" i="1" s="1"/>
  <c r="M3148" i="1"/>
  <c r="R3148" i="1" s="1"/>
  <c r="N3148" i="1"/>
  <c r="Q3148" i="1" s="1"/>
  <c r="M3149" i="1"/>
  <c r="R3149" i="1" s="1"/>
  <c r="N3149" i="1"/>
  <c r="Q3149" i="1" s="1"/>
  <c r="M3150" i="1"/>
  <c r="R3150" i="1" s="1"/>
  <c r="N3150" i="1"/>
  <c r="Q3150" i="1" s="1"/>
  <c r="M3151" i="1"/>
  <c r="R3151" i="1" s="1"/>
  <c r="N3151" i="1"/>
  <c r="Q3151" i="1" s="1"/>
  <c r="M3152" i="1"/>
  <c r="R3152" i="1" s="1"/>
  <c r="N3152" i="1"/>
  <c r="Q3152" i="1" s="1"/>
  <c r="M3153" i="1"/>
  <c r="R3153" i="1" s="1"/>
  <c r="N3153" i="1"/>
  <c r="Q3153" i="1" s="1"/>
  <c r="M3154" i="1"/>
  <c r="R3154" i="1" s="1"/>
  <c r="N3154" i="1"/>
  <c r="Q3154" i="1" s="1"/>
  <c r="M3155" i="1"/>
  <c r="R3155" i="1" s="1"/>
  <c r="N3155" i="1"/>
  <c r="Q3155" i="1" s="1"/>
  <c r="M3156" i="1"/>
  <c r="R3156" i="1" s="1"/>
  <c r="N3156" i="1"/>
  <c r="Q3156" i="1" s="1"/>
  <c r="M3157" i="1"/>
  <c r="R3157" i="1" s="1"/>
  <c r="N3157" i="1"/>
  <c r="Q3157" i="1" s="1"/>
  <c r="M3158" i="1"/>
  <c r="R3158" i="1" s="1"/>
  <c r="N3158" i="1"/>
  <c r="Q3158" i="1" s="1"/>
  <c r="M3159" i="1"/>
  <c r="R3159" i="1" s="1"/>
  <c r="N3159" i="1"/>
  <c r="Q3159" i="1" s="1"/>
  <c r="M3160" i="1"/>
  <c r="R3160" i="1" s="1"/>
  <c r="N3160" i="1"/>
  <c r="Q3160" i="1" s="1"/>
  <c r="M3161" i="1"/>
  <c r="R3161" i="1" s="1"/>
  <c r="N3161" i="1"/>
  <c r="Q3161" i="1" s="1"/>
  <c r="M3162" i="1"/>
  <c r="R3162" i="1" s="1"/>
  <c r="N3162" i="1"/>
  <c r="Q3162" i="1" s="1"/>
  <c r="M3163" i="1"/>
  <c r="R3163" i="1" s="1"/>
  <c r="N3163" i="1"/>
  <c r="Q3163" i="1" s="1"/>
  <c r="M3164" i="1"/>
  <c r="R3164" i="1" s="1"/>
  <c r="N3164" i="1"/>
  <c r="Q3164" i="1" s="1"/>
  <c r="M3165" i="1"/>
  <c r="R3165" i="1" s="1"/>
  <c r="N3165" i="1"/>
  <c r="Q3165" i="1" s="1"/>
  <c r="M3166" i="1"/>
  <c r="R3166" i="1" s="1"/>
  <c r="N3166" i="1"/>
  <c r="Q3166" i="1" s="1"/>
  <c r="M3167" i="1"/>
  <c r="R3167" i="1" s="1"/>
  <c r="N3167" i="1"/>
  <c r="Q3167" i="1" s="1"/>
  <c r="M3168" i="1"/>
  <c r="R3168" i="1" s="1"/>
  <c r="N3168" i="1"/>
  <c r="Q3168" i="1" s="1"/>
  <c r="M3169" i="1"/>
  <c r="R3169" i="1" s="1"/>
  <c r="N3169" i="1"/>
  <c r="Q3169" i="1" s="1"/>
  <c r="M3170" i="1"/>
  <c r="R3170" i="1" s="1"/>
  <c r="N3170" i="1"/>
  <c r="Q3170" i="1" s="1"/>
  <c r="M3171" i="1"/>
  <c r="R3171" i="1" s="1"/>
  <c r="N3171" i="1"/>
  <c r="Q3171" i="1" s="1"/>
  <c r="M3172" i="1"/>
  <c r="R3172" i="1" s="1"/>
  <c r="N3172" i="1"/>
  <c r="Q3172" i="1" s="1"/>
  <c r="M3173" i="1"/>
  <c r="R3173" i="1" s="1"/>
  <c r="N3173" i="1"/>
  <c r="Q3173" i="1" s="1"/>
  <c r="M3174" i="1"/>
  <c r="R3174" i="1" s="1"/>
  <c r="N3174" i="1"/>
  <c r="Q3174" i="1" s="1"/>
  <c r="M3175" i="1"/>
  <c r="R3175" i="1" s="1"/>
  <c r="N3175" i="1"/>
  <c r="Q3175" i="1" s="1"/>
  <c r="M3176" i="1"/>
  <c r="R3176" i="1" s="1"/>
  <c r="N3176" i="1"/>
  <c r="Q3176" i="1" s="1"/>
  <c r="M3177" i="1"/>
  <c r="R3177" i="1" s="1"/>
  <c r="N3177" i="1"/>
  <c r="Q3177" i="1" s="1"/>
  <c r="M3178" i="1"/>
  <c r="R3178" i="1" s="1"/>
  <c r="N3178" i="1"/>
  <c r="Q3178" i="1" s="1"/>
  <c r="M3179" i="1"/>
  <c r="R3179" i="1" s="1"/>
  <c r="N3179" i="1"/>
  <c r="Q3179" i="1" s="1"/>
  <c r="M3180" i="1"/>
  <c r="R3180" i="1" s="1"/>
  <c r="N3180" i="1"/>
  <c r="Q3180" i="1" s="1"/>
  <c r="M3181" i="1"/>
  <c r="R3181" i="1" s="1"/>
  <c r="N3181" i="1"/>
  <c r="Q3181" i="1" s="1"/>
  <c r="M3182" i="1"/>
  <c r="R3182" i="1" s="1"/>
  <c r="N3182" i="1"/>
  <c r="Q3182" i="1" s="1"/>
  <c r="M3183" i="1"/>
  <c r="R3183" i="1" s="1"/>
  <c r="N3183" i="1"/>
  <c r="Q3183" i="1" s="1"/>
  <c r="M3184" i="1"/>
  <c r="R3184" i="1" s="1"/>
  <c r="N3184" i="1"/>
  <c r="Q3184" i="1" s="1"/>
  <c r="M3185" i="1"/>
  <c r="R3185" i="1" s="1"/>
  <c r="N3185" i="1"/>
  <c r="Q3185" i="1" s="1"/>
  <c r="M3186" i="1"/>
  <c r="R3186" i="1" s="1"/>
  <c r="N3186" i="1"/>
  <c r="Q3186" i="1" s="1"/>
  <c r="M3187" i="1"/>
  <c r="R3187" i="1" s="1"/>
  <c r="N3187" i="1"/>
  <c r="Q3187" i="1" s="1"/>
  <c r="M3188" i="1"/>
  <c r="R3188" i="1" s="1"/>
  <c r="N3188" i="1"/>
  <c r="Q3188" i="1" s="1"/>
  <c r="M3189" i="1"/>
  <c r="R3189" i="1" s="1"/>
  <c r="N3189" i="1"/>
  <c r="Q3189" i="1" s="1"/>
  <c r="M3190" i="1"/>
  <c r="R3190" i="1" s="1"/>
  <c r="N3190" i="1"/>
  <c r="Q3190" i="1" s="1"/>
  <c r="M3191" i="1"/>
  <c r="R3191" i="1" s="1"/>
  <c r="N3191" i="1"/>
  <c r="Q3191" i="1" s="1"/>
  <c r="M3192" i="1"/>
  <c r="R3192" i="1" s="1"/>
  <c r="N3192" i="1"/>
  <c r="Q3192" i="1" s="1"/>
  <c r="M3193" i="1"/>
  <c r="R3193" i="1" s="1"/>
  <c r="N3193" i="1"/>
  <c r="Q3193" i="1" s="1"/>
  <c r="M3194" i="1"/>
  <c r="R3194" i="1" s="1"/>
  <c r="N3194" i="1"/>
  <c r="Q3194" i="1" s="1"/>
  <c r="M3195" i="1"/>
  <c r="R3195" i="1" s="1"/>
  <c r="N3195" i="1"/>
  <c r="Q3195" i="1" s="1"/>
  <c r="M3196" i="1"/>
  <c r="R3196" i="1" s="1"/>
  <c r="N3196" i="1"/>
  <c r="Q3196" i="1" s="1"/>
  <c r="M3197" i="1"/>
  <c r="R3197" i="1" s="1"/>
  <c r="N3197" i="1"/>
  <c r="Q3197" i="1" s="1"/>
  <c r="M3198" i="1"/>
  <c r="R3198" i="1" s="1"/>
  <c r="N3198" i="1"/>
  <c r="Q3198" i="1" s="1"/>
  <c r="M3199" i="1"/>
  <c r="R3199" i="1" s="1"/>
  <c r="N3199" i="1"/>
  <c r="Q3199" i="1" s="1"/>
  <c r="M3200" i="1"/>
  <c r="R3200" i="1" s="1"/>
  <c r="N3200" i="1"/>
  <c r="Q3200" i="1" s="1"/>
  <c r="M3201" i="1"/>
  <c r="R3201" i="1" s="1"/>
  <c r="N3201" i="1"/>
  <c r="Q3201" i="1" s="1"/>
  <c r="M3202" i="1"/>
  <c r="R3202" i="1" s="1"/>
  <c r="N3202" i="1"/>
  <c r="Q3202" i="1" s="1"/>
  <c r="M3203" i="1"/>
  <c r="R3203" i="1" s="1"/>
  <c r="N3203" i="1"/>
  <c r="Q3203" i="1" s="1"/>
  <c r="M3204" i="1"/>
  <c r="R3204" i="1" s="1"/>
  <c r="N3204" i="1"/>
  <c r="Q3204" i="1" s="1"/>
  <c r="M3205" i="1"/>
  <c r="R3205" i="1" s="1"/>
  <c r="N3205" i="1"/>
  <c r="Q3205" i="1" s="1"/>
  <c r="M3206" i="1"/>
  <c r="R3206" i="1" s="1"/>
  <c r="N3206" i="1"/>
  <c r="Q3206" i="1" s="1"/>
  <c r="M3207" i="1"/>
  <c r="R3207" i="1" s="1"/>
  <c r="N3207" i="1"/>
  <c r="Q3207" i="1" s="1"/>
  <c r="M3208" i="1"/>
  <c r="R3208" i="1" s="1"/>
  <c r="N3208" i="1"/>
  <c r="Q3208" i="1" s="1"/>
  <c r="M3209" i="1"/>
  <c r="R3209" i="1" s="1"/>
  <c r="N3209" i="1"/>
  <c r="Q3209" i="1" s="1"/>
  <c r="M3210" i="1"/>
  <c r="R3210" i="1" s="1"/>
  <c r="N3210" i="1"/>
  <c r="Q3210" i="1" s="1"/>
  <c r="M3211" i="1"/>
  <c r="R3211" i="1" s="1"/>
  <c r="N3211" i="1"/>
  <c r="Q3211" i="1" s="1"/>
  <c r="M3212" i="1"/>
  <c r="R3212" i="1" s="1"/>
  <c r="N3212" i="1"/>
  <c r="Q3212" i="1" s="1"/>
  <c r="M3213" i="1"/>
  <c r="R3213" i="1" s="1"/>
  <c r="N3213" i="1"/>
  <c r="Q3213" i="1" s="1"/>
  <c r="M3214" i="1"/>
  <c r="R3214" i="1" s="1"/>
  <c r="N3214" i="1"/>
  <c r="Q3214" i="1" s="1"/>
  <c r="M3215" i="1"/>
  <c r="R3215" i="1" s="1"/>
  <c r="N3215" i="1"/>
  <c r="Q3215" i="1" s="1"/>
  <c r="M3216" i="1"/>
  <c r="R3216" i="1" s="1"/>
  <c r="N3216" i="1"/>
  <c r="Q3216" i="1" s="1"/>
  <c r="M3217" i="1"/>
  <c r="R3217" i="1" s="1"/>
  <c r="N3217" i="1"/>
  <c r="Q3217" i="1" s="1"/>
  <c r="M3218" i="1"/>
  <c r="R3218" i="1" s="1"/>
  <c r="N3218" i="1"/>
  <c r="Q3218" i="1" s="1"/>
  <c r="M3219" i="1"/>
  <c r="R3219" i="1" s="1"/>
  <c r="N3219" i="1"/>
  <c r="Q3219" i="1" s="1"/>
  <c r="M3220" i="1"/>
  <c r="R3220" i="1" s="1"/>
  <c r="N3220" i="1"/>
  <c r="Q3220" i="1" s="1"/>
  <c r="M3221" i="1"/>
  <c r="R3221" i="1" s="1"/>
  <c r="N3221" i="1"/>
  <c r="Q3221" i="1" s="1"/>
  <c r="M3222" i="1"/>
  <c r="R3222" i="1" s="1"/>
  <c r="N3222" i="1"/>
  <c r="Q3222" i="1" s="1"/>
  <c r="M3223" i="1"/>
  <c r="R3223" i="1" s="1"/>
  <c r="N3223" i="1"/>
  <c r="Q3223" i="1" s="1"/>
  <c r="M3224" i="1"/>
  <c r="R3224" i="1" s="1"/>
  <c r="N3224" i="1"/>
  <c r="Q3224" i="1" s="1"/>
  <c r="M3225" i="1"/>
  <c r="R3225" i="1" s="1"/>
  <c r="N3225" i="1"/>
  <c r="Q3225" i="1" s="1"/>
  <c r="M3226" i="1"/>
  <c r="R3226" i="1" s="1"/>
  <c r="N3226" i="1"/>
  <c r="Q3226" i="1" s="1"/>
  <c r="M3227" i="1"/>
  <c r="R3227" i="1" s="1"/>
  <c r="N3227" i="1"/>
  <c r="Q3227" i="1" s="1"/>
  <c r="M3228" i="1"/>
  <c r="R3228" i="1" s="1"/>
  <c r="N3228" i="1"/>
  <c r="Q3228" i="1" s="1"/>
  <c r="M3229" i="1"/>
  <c r="R3229" i="1" s="1"/>
  <c r="N3229" i="1"/>
  <c r="Q3229" i="1" s="1"/>
  <c r="M3230" i="1"/>
  <c r="R3230" i="1" s="1"/>
  <c r="N3230" i="1"/>
  <c r="Q3230" i="1" s="1"/>
  <c r="M3231" i="1"/>
  <c r="R3231" i="1" s="1"/>
  <c r="N3231" i="1"/>
  <c r="Q3231" i="1" s="1"/>
  <c r="M3232" i="1"/>
  <c r="R3232" i="1" s="1"/>
  <c r="N3232" i="1"/>
  <c r="Q3232" i="1" s="1"/>
  <c r="M3233" i="1"/>
  <c r="R3233" i="1" s="1"/>
  <c r="N3233" i="1"/>
  <c r="Q3233" i="1" s="1"/>
  <c r="M3234" i="1"/>
  <c r="R3234" i="1" s="1"/>
  <c r="N3234" i="1"/>
  <c r="Q3234" i="1" s="1"/>
  <c r="M3235" i="1"/>
  <c r="R3235" i="1" s="1"/>
  <c r="N3235" i="1"/>
  <c r="Q3235" i="1" s="1"/>
  <c r="M3236" i="1"/>
  <c r="R3236" i="1" s="1"/>
  <c r="N3236" i="1"/>
  <c r="Q3236" i="1" s="1"/>
  <c r="M3237" i="1"/>
  <c r="R3237" i="1" s="1"/>
  <c r="N3237" i="1"/>
  <c r="Q3237" i="1" s="1"/>
  <c r="M3238" i="1"/>
  <c r="R3238" i="1" s="1"/>
  <c r="N3238" i="1"/>
  <c r="Q3238" i="1" s="1"/>
  <c r="M3239" i="1"/>
  <c r="R3239" i="1" s="1"/>
  <c r="N3239" i="1"/>
  <c r="Q3239" i="1" s="1"/>
  <c r="M3240" i="1"/>
  <c r="R3240" i="1" s="1"/>
  <c r="N3240" i="1"/>
  <c r="Q3240" i="1" s="1"/>
  <c r="M3241" i="1"/>
  <c r="R3241" i="1" s="1"/>
  <c r="N3241" i="1"/>
  <c r="Q3241" i="1" s="1"/>
  <c r="M3242" i="1"/>
  <c r="R3242" i="1" s="1"/>
  <c r="N3242" i="1"/>
  <c r="Q3242" i="1" s="1"/>
  <c r="M3243" i="1"/>
  <c r="R3243" i="1" s="1"/>
  <c r="N3243" i="1"/>
  <c r="Q3243" i="1" s="1"/>
  <c r="M3244" i="1"/>
  <c r="R3244" i="1" s="1"/>
  <c r="N3244" i="1"/>
  <c r="Q3244" i="1" s="1"/>
  <c r="M3245" i="1"/>
  <c r="R3245" i="1" s="1"/>
  <c r="N3245" i="1"/>
  <c r="Q3245" i="1" s="1"/>
  <c r="M3246" i="1"/>
  <c r="R3246" i="1" s="1"/>
  <c r="N3246" i="1"/>
  <c r="Q3246" i="1" s="1"/>
  <c r="M3247" i="1"/>
  <c r="R3247" i="1" s="1"/>
  <c r="N3247" i="1"/>
  <c r="Q3247" i="1" s="1"/>
  <c r="M3248" i="1"/>
  <c r="R3248" i="1" s="1"/>
  <c r="N3248" i="1"/>
  <c r="Q3248" i="1" s="1"/>
  <c r="M3249" i="1"/>
  <c r="R3249" i="1" s="1"/>
  <c r="N3249" i="1"/>
  <c r="Q3249" i="1" s="1"/>
  <c r="M3250" i="1"/>
  <c r="R3250" i="1" s="1"/>
  <c r="N3250" i="1"/>
  <c r="Q3250" i="1" s="1"/>
  <c r="M3251" i="1"/>
  <c r="R3251" i="1" s="1"/>
  <c r="N3251" i="1"/>
  <c r="Q3251" i="1" s="1"/>
  <c r="M3252" i="1"/>
  <c r="R3252" i="1" s="1"/>
  <c r="N3252" i="1"/>
  <c r="Q3252" i="1" s="1"/>
  <c r="M3253" i="1"/>
  <c r="R3253" i="1" s="1"/>
  <c r="N3253" i="1"/>
  <c r="Q3253" i="1" s="1"/>
  <c r="M3254" i="1"/>
  <c r="R3254" i="1" s="1"/>
  <c r="N3254" i="1"/>
  <c r="Q3254" i="1" s="1"/>
  <c r="M3255" i="1"/>
  <c r="R3255" i="1" s="1"/>
  <c r="N3255" i="1"/>
  <c r="Q3255" i="1" s="1"/>
  <c r="M3256" i="1"/>
  <c r="R3256" i="1" s="1"/>
  <c r="N3256" i="1"/>
  <c r="Q3256" i="1" s="1"/>
  <c r="M3257" i="1"/>
  <c r="R3257" i="1" s="1"/>
  <c r="N3257" i="1"/>
  <c r="Q3257" i="1" s="1"/>
  <c r="M3258" i="1"/>
  <c r="R3258" i="1" s="1"/>
  <c r="N3258" i="1"/>
  <c r="Q3258" i="1" s="1"/>
  <c r="M3259" i="1"/>
  <c r="R3259" i="1" s="1"/>
  <c r="N3259" i="1"/>
  <c r="Q3259" i="1" s="1"/>
  <c r="M3260" i="1"/>
  <c r="R3260" i="1" s="1"/>
  <c r="N3260" i="1"/>
  <c r="Q3260" i="1" s="1"/>
  <c r="M3261" i="1"/>
  <c r="R3261" i="1" s="1"/>
  <c r="N3261" i="1"/>
  <c r="Q3261" i="1" s="1"/>
  <c r="M3262" i="1"/>
  <c r="R3262" i="1" s="1"/>
  <c r="N3262" i="1"/>
  <c r="Q3262" i="1" s="1"/>
  <c r="M3263" i="1"/>
  <c r="R3263" i="1" s="1"/>
  <c r="N3263" i="1"/>
  <c r="Q3263" i="1" s="1"/>
  <c r="M3264" i="1"/>
  <c r="R3264" i="1" s="1"/>
  <c r="N3264" i="1"/>
  <c r="Q3264" i="1" s="1"/>
  <c r="M3265" i="1"/>
  <c r="R3265" i="1" s="1"/>
  <c r="N3265" i="1"/>
  <c r="Q3265" i="1" s="1"/>
  <c r="M3266" i="1"/>
  <c r="R3266" i="1" s="1"/>
  <c r="N3266" i="1"/>
  <c r="Q3266" i="1" s="1"/>
  <c r="M3267" i="1"/>
  <c r="R3267" i="1" s="1"/>
  <c r="N3267" i="1"/>
  <c r="Q3267" i="1" s="1"/>
  <c r="M3268" i="1"/>
  <c r="R3268" i="1" s="1"/>
  <c r="N3268" i="1"/>
  <c r="Q3268" i="1" s="1"/>
  <c r="M3269" i="1"/>
  <c r="R3269" i="1" s="1"/>
  <c r="N3269" i="1"/>
  <c r="Q3269" i="1" s="1"/>
  <c r="M3270" i="1"/>
  <c r="R3270" i="1" s="1"/>
  <c r="N3270" i="1"/>
  <c r="Q3270" i="1" s="1"/>
  <c r="M3271" i="1"/>
  <c r="R3271" i="1" s="1"/>
  <c r="N3271" i="1"/>
  <c r="Q3271" i="1" s="1"/>
  <c r="M3272" i="1"/>
  <c r="R3272" i="1" s="1"/>
  <c r="N3272" i="1"/>
  <c r="Q3272" i="1" s="1"/>
  <c r="M3273" i="1"/>
  <c r="R3273" i="1" s="1"/>
  <c r="N3273" i="1"/>
  <c r="Q3273" i="1" s="1"/>
  <c r="M3274" i="1"/>
  <c r="R3274" i="1" s="1"/>
  <c r="N3274" i="1"/>
  <c r="Q3274" i="1" s="1"/>
  <c r="M3275" i="1"/>
  <c r="R3275" i="1" s="1"/>
  <c r="N3275" i="1"/>
  <c r="Q3275" i="1" s="1"/>
  <c r="M3276" i="1"/>
  <c r="R3276" i="1" s="1"/>
  <c r="N3276" i="1"/>
  <c r="Q3276" i="1" s="1"/>
  <c r="M3277" i="1"/>
  <c r="R3277" i="1" s="1"/>
  <c r="N3277" i="1"/>
  <c r="Q3277" i="1" s="1"/>
  <c r="M3278" i="1"/>
  <c r="R3278" i="1" s="1"/>
  <c r="N3278" i="1"/>
  <c r="Q3278" i="1" s="1"/>
  <c r="M3279" i="1"/>
  <c r="R3279" i="1" s="1"/>
  <c r="N3279" i="1"/>
  <c r="Q3279" i="1" s="1"/>
  <c r="M3280" i="1"/>
  <c r="R3280" i="1" s="1"/>
  <c r="N3280" i="1"/>
  <c r="Q3280" i="1" s="1"/>
  <c r="M3281" i="1"/>
  <c r="R3281" i="1" s="1"/>
  <c r="N3281" i="1"/>
  <c r="Q3281" i="1" s="1"/>
  <c r="M3282" i="1"/>
  <c r="R3282" i="1" s="1"/>
  <c r="N3282" i="1"/>
  <c r="Q3282" i="1" s="1"/>
  <c r="M3283" i="1"/>
  <c r="R3283" i="1" s="1"/>
  <c r="N3283" i="1"/>
  <c r="Q3283" i="1" s="1"/>
  <c r="M3284" i="1"/>
  <c r="R3284" i="1" s="1"/>
  <c r="N3284" i="1"/>
  <c r="Q3284" i="1" s="1"/>
  <c r="M3285" i="1"/>
  <c r="R3285" i="1" s="1"/>
  <c r="N3285" i="1"/>
  <c r="Q3285" i="1" s="1"/>
  <c r="M3286" i="1"/>
  <c r="R3286" i="1" s="1"/>
  <c r="N3286" i="1"/>
  <c r="Q3286" i="1" s="1"/>
  <c r="M3287" i="1"/>
  <c r="R3287" i="1" s="1"/>
  <c r="N3287" i="1"/>
  <c r="Q3287" i="1" s="1"/>
  <c r="M3288" i="1"/>
  <c r="R3288" i="1" s="1"/>
  <c r="N3288" i="1"/>
  <c r="Q3288" i="1" s="1"/>
  <c r="M3289" i="1"/>
  <c r="R3289" i="1" s="1"/>
  <c r="N3289" i="1"/>
  <c r="Q3289" i="1" s="1"/>
  <c r="M3290" i="1"/>
  <c r="R3290" i="1" s="1"/>
  <c r="N3290" i="1"/>
  <c r="Q3290" i="1" s="1"/>
  <c r="M3291" i="1"/>
  <c r="R3291" i="1" s="1"/>
  <c r="N3291" i="1"/>
  <c r="Q3291" i="1" s="1"/>
  <c r="M3292" i="1"/>
  <c r="R3292" i="1" s="1"/>
  <c r="N3292" i="1"/>
  <c r="Q3292" i="1" s="1"/>
  <c r="M3293" i="1"/>
  <c r="R3293" i="1" s="1"/>
  <c r="N3293" i="1"/>
  <c r="Q3293" i="1" s="1"/>
  <c r="M3294" i="1"/>
  <c r="R3294" i="1" s="1"/>
  <c r="N3294" i="1"/>
  <c r="Q3294" i="1" s="1"/>
  <c r="M3295" i="1"/>
  <c r="R3295" i="1" s="1"/>
  <c r="N3295" i="1"/>
  <c r="Q3295" i="1" s="1"/>
  <c r="M3296" i="1"/>
  <c r="R3296" i="1" s="1"/>
  <c r="N3296" i="1"/>
  <c r="Q3296" i="1" s="1"/>
  <c r="M3297" i="1"/>
  <c r="R3297" i="1" s="1"/>
  <c r="N3297" i="1"/>
  <c r="Q3297" i="1" s="1"/>
  <c r="M3298" i="1"/>
  <c r="R3298" i="1" s="1"/>
  <c r="N3298" i="1"/>
  <c r="Q3298" i="1" s="1"/>
  <c r="M3299" i="1"/>
  <c r="R3299" i="1" s="1"/>
  <c r="N3299" i="1"/>
  <c r="Q3299" i="1" s="1"/>
  <c r="M3300" i="1"/>
  <c r="R3300" i="1" s="1"/>
  <c r="N3300" i="1"/>
  <c r="Q3300" i="1" s="1"/>
  <c r="M3301" i="1"/>
  <c r="R3301" i="1" s="1"/>
  <c r="N3301" i="1"/>
  <c r="Q3301" i="1" s="1"/>
  <c r="M3302" i="1"/>
  <c r="R3302" i="1" s="1"/>
  <c r="N3302" i="1"/>
  <c r="Q3302" i="1" s="1"/>
  <c r="M3303" i="1"/>
  <c r="R3303" i="1" s="1"/>
  <c r="N3303" i="1"/>
  <c r="Q3303" i="1" s="1"/>
  <c r="M3304" i="1"/>
  <c r="R3304" i="1" s="1"/>
  <c r="N3304" i="1"/>
  <c r="Q3304" i="1" s="1"/>
  <c r="M3305" i="1"/>
  <c r="R3305" i="1" s="1"/>
  <c r="N3305" i="1"/>
  <c r="Q3305" i="1" s="1"/>
  <c r="M3306" i="1"/>
  <c r="R3306" i="1" s="1"/>
  <c r="N3306" i="1"/>
  <c r="Q3306" i="1" s="1"/>
  <c r="M3307" i="1"/>
  <c r="R3307" i="1" s="1"/>
  <c r="N3307" i="1"/>
  <c r="Q3307" i="1" s="1"/>
  <c r="M3308" i="1"/>
  <c r="R3308" i="1" s="1"/>
  <c r="N3308" i="1"/>
  <c r="Q3308" i="1" s="1"/>
  <c r="M3309" i="1"/>
  <c r="R3309" i="1" s="1"/>
  <c r="N3309" i="1"/>
  <c r="Q3309" i="1" s="1"/>
  <c r="M3310" i="1"/>
  <c r="R3310" i="1" s="1"/>
  <c r="N3310" i="1"/>
  <c r="Q3310" i="1" s="1"/>
  <c r="M3311" i="1"/>
  <c r="R3311" i="1" s="1"/>
  <c r="N3311" i="1"/>
  <c r="Q3311" i="1" s="1"/>
  <c r="M3312" i="1"/>
  <c r="R3312" i="1" s="1"/>
  <c r="N3312" i="1"/>
  <c r="Q3312" i="1" s="1"/>
  <c r="M3313" i="1"/>
  <c r="R3313" i="1" s="1"/>
  <c r="N3313" i="1"/>
  <c r="Q3313" i="1" s="1"/>
  <c r="M3314" i="1"/>
  <c r="R3314" i="1" s="1"/>
  <c r="N3314" i="1"/>
  <c r="Q3314" i="1" s="1"/>
  <c r="M3315" i="1"/>
  <c r="R3315" i="1" s="1"/>
  <c r="N3315" i="1"/>
  <c r="Q3315" i="1" s="1"/>
  <c r="M3316" i="1"/>
  <c r="R3316" i="1" s="1"/>
  <c r="N3316" i="1"/>
  <c r="Q3316" i="1" s="1"/>
  <c r="M3317" i="1"/>
  <c r="R3317" i="1" s="1"/>
  <c r="N3317" i="1"/>
  <c r="Q3317" i="1" s="1"/>
  <c r="M3318" i="1"/>
  <c r="R3318" i="1" s="1"/>
  <c r="N3318" i="1"/>
  <c r="Q3318" i="1" s="1"/>
  <c r="M3319" i="1"/>
  <c r="R3319" i="1" s="1"/>
  <c r="N3319" i="1"/>
  <c r="Q3319" i="1" s="1"/>
  <c r="M3320" i="1"/>
  <c r="R3320" i="1" s="1"/>
  <c r="N3320" i="1"/>
  <c r="Q3320" i="1" s="1"/>
  <c r="M3321" i="1"/>
  <c r="R3321" i="1" s="1"/>
  <c r="N3321" i="1"/>
  <c r="Q3321" i="1" s="1"/>
  <c r="M3322" i="1"/>
  <c r="R3322" i="1" s="1"/>
  <c r="N3322" i="1"/>
  <c r="Q3322" i="1" s="1"/>
  <c r="M3323" i="1"/>
  <c r="R3323" i="1" s="1"/>
  <c r="N3323" i="1"/>
  <c r="Q3323" i="1" s="1"/>
  <c r="M3324" i="1"/>
  <c r="R3324" i="1" s="1"/>
  <c r="N3324" i="1"/>
  <c r="Q3324" i="1" s="1"/>
  <c r="M3325" i="1"/>
  <c r="R3325" i="1" s="1"/>
  <c r="N3325" i="1"/>
  <c r="Q3325" i="1" s="1"/>
  <c r="M3326" i="1"/>
  <c r="R3326" i="1" s="1"/>
  <c r="N3326" i="1"/>
  <c r="Q3326" i="1" s="1"/>
  <c r="M3327" i="1"/>
  <c r="R3327" i="1" s="1"/>
  <c r="N3327" i="1"/>
  <c r="Q3327" i="1" s="1"/>
  <c r="M3328" i="1"/>
  <c r="R3328" i="1" s="1"/>
  <c r="N3328" i="1"/>
  <c r="Q3328" i="1" s="1"/>
  <c r="M3329" i="1"/>
  <c r="R3329" i="1" s="1"/>
  <c r="N3329" i="1"/>
  <c r="Q3329" i="1" s="1"/>
  <c r="M3330" i="1"/>
  <c r="R3330" i="1" s="1"/>
  <c r="N3330" i="1"/>
  <c r="Q3330" i="1" s="1"/>
  <c r="M3331" i="1"/>
  <c r="R3331" i="1" s="1"/>
  <c r="N3331" i="1"/>
  <c r="Q3331" i="1" s="1"/>
  <c r="M3332" i="1"/>
  <c r="R3332" i="1" s="1"/>
  <c r="N3332" i="1"/>
  <c r="Q3332" i="1" s="1"/>
  <c r="M3333" i="1"/>
  <c r="R3333" i="1" s="1"/>
  <c r="N3333" i="1"/>
  <c r="Q3333" i="1" s="1"/>
  <c r="M3334" i="1"/>
  <c r="R3334" i="1" s="1"/>
  <c r="N3334" i="1"/>
  <c r="Q3334" i="1" s="1"/>
  <c r="M3335" i="1"/>
  <c r="R3335" i="1" s="1"/>
  <c r="N3335" i="1"/>
  <c r="Q3335" i="1" s="1"/>
  <c r="M3336" i="1"/>
  <c r="R3336" i="1" s="1"/>
  <c r="N3336" i="1"/>
  <c r="Q3336" i="1" s="1"/>
  <c r="M3337" i="1"/>
  <c r="R3337" i="1" s="1"/>
  <c r="N3337" i="1"/>
  <c r="Q3337" i="1" s="1"/>
  <c r="M3338" i="1"/>
  <c r="R3338" i="1" s="1"/>
  <c r="N3338" i="1"/>
  <c r="Q3338" i="1" s="1"/>
  <c r="M3339" i="1"/>
  <c r="R3339" i="1" s="1"/>
  <c r="N3339" i="1"/>
  <c r="Q3339" i="1" s="1"/>
  <c r="M3340" i="1"/>
  <c r="R3340" i="1" s="1"/>
  <c r="N3340" i="1"/>
  <c r="Q3340" i="1" s="1"/>
  <c r="M3341" i="1"/>
  <c r="R3341" i="1" s="1"/>
  <c r="N3341" i="1"/>
  <c r="Q3341" i="1" s="1"/>
  <c r="M3342" i="1"/>
  <c r="R3342" i="1" s="1"/>
  <c r="N3342" i="1"/>
  <c r="Q3342" i="1" s="1"/>
  <c r="M3343" i="1"/>
  <c r="R3343" i="1" s="1"/>
  <c r="N3343" i="1"/>
  <c r="Q3343" i="1" s="1"/>
  <c r="M3344" i="1"/>
  <c r="R3344" i="1" s="1"/>
  <c r="N3344" i="1"/>
  <c r="Q3344" i="1" s="1"/>
  <c r="M3345" i="1"/>
  <c r="R3345" i="1" s="1"/>
  <c r="N3345" i="1"/>
  <c r="Q3345" i="1" s="1"/>
  <c r="M3346" i="1"/>
  <c r="R3346" i="1" s="1"/>
  <c r="N3346" i="1"/>
  <c r="Q3346" i="1" s="1"/>
  <c r="M3347" i="1"/>
  <c r="R3347" i="1" s="1"/>
  <c r="N3347" i="1"/>
  <c r="Q3347" i="1" s="1"/>
  <c r="M3348" i="1"/>
  <c r="R3348" i="1" s="1"/>
  <c r="N3348" i="1"/>
  <c r="Q3348" i="1" s="1"/>
  <c r="M3349" i="1"/>
  <c r="R3349" i="1" s="1"/>
  <c r="N3349" i="1"/>
  <c r="Q3349" i="1" s="1"/>
  <c r="M3350" i="1"/>
  <c r="R3350" i="1" s="1"/>
  <c r="N3350" i="1"/>
  <c r="Q3350" i="1" s="1"/>
  <c r="M3351" i="1"/>
  <c r="R3351" i="1" s="1"/>
  <c r="N3351" i="1"/>
  <c r="Q3351" i="1" s="1"/>
  <c r="M3352" i="1"/>
  <c r="R3352" i="1" s="1"/>
  <c r="N3352" i="1"/>
  <c r="Q3352" i="1" s="1"/>
  <c r="M3353" i="1"/>
  <c r="R3353" i="1" s="1"/>
  <c r="N3353" i="1"/>
  <c r="Q3353" i="1" s="1"/>
  <c r="M3354" i="1"/>
  <c r="R3354" i="1" s="1"/>
  <c r="N3354" i="1"/>
  <c r="Q3354" i="1" s="1"/>
  <c r="M3355" i="1"/>
  <c r="R3355" i="1" s="1"/>
  <c r="N3355" i="1"/>
  <c r="Q3355" i="1" s="1"/>
  <c r="M3356" i="1"/>
  <c r="R3356" i="1" s="1"/>
  <c r="N3356" i="1"/>
  <c r="Q3356" i="1" s="1"/>
  <c r="M3357" i="1"/>
  <c r="R3357" i="1" s="1"/>
  <c r="N3357" i="1"/>
  <c r="Q3357" i="1" s="1"/>
  <c r="M3358" i="1"/>
  <c r="R3358" i="1" s="1"/>
  <c r="N3358" i="1"/>
  <c r="Q3358" i="1" s="1"/>
  <c r="M3359" i="1"/>
  <c r="R3359" i="1" s="1"/>
  <c r="N3359" i="1"/>
  <c r="Q3359" i="1" s="1"/>
  <c r="M3360" i="1"/>
  <c r="R3360" i="1" s="1"/>
  <c r="N3360" i="1"/>
  <c r="Q3360" i="1" s="1"/>
  <c r="M3361" i="1"/>
  <c r="R3361" i="1" s="1"/>
  <c r="N3361" i="1"/>
  <c r="Q3361" i="1" s="1"/>
  <c r="M3362" i="1"/>
  <c r="R3362" i="1" s="1"/>
  <c r="N3362" i="1"/>
  <c r="Q3362" i="1" s="1"/>
  <c r="M3363" i="1"/>
  <c r="R3363" i="1" s="1"/>
  <c r="N3363" i="1"/>
  <c r="Q3363" i="1" s="1"/>
  <c r="M3364" i="1"/>
  <c r="R3364" i="1" s="1"/>
  <c r="N3364" i="1"/>
  <c r="Q3364" i="1" s="1"/>
  <c r="M3365" i="1"/>
  <c r="R3365" i="1" s="1"/>
  <c r="N3365" i="1"/>
  <c r="Q3365" i="1" s="1"/>
  <c r="M3366" i="1"/>
  <c r="R3366" i="1" s="1"/>
  <c r="N3366" i="1"/>
  <c r="Q3366" i="1" s="1"/>
  <c r="M3367" i="1"/>
  <c r="R3367" i="1" s="1"/>
  <c r="N3367" i="1"/>
  <c r="Q3367" i="1" s="1"/>
  <c r="M3368" i="1"/>
  <c r="R3368" i="1" s="1"/>
  <c r="N3368" i="1"/>
  <c r="Q3368" i="1" s="1"/>
  <c r="M3369" i="1"/>
  <c r="R3369" i="1" s="1"/>
  <c r="N3369" i="1"/>
  <c r="Q3369" i="1" s="1"/>
  <c r="M3370" i="1"/>
  <c r="R3370" i="1" s="1"/>
  <c r="N3370" i="1"/>
  <c r="Q3370" i="1" s="1"/>
  <c r="M3371" i="1"/>
  <c r="R3371" i="1" s="1"/>
  <c r="N3371" i="1"/>
  <c r="Q3371" i="1" s="1"/>
  <c r="M3372" i="1"/>
  <c r="R3372" i="1" s="1"/>
  <c r="N3372" i="1"/>
  <c r="Q3372" i="1" s="1"/>
  <c r="M3373" i="1"/>
  <c r="R3373" i="1" s="1"/>
  <c r="N3373" i="1"/>
  <c r="Q3373" i="1" s="1"/>
  <c r="M3374" i="1"/>
  <c r="R3374" i="1" s="1"/>
  <c r="N3374" i="1"/>
  <c r="Q3374" i="1" s="1"/>
  <c r="M3375" i="1"/>
  <c r="R3375" i="1" s="1"/>
  <c r="N3375" i="1"/>
  <c r="Q3375" i="1" s="1"/>
  <c r="M3376" i="1"/>
  <c r="R3376" i="1" s="1"/>
  <c r="N3376" i="1"/>
  <c r="Q3376" i="1" s="1"/>
  <c r="M3377" i="1"/>
  <c r="R3377" i="1" s="1"/>
  <c r="N3377" i="1"/>
  <c r="Q3377" i="1" s="1"/>
  <c r="M3378" i="1"/>
  <c r="R3378" i="1" s="1"/>
  <c r="N3378" i="1"/>
  <c r="Q3378" i="1" s="1"/>
  <c r="M3379" i="1"/>
  <c r="R3379" i="1" s="1"/>
  <c r="N3379" i="1"/>
  <c r="Q3379" i="1" s="1"/>
  <c r="M3380" i="1"/>
  <c r="R3380" i="1" s="1"/>
  <c r="N3380" i="1"/>
  <c r="Q3380" i="1" s="1"/>
  <c r="M3381" i="1"/>
  <c r="R3381" i="1" s="1"/>
  <c r="N3381" i="1"/>
  <c r="Q3381" i="1" s="1"/>
  <c r="M3382" i="1"/>
  <c r="R3382" i="1" s="1"/>
  <c r="N3382" i="1"/>
  <c r="Q3382" i="1" s="1"/>
  <c r="M3383" i="1"/>
  <c r="R3383" i="1" s="1"/>
  <c r="N3383" i="1"/>
  <c r="Q3383" i="1" s="1"/>
  <c r="M3384" i="1"/>
  <c r="R3384" i="1" s="1"/>
  <c r="N3384" i="1"/>
  <c r="Q3384" i="1" s="1"/>
  <c r="M3385" i="1"/>
  <c r="R3385" i="1" s="1"/>
  <c r="N3385" i="1"/>
  <c r="Q3385" i="1" s="1"/>
  <c r="M3386" i="1"/>
  <c r="R3386" i="1" s="1"/>
  <c r="N3386" i="1"/>
  <c r="Q3386" i="1" s="1"/>
  <c r="M3387" i="1"/>
  <c r="R3387" i="1" s="1"/>
  <c r="N3387" i="1"/>
  <c r="Q3387" i="1" s="1"/>
  <c r="M3388" i="1"/>
  <c r="R3388" i="1" s="1"/>
  <c r="N3388" i="1"/>
  <c r="Q3388" i="1" s="1"/>
  <c r="M3389" i="1"/>
  <c r="R3389" i="1" s="1"/>
  <c r="N3389" i="1"/>
  <c r="Q3389" i="1" s="1"/>
  <c r="M3390" i="1"/>
  <c r="R3390" i="1" s="1"/>
  <c r="N3390" i="1"/>
  <c r="Q3390" i="1" s="1"/>
  <c r="M3391" i="1"/>
  <c r="R3391" i="1" s="1"/>
  <c r="N3391" i="1"/>
  <c r="Q3391" i="1" s="1"/>
  <c r="M3392" i="1"/>
  <c r="R3392" i="1" s="1"/>
  <c r="N3392" i="1"/>
  <c r="Q3392" i="1" s="1"/>
  <c r="M3393" i="1"/>
  <c r="R3393" i="1" s="1"/>
  <c r="N3393" i="1"/>
  <c r="Q3393" i="1" s="1"/>
  <c r="M3394" i="1"/>
  <c r="R3394" i="1" s="1"/>
  <c r="N3394" i="1"/>
  <c r="Q3394" i="1" s="1"/>
  <c r="M3395" i="1"/>
  <c r="R3395" i="1" s="1"/>
  <c r="N3395" i="1"/>
  <c r="Q3395" i="1" s="1"/>
  <c r="M3396" i="1"/>
  <c r="R3396" i="1" s="1"/>
  <c r="N3396" i="1"/>
  <c r="Q3396" i="1" s="1"/>
  <c r="M3397" i="1"/>
  <c r="R3397" i="1" s="1"/>
  <c r="N3397" i="1"/>
  <c r="Q3397" i="1" s="1"/>
  <c r="M3398" i="1"/>
  <c r="R3398" i="1" s="1"/>
  <c r="N3398" i="1"/>
  <c r="Q3398" i="1" s="1"/>
  <c r="M3399" i="1"/>
  <c r="R3399" i="1" s="1"/>
  <c r="N3399" i="1"/>
  <c r="Q3399" i="1" s="1"/>
  <c r="M3400" i="1"/>
  <c r="R3400" i="1" s="1"/>
  <c r="N3400" i="1"/>
  <c r="Q3400" i="1" s="1"/>
  <c r="M3401" i="1"/>
  <c r="R3401" i="1" s="1"/>
  <c r="N3401" i="1"/>
  <c r="Q3401" i="1" s="1"/>
  <c r="M3402" i="1"/>
  <c r="R3402" i="1" s="1"/>
  <c r="N3402" i="1"/>
  <c r="Q3402" i="1" s="1"/>
  <c r="M3403" i="1"/>
  <c r="R3403" i="1" s="1"/>
  <c r="N3403" i="1"/>
  <c r="Q3403" i="1" s="1"/>
  <c r="M3404" i="1"/>
  <c r="R3404" i="1" s="1"/>
  <c r="N3404" i="1"/>
  <c r="Q3404" i="1" s="1"/>
  <c r="M3405" i="1"/>
  <c r="R3405" i="1" s="1"/>
  <c r="N3405" i="1"/>
  <c r="Q3405" i="1" s="1"/>
  <c r="M3406" i="1"/>
  <c r="R3406" i="1" s="1"/>
  <c r="N3406" i="1"/>
  <c r="Q3406" i="1" s="1"/>
  <c r="M3407" i="1"/>
  <c r="R3407" i="1" s="1"/>
  <c r="N3407" i="1"/>
  <c r="Q3407" i="1" s="1"/>
  <c r="M3408" i="1"/>
  <c r="R3408" i="1" s="1"/>
  <c r="N3408" i="1"/>
  <c r="Q3408" i="1" s="1"/>
  <c r="M3409" i="1"/>
  <c r="R3409" i="1" s="1"/>
  <c r="N3409" i="1"/>
  <c r="Q3409" i="1" s="1"/>
  <c r="M3410" i="1"/>
  <c r="R3410" i="1" s="1"/>
  <c r="N3410" i="1"/>
  <c r="Q3410" i="1" s="1"/>
  <c r="M3411" i="1"/>
  <c r="R3411" i="1" s="1"/>
  <c r="N3411" i="1"/>
  <c r="Q3411" i="1" s="1"/>
  <c r="M3412" i="1"/>
  <c r="R3412" i="1" s="1"/>
  <c r="N3412" i="1"/>
  <c r="Q3412" i="1" s="1"/>
  <c r="M3413" i="1"/>
  <c r="R3413" i="1" s="1"/>
  <c r="N3413" i="1"/>
  <c r="Q3413" i="1" s="1"/>
  <c r="M3414" i="1"/>
  <c r="R3414" i="1" s="1"/>
  <c r="N3414" i="1"/>
  <c r="Q3414" i="1" s="1"/>
  <c r="M3415" i="1"/>
  <c r="R3415" i="1" s="1"/>
  <c r="N3415" i="1"/>
  <c r="Q3415" i="1" s="1"/>
  <c r="M3416" i="1"/>
  <c r="R3416" i="1" s="1"/>
  <c r="N3416" i="1"/>
  <c r="Q3416" i="1" s="1"/>
  <c r="M3417" i="1"/>
  <c r="R3417" i="1" s="1"/>
  <c r="N3417" i="1"/>
  <c r="Q3417" i="1" s="1"/>
  <c r="M3418" i="1"/>
  <c r="R3418" i="1" s="1"/>
  <c r="N3418" i="1"/>
  <c r="Q3418" i="1" s="1"/>
  <c r="M3419" i="1"/>
  <c r="R3419" i="1" s="1"/>
  <c r="N3419" i="1"/>
  <c r="Q3419" i="1" s="1"/>
  <c r="M3420" i="1"/>
  <c r="R3420" i="1" s="1"/>
  <c r="N3420" i="1"/>
  <c r="Q3420" i="1" s="1"/>
  <c r="M3421" i="1"/>
  <c r="R3421" i="1" s="1"/>
  <c r="N3421" i="1"/>
  <c r="Q3421" i="1" s="1"/>
  <c r="M3422" i="1"/>
  <c r="R3422" i="1" s="1"/>
  <c r="N3422" i="1"/>
  <c r="Q3422" i="1" s="1"/>
  <c r="M3423" i="1"/>
  <c r="R3423" i="1" s="1"/>
  <c r="N3423" i="1"/>
  <c r="Q3423" i="1" s="1"/>
  <c r="M3424" i="1"/>
  <c r="R3424" i="1" s="1"/>
  <c r="N3424" i="1"/>
  <c r="Q3424" i="1" s="1"/>
  <c r="M3425" i="1"/>
  <c r="R3425" i="1" s="1"/>
  <c r="N3425" i="1"/>
  <c r="Q3425" i="1" s="1"/>
  <c r="M3426" i="1"/>
  <c r="R3426" i="1" s="1"/>
  <c r="N3426" i="1"/>
  <c r="Q3426" i="1" s="1"/>
  <c r="M3427" i="1"/>
  <c r="R3427" i="1" s="1"/>
  <c r="N3427" i="1"/>
  <c r="Q3427" i="1" s="1"/>
  <c r="M3428" i="1"/>
  <c r="R3428" i="1" s="1"/>
  <c r="N3428" i="1"/>
  <c r="Q3428" i="1" s="1"/>
  <c r="M3429" i="1"/>
  <c r="R3429" i="1" s="1"/>
  <c r="N3429" i="1"/>
  <c r="Q3429" i="1" s="1"/>
  <c r="M3430" i="1"/>
  <c r="R3430" i="1" s="1"/>
  <c r="N3430" i="1"/>
  <c r="Q3430" i="1" s="1"/>
  <c r="M3431" i="1"/>
  <c r="R3431" i="1" s="1"/>
  <c r="N3431" i="1"/>
  <c r="Q3431" i="1" s="1"/>
  <c r="M3432" i="1"/>
  <c r="R3432" i="1" s="1"/>
  <c r="N3432" i="1"/>
  <c r="Q3432" i="1" s="1"/>
  <c r="M3433" i="1"/>
  <c r="R3433" i="1" s="1"/>
  <c r="N3433" i="1"/>
  <c r="Q3433" i="1" s="1"/>
  <c r="M3434" i="1"/>
  <c r="R3434" i="1" s="1"/>
  <c r="N3434" i="1"/>
  <c r="Q3434" i="1" s="1"/>
  <c r="M3435" i="1"/>
  <c r="R3435" i="1" s="1"/>
  <c r="N3435" i="1"/>
  <c r="Q3435" i="1" s="1"/>
  <c r="M3436" i="1"/>
  <c r="R3436" i="1" s="1"/>
  <c r="N3436" i="1"/>
  <c r="Q3436" i="1" s="1"/>
  <c r="M3437" i="1"/>
  <c r="R3437" i="1" s="1"/>
  <c r="N3437" i="1"/>
  <c r="Q3437" i="1" s="1"/>
  <c r="M3438" i="1"/>
  <c r="R3438" i="1" s="1"/>
  <c r="N3438" i="1"/>
  <c r="Q3438" i="1" s="1"/>
  <c r="M3439" i="1"/>
  <c r="R3439" i="1" s="1"/>
  <c r="N3439" i="1"/>
  <c r="Q3439" i="1" s="1"/>
  <c r="M3440" i="1"/>
  <c r="R3440" i="1" s="1"/>
  <c r="N3440" i="1"/>
  <c r="Q3440" i="1" s="1"/>
  <c r="M3441" i="1"/>
  <c r="R3441" i="1" s="1"/>
  <c r="N3441" i="1"/>
  <c r="Q3441" i="1" s="1"/>
  <c r="M3442" i="1"/>
  <c r="R3442" i="1" s="1"/>
  <c r="N3442" i="1"/>
  <c r="Q3442" i="1" s="1"/>
  <c r="M3443" i="1"/>
  <c r="R3443" i="1" s="1"/>
  <c r="N3443" i="1"/>
  <c r="Q3443" i="1" s="1"/>
  <c r="M3444" i="1"/>
  <c r="R3444" i="1" s="1"/>
  <c r="N3444" i="1"/>
  <c r="Q3444" i="1" s="1"/>
  <c r="M3445" i="1"/>
  <c r="R3445" i="1" s="1"/>
  <c r="N3445" i="1"/>
  <c r="Q3445" i="1" s="1"/>
  <c r="M3446" i="1"/>
  <c r="R3446" i="1" s="1"/>
  <c r="N3446" i="1"/>
  <c r="Q3446" i="1" s="1"/>
  <c r="M3447" i="1"/>
  <c r="R3447" i="1" s="1"/>
  <c r="N3447" i="1"/>
  <c r="Q3447" i="1" s="1"/>
  <c r="M3448" i="1"/>
  <c r="R3448" i="1" s="1"/>
  <c r="N3448" i="1"/>
  <c r="Q3448" i="1" s="1"/>
  <c r="M3449" i="1"/>
  <c r="R3449" i="1" s="1"/>
  <c r="N3449" i="1"/>
  <c r="Q3449" i="1" s="1"/>
  <c r="M3450" i="1"/>
  <c r="R3450" i="1" s="1"/>
  <c r="N3450" i="1"/>
  <c r="Q3450" i="1" s="1"/>
  <c r="M3451" i="1"/>
  <c r="R3451" i="1" s="1"/>
  <c r="N3451" i="1"/>
  <c r="Q3451" i="1" s="1"/>
  <c r="M3452" i="1"/>
  <c r="R3452" i="1" s="1"/>
  <c r="N3452" i="1"/>
  <c r="Q3452" i="1" s="1"/>
  <c r="M3453" i="1"/>
  <c r="R3453" i="1" s="1"/>
  <c r="N3453" i="1"/>
  <c r="Q3453" i="1" s="1"/>
  <c r="M3454" i="1"/>
  <c r="R3454" i="1" s="1"/>
  <c r="N3454" i="1"/>
  <c r="Q3454" i="1" s="1"/>
  <c r="M3455" i="1"/>
  <c r="R3455" i="1" s="1"/>
  <c r="N3455" i="1"/>
  <c r="Q3455" i="1" s="1"/>
  <c r="M3456" i="1"/>
  <c r="R3456" i="1" s="1"/>
  <c r="N3456" i="1"/>
  <c r="Q3456" i="1" s="1"/>
  <c r="M3457" i="1"/>
  <c r="R3457" i="1" s="1"/>
  <c r="N3457" i="1"/>
  <c r="Q3457" i="1" s="1"/>
  <c r="M3458" i="1"/>
  <c r="R3458" i="1" s="1"/>
  <c r="N3458" i="1"/>
  <c r="Q3458" i="1" s="1"/>
  <c r="M3459" i="1"/>
  <c r="R3459" i="1" s="1"/>
  <c r="N3459" i="1"/>
  <c r="Q3459" i="1" s="1"/>
  <c r="M3460" i="1"/>
  <c r="R3460" i="1" s="1"/>
  <c r="N3460" i="1"/>
  <c r="Q3460" i="1" s="1"/>
  <c r="M3461" i="1"/>
  <c r="R3461" i="1" s="1"/>
  <c r="N3461" i="1"/>
  <c r="Q3461" i="1" s="1"/>
  <c r="M3462" i="1"/>
  <c r="R3462" i="1" s="1"/>
  <c r="N3462" i="1"/>
  <c r="Q3462" i="1" s="1"/>
  <c r="M3463" i="1"/>
  <c r="R3463" i="1" s="1"/>
  <c r="N3463" i="1"/>
  <c r="Q3463" i="1" s="1"/>
  <c r="M3464" i="1"/>
  <c r="R3464" i="1" s="1"/>
  <c r="N3464" i="1"/>
  <c r="Q3464" i="1" s="1"/>
  <c r="M3465" i="1"/>
  <c r="R3465" i="1" s="1"/>
  <c r="N3465" i="1"/>
  <c r="Q3465" i="1" s="1"/>
  <c r="M3466" i="1"/>
  <c r="R3466" i="1" s="1"/>
  <c r="N3466" i="1"/>
  <c r="Q3466" i="1" s="1"/>
  <c r="M3467" i="1"/>
  <c r="R3467" i="1" s="1"/>
  <c r="N3467" i="1"/>
  <c r="Q3467" i="1" s="1"/>
  <c r="M3468" i="1"/>
  <c r="R3468" i="1" s="1"/>
  <c r="N3468" i="1"/>
  <c r="Q3468" i="1" s="1"/>
  <c r="M3469" i="1"/>
  <c r="R3469" i="1" s="1"/>
  <c r="N3469" i="1"/>
  <c r="Q3469" i="1" s="1"/>
  <c r="M3470" i="1"/>
  <c r="R3470" i="1" s="1"/>
  <c r="N3470" i="1"/>
  <c r="Q3470" i="1" s="1"/>
  <c r="M3471" i="1"/>
  <c r="R3471" i="1" s="1"/>
  <c r="N3471" i="1"/>
  <c r="Q3471" i="1" s="1"/>
  <c r="M3472" i="1"/>
  <c r="R3472" i="1" s="1"/>
  <c r="N3472" i="1"/>
  <c r="Q3472" i="1" s="1"/>
  <c r="M3473" i="1"/>
  <c r="R3473" i="1" s="1"/>
  <c r="N3473" i="1"/>
  <c r="Q3473" i="1" s="1"/>
  <c r="M3474" i="1"/>
  <c r="R3474" i="1" s="1"/>
  <c r="N3474" i="1"/>
  <c r="Q3474" i="1" s="1"/>
  <c r="M3475" i="1"/>
  <c r="R3475" i="1" s="1"/>
  <c r="N3475" i="1"/>
  <c r="Q3475" i="1" s="1"/>
  <c r="M3476" i="1"/>
  <c r="R3476" i="1" s="1"/>
  <c r="N3476" i="1"/>
  <c r="Q3476" i="1" s="1"/>
  <c r="M3477" i="1"/>
  <c r="R3477" i="1" s="1"/>
  <c r="N3477" i="1"/>
  <c r="Q3477" i="1" s="1"/>
  <c r="M3478" i="1"/>
  <c r="R3478" i="1" s="1"/>
  <c r="N3478" i="1"/>
  <c r="Q3478" i="1" s="1"/>
  <c r="M3479" i="1"/>
  <c r="R3479" i="1" s="1"/>
  <c r="N3479" i="1"/>
  <c r="Q3479" i="1" s="1"/>
  <c r="M3480" i="1"/>
  <c r="R3480" i="1" s="1"/>
  <c r="N3480" i="1"/>
  <c r="Q3480" i="1" s="1"/>
  <c r="M3481" i="1"/>
  <c r="R3481" i="1" s="1"/>
  <c r="N3481" i="1"/>
  <c r="Q3481" i="1" s="1"/>
  <c r="M3482" i="1"/>
  <c r="R3482" i="1" s="1"/>
  <c r="N3482" i="1"/>
  <c r="Q3482" i="1" s="1"/>
  <c r="M3483" i="1"/>
  <c r="R3483" i="1" s="1"/>
  <c r="N3483" i="1"/>
  <c r="Q3483" i="1" s="1"/>
  <c r="M3484" i="1"/>
  <c r="R3484" i="1" s="1"/>
  <c r="N3484" i="1"/>
  <c r="Q3484" i="1" s="1"/>
  <c r="M3485" i="1"/>
  <c r="R3485" i="1" s="1"/>
  <c r="N3485" i="1"/>
  <c r="Q3485" i="1" s="1"/>
  <c r="M3486" i="1"/>
  <c r="R3486" i="1" s="1"/>
  <c r="N3486" i="1"/>
  <c r="Q3486" i="1" s="1"/>
  <c r="M3487" i="1"/>
  <c r="R3487" i="1" s="1"/>
  <c r="N3487" i="1"/>
  <c r="Q3487" i="1" s="1"/>
  <c r="M3488" i="1"/>
  <c r="R3488" i="1" s="1"/>
  <c r="N3488" i="1"/>
  <c r="Q3488" i="1" s="1"/>
  <c r="M3489" i="1"/>
  <c r="R3489" i="1" s="1"/>
  <c r="N3489" i="1"/>
  <c r="Q3489" i="1" s="1"/>
  <c r="M3490" i="1"/>
  <c r="R3490" i="1" s="1"/>
  <c r="N3490" i="1"/>
  <c r="Q3490" i="1" s="1"/>
  <c r="M3491" i="1"/>
  <c r="R3491" i="1" s="1"/>
  <c r="N3491" i="1"/>
  <c r="Q3491" i="1" s="1"/>
  <c r="M3492" i="1"/>
  <c r="R3492" i="1" s="1"/>
  <c r="N3492" i="1"/>
  <c r="Q3492" i="1" s="1"/>
  <c r="M3493" i="1"/>
  <c r="R3493" i="1" s="1"/>
  <c r="N3493" i="1"/>
  <c r="Q3493" i="1" s="1"/>
  <c r="M3494" i="1"/>
  <c r="R3494" i="1" s="1"/>
  <c r="N3494" i="1"/>
  <c r="Q3494" i="1" s="1"/>
  <c r="M3495" i="1"/>
  <c r="R3495" i="1" s="1"/>
  <c r="N3495" i="1"/>
  <c r="Q3495" i="1" s="1"/>
  <c r="M3496" i="1"/>
  <c r="R3496" i="1" s="1"/>
  <c r="N3496" i="1"/>
  <c r="Q3496" i="1" s="1"/>
  <c r="M3497" i="1"/>
  <c r="R3497" i="1" s="1"/>
  <c r="N3497" i="1"/>
  <c r="Q3497" i="1" s="1"/>
  <c r="M3498" i="1"/>
  <c r="R3498" i="1" s="1"/>
  <c r="N3498" i="1"/>
  <c r="Q3498" i="1" s="1"/>
  <c r="M3499" i="1"/>
  <c r="R3499" i="1" s="1"/>
  <c r="N3499" i="1"/>
  <c r="Q3499" i="1" s="1"/>
  <c r="M3500" i="1"/>
  <c r="R3500" i="1" s="1"/>
  <c r="N3500" i="1"/>
  <c r="Q3500" i="1" s="1"/>
  <c r="M3501" i="1"/>
  <c r="R3501" i="1" s="1"/>
  <c r="N3501" i="1"/>
  <c r="Q3501" i="1" s="1"/>
  <c r="M3502" i="1"/>
  <c r="R3502" i="1" s="1"/>
  <c r="N3502" i="1"/>
  <c r="Q3502" i="1" s="1"/>
  <c r="M3503" i="1"/>
  <c r="R3503" i="1" s="1"/>
  <c r="N3503" i="1"/>
  <c r="Q3503" i="1" s="1"/>
  <c r="M3504" i="1"/>
  <c r="R3504" i="1" s="1"/>
  <c r="N3504" i="1"/>
  <c r="Q3504" i="1" s="1"/>
  <c r="M3505" i="1"/>
  <c r="R3505" i="1" s="1"/>
  <c r="N3505" i="1"/>
  <c r="Q3505" i="1" s="1"/>
  <c r="M3506" i="1"/>
  <c r="R3506" i="1" s="1"/>
  <c r="N3506" i="1"/>
  <c r="Q3506" i="1" s="1"/>
  <c r="M3507" i="1"/>
  <c r="R3507" i="1" s="1"/>
  <c r="N3507" i="1"/>
  <c r="Q3507" i="1" s="1"/>
  <c r="M3508" i="1"/>
  <c r="R3508" i="1" s="1"/>
  <c r="N3508" i="1"/>
  <c r="Q3508" i="1" s="1"/>
  <c r="M3509" i="1"/>
  <c r="R3509" i="1" s="1"/>
  <c r="N3509" i="1"/>
  <c r="Q3509" i="1" s="1"/>
  <c r="M3510" i="1"/>
  <c r="R3510" i="1" s="1"/>
  <c r="N3510" i="1"/>
  <c r="Q3510" i="1" s="1"/>
  <c r="M3511" i="1"/>
  <c r="R3511" i="1" s="1"/>
  <c r="N3511" i="1"/>
  <c r="Q3511" i="1" s="1"/>
  <c r="M3512" i="1"/>
  <c r="R3512" i="1" s="1"/>
  <c r="N3512" i="1"/>
  <c r="Q3512" i="1" s="1"/>
  <c r="M3513" i="1"/>
  <c r="R3513" i="1" s="1"/>
  <c r="N3513" i="1"/>
  <c r="Q3513" i="1" s="1"/>
  <c r="M3514" i="1"/>
  <c r="R3514" i="1" s="1"/>
  <c r="N3514" i="1"/>
  <c r="Q3514" i="1" s="1"/>
  <c r="M3515" i="1"/>
  <c r="R3515" i="1" s="1"/>
  <c r="N3515" i="1"/>
  <c r="Q3515" i="1" s="1"/>
  <c r="M3516" i="1"/>
  <c r="R3516" i="1" s="1"/>
  <c r="N3516" i="1"/>
  <c r="Q3516" i="1" s="1"/>
  <c r="M3517" i="1"/>
  <c r="R3517" i="1" s="1"/>
  <c r="N3517" i="1"/>
  <c r="Q3517" i="1" s="1"/>
  <c r="M3518" i="1"/>
  <c r="R3518" i="1" s="1"/>
  <c r="N3518" i="1"/>
  <c r="Q3518" i="1" s="1"/>
  <c r="M3519" i="1"/>
  <c r="R3519" i="1" s="1"/>
  <c r="N3519" i="1"/>
  <c r="Q3519" i="1" s="1"/>
  <c r="M3520" i="1"/>
  <c r="R3520" i="1" s="1"/>
  <c r="N3520" i="1"/>
  <c r="Q3520" i="1" s="1"/>
  <c r="M3521" i="1"/>
  <c r="R3521" i="1" s="1"/>
  <c r="N3521" i="1"/>
  <c r="Q3521" i="1" s="1"/>
  <c r="M3522" i="1"/>
  <c r="R3522" i="1" s="1"/>
  <c r="N3522" i="1"/>
  <c r="Q3522" i="1" s="1"/>
  <c r="M3523" i="1"/>
  <c r="R3523" i="1" s="1"/>
  <c r="N3523" i="1"/>
  <c r="Q3523" i="1" s="1"/>
  <c r="M3524" i="1"/>
  <c r="R3524" i="1" s="1"/>
  <c r="N3524" i="1"/>
  <c r="Q3524" i="1" s="1"/>
  <c r="M3525" i="1"/>
  <c r="R3525" i="1" s="1"/>
  <c r="N3525" i="1"/>
  <c r="Q3525" i="1" s="1"/>
  <c r="M3526" i="1"/>
  <c r="R3526" i="1" s="1"/>
  <c r="N3526" i="1"/>
  <c r="Q3526" i="1" s="1"/>
  <c r="M3527" i="1"/>
  <c r="R3527" i="1" s="1"/>
  <c r="N3527" i="1"/>
  <c r="Q3527" i="1" s="1"/>
  <c r="M3528" i="1"/>
  <c r="R3528" i="1" s="1"/>
  <c r="N3528" i="1"/>
  <c r="Q3528" i="1" s="1"/>
  <c r="M3529" i="1"/>
  <c r="R3529" i="1" s="1"/>
  <c r="N3529" i="1"/>
  <c r="Q3529" i="1" s="1"/>
  <c r="M3530" i="1"/>
  <c r="R3530" i="1" s="1"/>
  <c r="N3530" i="1"/>
  <c r="Q3530" i="1" s="1"/>
  <c r="M3531" i="1"/>
  <c r="R3531" i="1" s="1"/>
  <c r="N3531" i="1"/>
  <c r="Q3531" i="1" s="1"/>
  <c r="M3532" i="1"/>
  <c r="R3532" i="1" s="1"/>
  <c r="N3532" i="1"/>
  <c r="Q3532" i="1" s="1"/>
  <c r="M3533" i="1"/>
  <c r="R3533" i="1" s="1"/>
  <c r="N3533" i="1"/>
  <c r="Q3533" i="1" s="1"/>
  <c r="M3534" i="1"/>
  <c r="R3534" i="1" s="1"/>
  <c r="N3534" i="1"/>
  <c r="Q3534" i="1" s="1"/>
  <c r="M3535" i="1"/>
  <c r="R3535" i="1" s="1"/>
  <c r="N3535" i="1"/>
  <c r="Q3535" i="1" s="1"/>
  <c r="M3536" i="1"/>
  <c r="R3536" i="1" s="1"/>
  <c r="N3536" i="1"/>
  <c r="Q3536" i="1" s="1"/>
  <c r="M3537" i="1"/>
  <c r="R3537" i="1" s="1"/>
  <c r="N3537" i="1"/>
  <c r="Q3537" i="1" s="1"/>
  <c r="M3538" i="1"/>
  <c r="R3538" i="1" s="1"/>
  <c r="N3538" i="1"/>
  <c r="Q3538" i="1" s="1"/>
  <c r="M3539" i="1"/>
  <c r="R3539" i="1" s="1"/>
  <c r="N3539" i="1"/>
  <c r="Q3539" i="1" s="1"/>
  <c r="M3540" i="1"/>
  <c r="R3540" i="1" s="1"/>
  <c r="N3540" i="1"/>
  <c r="Q3540" i="1" s="1"/>
  <c r="M3541" i="1"/>
  <c r="R3541" i="1" s="1"/>
  <c r="N3541" i="1"/>
  <c r="Q3541" i="1" s="1"/>
  <c r="M3542" i="1"/>
  <c r="R3542" i="1" s="1"/>
  <c r="N3542" i="1"/>
  <c r="Q3542" i="1" s="1"/>
  <c r="M3543" i="1"/>
  <c r="R3543" i="1" s="1"/>
  <c r="N3543" i="1"/>
  <c r="Q3543" i="1" s="1"/>
  <c r="M3544" i="1"/>
  <c r="R3544" i="1" s="1"/>
  <c r="N3544" i="1"/>
  <c r="Q3544" i="1" s="1"/>
  <c r="M3545" i="1"/>
  <c r="R3545" i="1" s="1"/>
  <c r="N3545" i="1"/>
  <c r="Q3545" i="1" s="1"/>
  <c r="M3546" i="1"/>
  <c r="R3546" i="1" s="1"/>
  <c r="N3546" i="1"/>
  <c r="Q3546" i="1" s="1"/>
  <c r="M3547" i="1"/>
  <c r="R3547" i="1" s="1"/>
  <c r="N3547" i="1"/>
  <c r="Q3547" i="1" s="1"/>
  <c r="M3548" i="1"/>
  <c r="R3548" i="1" s="1"/>
  <c r="N3548" i="1"/>
  <c r="Q3548" i="1" s="1"/>
  <c r="M3549" i="1"/>
  <c r="R3549" i="1" s="1"/>
  <c r="N3549" i="1"/>
  <c r="Q3549" i="1" s="1"/>
  <c r="M3550" i="1"/>
  <c r="R3550" i="1" s="1"/>
  <c r="N3550" i="1"/>
  <c r="Q3550" i="1" s="1"/>
  <c r="M3551" i="1"/>
  <c r="R3551" i="1" s="1"/>
  <c r="N3551" i="1"/>
  <c r="Q3551" i="1" s="1"/>
  <c r="M3552" i="1"/>
  <c r="R3552" i="1" s="1"/>
  <c r="N3552" i="1"/>
  <c r="Q3552" i="1" s="1"/>
  <c r="M3553" i="1"/>
  <c r="R3553" i="1" s="1"/>
  <c r="N3553" i="1"/>
  <c r="Q3553" i="1" s="1"/>
  <c r="M3554" i="1"/>
  <c r="R3554" i="1" s="1"/>
  <c r="N3554" i="1"/>
  <c r="Q3554" i="1" s="1"/>
  <c r="M3555" i="1"/>
  <c r="R3555" i="1" s="1"/>
  <c r="N3555" i="1"/>
  <c r="Q3555" i="1" s="1"/>
  <c r="M3556" i="1"/>
  <c r="R3556" i="1" s="1"/>
  <c r="N3556" i="1"/>
  <c r="Q3556" i="1" s="1"/>
  <c r="M3557" i="1"/>
  <c r="R3557" i="1" s="1"/>
  <c r="N3557" i="1"/>
  <c r="Q3557" i="1" s="1"/>
  <c r="M3558" i="1"/>
  <c r="R3558" i="1" s="1"/>
  <c r="N3558" i="1"/>
  <c r="Q3558" i="1" s="1"/>
  <c r="M3559" i="1"/>
  <c r="R3559" i="1" s="1"/>
  <c r="N3559" i="1"/>
  <c r="Q3559" i="1" s="1"/>
  <c r="M3560" i="1"/>
  <c r="R3560" i="1" s="1"/>
  <c r="N3560" i="1"/>
  <c r="Q3560" i="1" s="1"/>
  <c r="M3561" i="1"/>
  <c r="R3561" i="1" s="1"/>
  <c r="N3561" i="1"/>
  <c r="Q3561" i="1" s="1"/>
  <c r="M3562" i="1"/>
  <c r="R3562" i="1" s="1"/>
  <c r="N3562" i="1"/>
  <c r="Q3562" i="1" s="1"/>
  <c r="M3563" i="1"/>
  <c r="R3563" i="1" s="1"/>
  <c r="N3563" i="1"/>
  <c r="Q3563" i="1" s="1"/>
  <c r="M3564" i="1"/>
  <c r="R3564" i="1" s="1"/>
  <c r="N3564" i="1"/>
  <c r="Q3564" i="1" s="1"/>
  <c r="M3565" i="1"/>
  <c r="R3565" i="1" s="1"/>
  <c r="N3565" i="1"/>
  <c r="Q3565" i="1" s="1"/>
  <c r="M3566" i="1"/>
  <c r="R3566" i="1" s="1"/>
  <c r="N3566" i="1"/>
  <c r="Q3566" i="1" s="1"/>
  <c r="M3567" i="1"/>
  <c r="R3567" i="1" s="1"/>
  <c r="N3567" i="1"/>
  <c r="Q3567" i="1" s="1"/>
  <c r="M3568" i="1"/>
  <c r="R3568" i="1" s="1"/>
  <c r="N3568" i="1"/>
  <c r="Q3568" i="1" s="1"/>
  <c r="M3569" i="1"/>
  <c r="R3569" i="1" s="1"/>
  <c r="N3569" i="1"/>
  <c r="Q3569" i="1" s="1"/>
  <c r="M3570" i="1"/>
  <c r="R3570" i="1" s="1"/>
  <c r="N3570" i="1"/>
  <c r="Q3570" i="1" s="1"/>
  <c r="M3571" i="1"/>
  <c r="R3571" i="1" s="1"/>
  <c r="N3571" i="1"/>
  <c r="Q3571" i="1" s="1"/>
  <c r="M3572" i="1"/>
  <c r="R3572" i="1" s="1"/>
  <c r="N3572" i="1"/>
  <c r="Q3572" i="1" s="1"/>
  <c r="Q3" i="1"/>
  <c r="R3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S520" i="1" l="1"/>
  <c r="P520" i="1"/>
  <c r="S519" i="1"/>
  <c r="P519" i="1"/>
  <c r="S518" i="1"/>
  <c r="P518" i="1"/>
  <c r="S517" i="1"/>
  <c r="P517" i="1"/>
  <c r="S516" i="1"/>
  <c r="P516" i="1"/>
  <c r="S515" i="1"/>
  <c r="P515" i="1"/>
  <c r="S514" i="1"/>
  <c r="P514" i="1"/>
  <c r="S513" i="1"/>
  <c r="P513" i="1"/>
  <c r="S512" i="1"/>
  <c r="P512" i="1"/>
  <c r="S511" i="1"/>
  <c r="P511" i="1"/>
  <c r="S510" i="1"/>
  <c r="P510" i="1"/>
  <c r="S509" i="1"/>
  <c r="P509" i="1"/>
  <c r="S508" i="1"/>
  <c r="P508" i="1"/>
  <c r="S507" i="1"/>
  <c r="P507" i="1"/>
  <c r="S506" i="1"/>
  <c r="P506" i="1"/>
  <c r="S505" i="1"/>
  <c r="P505" i="1"/>
  <c r="S504" i="1"/>
  <c r="P504" i="1"/>
  <c r="S503" i="1"/>
  <c r="P503" i="1"/>
  <c r="S502" i="1"/>
  <c r="P502" i="1"/>
  <c r="S501" i="1"/>
  <c r="P501" i="1"/>
  <c r="S500" i="1"/>
  <c r="P500" i="1"/>
  <c r="S499" i="1"/>
  <c r="P499" i="1"/>
  <c r="S498" i="1"/>
  <c r="P498" i="1"/>
  <c r="S497" i="1"/>
  <c r="P497" i="1"/>
  <c r="S496" i="1"/>
  <c r="P496" i="1"/>
  <c r="S495" i="1"/>
  <c r="P495" i="1"/>
  <c r="S494" i="1"/>
  <c r="P494" i="1"/>
  <c r="S493" i="1"/>
  <c r="P493" i="1"/>
  <c r="S492" i="1"/>
  <c r="P492" i="1"/>
  <c r="S491" i="1"/>
  <c r="P491" i="1"/>
  <c r="S490" i="1"/>
  <c r="P490" i="1"/>
  <c r="S489" i="1"/>
  <c r="P489" i="1"/>
  <c r="S488" i="1"/>
  <c r="P488" i="1"/>
  <c r="S487" i="1"/>
  <c r="P487" i="1"/>
  <c r="S486" i="1"/>
  <c r="P486" i="1"/>
  <c r="S485" i="1"/>
  <c r="P485" i="1"/>
  <c r="S484" i="1"/>
  <c r="P484" i="1"/>
  <c r="S483" i="1"/>
  <c r="P483" i="1"/>
  <c r="S482" i="1"/>
  <c r="P482" i="1"/>
  <c r="S481" i="1"/>
  <c r="P481" i="1"/>
  <c r="S480" i="1"/>
  <c r="P480" i="1"/>
  <c r="S479" i="1"/>
  <c r="P479" i="1"/>
  <c r="S478" i="1"/>
  <c r="P478" i="1"/>
  <c r="S477" i="1"/>
  <c r="P477" i="1"/>
  <c r="S476" i="1"/>
  <c r="P476" i="1"/>
  <c r="S475" i="1"/>
  <c r="P475" i="1"/>
  <c r="S474" i="1"/>
  <c r="P474" i="1"/>
  <c r="S473" i="1"/>
  <c r="P473" i="1"/>
  <c r="S472" i="1"/>
  <c r="P472" i="1"/>
  <c r="S471" i="1"/>
  <c r="P471" i="1"/>
  <c r="S470" i="1"/>
  <c r="P470" i="1"/>
  <c r="S469" i="1"/>
  <c r="P469" i="1"/>
  <c r="S468" i="1"/>
  <c r="P468" i="1"/>
  <c r="S467" i="1"/>
  <c r="P467" i="1"/>
  <c r="S466" i="1"/>
  <c r="P466" i="1"/>
  <c r="S465" i="1"/>
  <c r="P465" i="1"/>
  <c r="S464" i="1"/>
  <c r="P464" i="1"/>
  <c r="S463" i="1"/>
  <c r="P463" i="1"/>
  <c r="S462" i="1"/>
  <c r="P462" i="1"/>
  <c r="S461" i="1"/>
  <c r="P461" i="1"/>
  <c r="S460" i="1"/>
  <c r="P460" i="1"/>
  <c r="S459" i="1"/>
  <c r="P459" i="1"/>
  <c r="S458" i="1"/>
  <c r="P458" i="1"/>
  <c r="S457" i="1"/>
  <c r="P457" i="1"/>
  <c r="S456" i="1"/>
  <c r="P456" i="1"/>
  <c r="S455" i="1"/>
  <c r="P455" i="1"/>
  <c r="S454" i="1"/>
  <c r="P454" i="1"/>
  <c r="S453" i="1"/>
  <c r="P453" i="1"/>
  <c r="S452" i="1"/>
  <c r="P452" i="1"/>
  <c r="S451" i="1"/>
  <c r="P451" i="1"/>
  <c r="S450" i="1"/>
  <c r="P450" i="1"/>
  <c r="S449" i="1"/>
  <c r="P449" i="1"/>
  <c r="S448" i="1"/>
  <c r="P448" i="1"/>
  <c r="S447" i="1"/>
  <c r="P447" i="1"/>
  <c r="S446" i="1"/>
  <c r="P446" i="1"/>
  <c r="S445" i="1"/>
  <c r="P445" i="1"/>
  <c r="S444" i="1"/>
  <c r="P444" i="1"/>
  <c r="S443" i="1"/>
  <c r="P443" i="1"/>
  <c r="S442" i="1"/>
  <c r="P442" i="1"/>
  <c r="S441" i="1"/>
  <c r="P441" i="1"/>
  <c r="S440" i="1"/>
  <c r="P440" i="1"/>
  <c r="S439" i="1"/>
  <c r="P439" i="1"/>
  <c r="S438" i="1"/>
  <c r="P438" i="1"/>
  <c r="S437" i="1"/>
  <c r="P437" i="1"/>
  <c r="S436" i="1"/>
  <c r="P436" i="1"/>
  <c r="S435" i="1"/>
  <c r="P435" i="1"/>
  <c r="S434" i="1"/>
  <c r="P434" i="1"/>
  <c r="S433" i="1"/>
  <c r="P433" i="1"/>
  <c r="S432" i="1"/>
  <c r="P432" i="1"/>
  <c r="S431" i="1"/>
  <c r="P431" i="1"/>
  <c r="S430" i="1"/>
  <c r="P430" i="1"/>
  <c r="S429" i="1"/>
  <c r="P429" i="1"/>
  <c r="S428" i="1"/>
  <c r="P428" i="1"/>
  <c r="S427" i="1"/>
  <c r="P427" i="1"/>
  <c r="S426" i="1"/>
  <c r="P426" i="1"/>
  <c r="S425" i="1"/>
  <c r="P425" i="1"/>
  <c r="S424" i="1"/>
  <c r="P424" i="1"/>
  <c r="S423" i="1"/>
  <c r="P423" i="1"/>
  <c r="S422" i="1"/>
  <c r="P422" i="1"/>
  <c r="S421" i="1"/>
  <c r="P421" i="1"/>
  <c r="S420" i="1"/>
  <c r="P420" i="1"/>
  <c r="S419" i="1"/>
  <c r="P419" i="1"/>
  <c r="S418" i="1"/>
  <c r="P418" i="1"/>
  <c r="S417" i="1"/>
  <c r="P417" i="1"/>
  <c r="S416" i="1"/>
  <c r="P416" i="1"/>
  <c r="S415" i="1"/>
  <c r="P415" i="1"/>
  <c r="S414" i="1"/>
  <c r="P414" i="1"/>
  <c r="S413" i="1"/>
  <c r="P413" i="1"/>
  <c r="S412" i="1"/>
  <c r="P412" i="1"/>
  <c r="S411" i="1"/>
  <c r="P411" i="1"/>
  <c r="S410" i="1"/>
  <c r="P410" i="1"/>
  <c r="S409" i="1"/>
  <c r="P409" i="1"/>
  <c r="S408" i="1"/>
  <c r="P408" i="1"/>
  <c r="S407" i="1"/>
  <c r="P407" i="1"/>
  <c r="S406" i="1"/>
  <c r="P406" i="1"/>
  <c r="S405" i="1"/>
  <c r="P405" i="1"/>
  <c r="S404" i="1"/>
  <c r="P404" i="1"/>
  <c r="S403" i="1"/>
  <c r="P403" i="1"/>
  <c r="S402" i="1"/>
  <c r="P402" i="1"/>
  <c r="S401" i="1"/>
  <c r="P401" i="1"/>
  <c r="S400" i="1"/>
  <c r="P400" i="1"/>
  <c r="S399" i="1"/>
  <c r="P399" i="1"/>
  <c r="S398" i="1"/>
  <c r="P398" i="1"/>
  <c r="S397" i="1"/>
  <c r="P397" i="1"/>
  <c r="S396" i="1"/>
  <c r="P396" i="1"/>
  <c r="S395" i="1"/>
  <c r="P395" i="1"/>
  <c r="S394" i="1"/>
  <c r="P394" i="1"/>
  <c r="S393" i="1"/>
  <c r="P393" i="1"/>
  <c r="S392" i="1"/>
  <c r="P392" i="1"/>
  <c r="S391" i="1"/>
  <c r="P391" i="1"/>
  <c r="S390" i="1"/>
  <c r="P390" i="1"/>
  <c r="S389" i="1"/>
  <c r="P389" i="1"/>
  <c r="S388" i="1"/>
  <c r="P388" i="1"/>
  <c r="S387" i="1"/>
  <c r="P387" i="1"/>
  <c r="S386" i="1"/>
  <c r="P386" i="1"/>
  <c r="S385" i="1"/>
  <c r="P385" i="1"/>
  <c r="S384" i="1"/>
  <c r="P384" i="1"/>
  <c r="S383" i="1"/>
  <c r="P383" i="1"/>
  <c r="S382" i="1"/>
  <c r="P382" i="1"/>
  <c r="S381" i="1"/>
  <c r="P381" i="1"/>
  <c r="S380" i="1"/>
  <c r="P380" i="1"/>
  <c r="S379" i="1"/>
  <c r="P379" i="1"/>
  <c r="S378" i="1"/>
  <c r="P378" i="1"/>
  <c r="S377" i="1"/>
  <c r="P377" i="1"/>
  <c r="S376" i="1"/>
  <c r="P376" i="1"/>
  <c r="S375" i="1"/>
  <c r="P375" i="1"/>
  <c r="S374" i="1"/>
  <c r="P374" i="1"/>
  <c r="S373" i="1"/>
  <c r="P373" i="1"/>
  <c r="S372" i="1"/>
  <c r="P372" i="1"/>
  <c r="S371" i="1"/>
  <c r="P371" i="1"/>
  <c r="S370" i="1"/>
  <c r="P370" i="1"/>
  <c r="S369" i="1"/>
  <c r="P369" i="1"/>
  <c r="S368" i="1"/>
  <c r="P368" i="1"/>
  <c r="S367" i="1"/>
  <c r="P367" i="1"/>
  <c r="S366" i="1"/>
  <c r="P366" i="1"/>
  <c r="S365" i="1"/>
  <c r="P365" i="1"/>
  <c r="S364" i="1"/>
  <c r="P364" i="1"/>
  <c r="S363" i="1"/>
  <c r="P363" i="1"/>
  <c r="S362" i="1"/>
  <c r="P362" i="1"/>
  <c r="S361" i="1"/>
  <c r="P361" i="1"/>
  <c r="S360" i="1"/>
  <c r="P360" i="1"/>
  <c r="S359" i="1"/>
  <c r="P359" i="1"/>
  <c r="S358" i="1"/>
  <c r="P358" i="1"/>
  <c r="S357" i="1"/>
  <c r="P357" i="1"/>
  <c r="S356" i="1"/>
  <c r="P356" i="1"/>
  <c r="S355" i="1"/>
  <c r="P355" i="1"/>
  <c r="S354" i="1"/>
  <c r="P354" i="1"/>
  <c r="S353" i="1"/>
  <c r="P353" i="1"/>
  <c r="S352" i="1"/>
  <c r="P352" i="1"/>
  <c r="S351" i="1"/>
  <c r="P351" i="1"/>
  <c r="S350" i="1"/>
  <c r="P350" i="1"/>
  <c r="S349" i="1"/>
  <c r="P349" i="1"/>
  <c r="S348" i="1"/>
  <c r="P348" i="1"/>
  <c r="S347" i="1"/>
  <c r="P347" i="1"/>
  <c r="S346" i="1"/>
  <c r="P346" i="1"/>
  <c r="S345" i="1"/>
  <c r="P345" i="1"/>
  <c r="S344" i="1"/>
  <c r="P344" i="1"/>
  <c r="S343" i="1"/>
  <c r="P343" i="1"/>
  <c r="S342" i="1"/>
  <c r="P342" i="1"/>
  <c r="S341" i="1"/>
  <c r="P341" i="1"/>
  <c r="S340" i="1"/>
  <c r="P340" i="1"/>
  <c r="S339" i="1"/>
  <c r="P339" i="1"/>
  <c r="S338" i="1"/>
  <c r="P338" i="1"/>
  <c r="S337" i="1"/>
  <c r="P337" i="1"/>
  <c r="S336" i="1"/>
  <c r="P336" i="1"/>
  <c r="S335" i="1"/>
  <c r="P335" i="1"/>
  <c r="S334" i="1"/>
  <c r="P334" i="1"/>
  <c r="S333" i="1"/>
  <c r="P333" i="1"/>
  <c r="S332" i="1"/>
  <c r="P332" i="1"/>
  <c r="S331" i="1"/>
  <c r="P331" i="1"/>
  <c r="S330" i="1"/>
  <c r="P330" i="1"/>
  <c r="S329" i="1"/>
  <c r="P329" i="1"/>
  <c r="S328" i="1"/>
  <c r="P328" i="1"/>
  <c r="S327" i="1"/>
  <c r="P327" i="1"/>
  <c r="S326" i="1"/>
  <c r="P326" i="1"/>
  <c r="S325" i="1"/>
  <c r="P325" i="1"/>
  <c r="S324" i="1"/>
  <c r="P324" i="1"/>
  <c r="S323" i="1"/>
  <c r="P323" i="1"/>
  <c r="S322" i="1"/>
  <c r="P322" i="1"/>
  <c r="S321" i="1"/>
  <c r="P321" i="1"/>
  <c r="S320" i="1"/>
  <c r="P320" i="1"/>
  <c r="S319" i="1"/>
  <c r="P319" i="1"/>
  <c r="S318" i="1"/>
  <c r="P318" i="1"/>
  <c r="S317" i="1"/>
  <c r="P317" i="1"/>
  <c r="S316" i="1"/>
  <c r="P316" i="1"/>
  <c r="S315" i="1"/>
  <c r="P315" i="1"/>
  <c r="S314" i="1"/>
  <c r="P314" i="1"/>
  <c r="S313" i="1"/>
  <c r="P313" i="1"/>
  <c r="S312" i="1"/>
  <c r="P312" i="1"/>
  <c r="S311" i="1"/>
  <c r="P311" i="1"/>
  <c r="S310" i="1"/>
  <c r="P310" i="1"/>
  <c r="S309" i="1"/>
  <c r="P309" i="1"/>
  <c r="S308" i="1"/>
  <c r="P308" i="1"/>
  <c r="S307" i="1"/>
  <c r="P307" i="1"/>
  <c r="S306" i="1"/>
  <c r="P306" i="1"/>
  <c r="S305" i="1"/>
  <c r="P305" i="1"/>
  <c r="S304" i="1"/>
  <c r="P304" i="1"/>
  <c r="S303" i="1"/>
  <c r="P303" i="1"/>
  <c r="S302" i="1"/>
  <c r="P302" i="1"/>
  <c r="S301" i="1"/>
  <c r="P301" i="1"/>
  <c r="S300" i="1"/>
  <c r="P300" i="1"/>
  <c r="S299" i="1"/>
  <c r="P299" i="1"/>
  <c r="S298" i="1"/>
  <c r="P298" i="1"/>
  <c r="S297" i="1"/>
  <c r="P297" i="1"/>
  <c r="S296" i="1"/>
  <c r="P296" i="1"/>
  <c r="S295" i="1"/>
  <c r="P295" i="1"/>
  <c r="S294" i="1"/>
  <c r="P294" i="1"/>
  <c r="S293" i="1"/>
  <c r="P293" i="1"/>
  <c r="S292" i="1"/>
  <c r="P292" i="1"/>
  <c r="S291" i="1"/>
  <c r="P291" i="1"/>
  <c r="S290" i="1"/>
  <c r="P290" i="1"/>
  <c r="S289" i="1"/>
  <c r="P289" i="1"/>
  <c r="S288" i="1"/>
  <c r="P288" i="1"/>
  <c r="S287" i="1"/>
  <c r="P287" i="1"/>
  <c r="S286" i="1"/>
  <c r="P286" i="1"/>
  <c r="S285" i="1"/>
  <c r="P285" i="1"/>
  <c r="S284" i="1"/>
  <c r="P284" i="1"/>
  <c r="S283" i="1"/>
  <c r="P283" i="1"/>
  <c r="S282" i="1"/>
  <c r="P282" i="1"/>
  <c r="S281" i="1"/>
  <c r="P281" i="1"/>
  <c r="S280" i="1"/>
  <c r="P280" i="1"/>
  <c r="S279" i="1"/>
  <c r="P279" i="1"/>
  <c r="S278" i="1"/>
  <c r="P278" i="1"/>
  <c r="S277" i="1"/>
  <c r="P277" i="1"/>
  <c r="S276" i="1"/>
  <c r="P276" i="1"/>
  <c r="S275" i="1"/>
  <c r="P275" i="1"/>
  <c r="S274" i="1"/>
  <c r="P274" i="1"/>
  <c r="S273" i="1"/>
  <c r="P273" i="1"/>
  <c r="S272" i="1"/>
  <c r="P272" i="1"/>
  <c r="S271" i="1"/>
  <c r="P271" i="1"/>
  <c r="S270" i="1"/>
  <c r="P270" i="1"/>
  <c r="S269" i="1"/>
  <c r="P269" i="1"/>
  <c r="S268" i="1"/>
  <c r="P268" i="1"/>
  <c r="S267" i="1"/>
  <c r="P267" i="1"/>
  <c r="S266" i="1"/>
  <c r="P266" i="1"/>
  <c r="S265" i="1"/>
  <c r="P265" i="1"/>
  <c r="S264" i="1"/>
  <c r="P264" i="1"/>
  <c r="S263" i="1"/>
  <c r="P263" i="1"/>
  <c r="S262" i="1"/>
  <c r="P262" i="1"/>
  <c r="S261" i="1"/>
  <c r="P261" i="1"/>
  <c r="S260" i="1"/>
  <c r="P260" i="1"/>
  <c r="S259" i="1"/>
  <c r="P259" i="1"/>
  <c r="S3572" i="1"/>
  <c r="P3572" i="1"/>
  <c r="S3571" i="1"/>
  <c r="P3571" i="1"/>
  <c r="S3570" i="1"/>
  <c r="P3570" i="1"/>
  <c r="S3569" i="1"/>
  <c r="P3569" i="1"/>
  <c r="S3568" i="1"/>
  <c r="P3568" i="1"/>
  <c r="S3567" i="1"/>
  <c r="P3567" i="1"/>
  <c r="S3566" i="1"/>
  <c r="P3566" i="1"/>
  <c r="S3565" i="1"/>
  <c r="P3565" i="1"/>
  <c r="S3564" i="1"/>
  <c r="P3564" i="1"/>
  <c r="S3563" i="1"/>
  <c r="P3563" i="1"/>
  <c r="S3562" i="1"/>
  <c r="P3562" i="1"/>
  <c r="S3561" i="1"/>
  <c r="P3561" i="1"/>
  <c r="S3560" i="1"/>
  <c r="P3560" i="1"/>
  <c r="S3559" i="1"/>
  <c r="P3559" i="1"/>
  <c r="S3558" i="1"/>
  <c r="P3558" i="1"/>
  <c r="S3557" i="1"/>
  <c r="P3557" i="1"/>
  <c r="S3556" i="1"/>
  <c r="P3556" i="1"/>
  <c r="S3555" i="1"/>
  <c r="P3555" i="1"/>
  <c r="S3554" i="1"/>
  <c r="P3554" i="1"/>
  <c r="S3553" i="1"/>
  <c r="P3553" i="1"/>
  <c r="S3552" i="1"/>
  <c r="P3552" i="1"/>
  <c r="S3551" i="1"/>
  <c r="P3551" i="1"/>
  <c r="S3550" i="1"/>
  <c r="P3550" i="1"/>
  <c r="S3549" i="1"/>
  <c r="P3549" i="1"/>
  <c r="S3548" i="1"/>
  <c r="P3548" i="1"/>
  <c r="S3547" i="1"/>
  <c r="P3547" i="1"/>
  <c r="S3546" i="1"/>
  <c r="P3546" i="1"/>
  <c r="S3545" i="1"/>
  <c r="P3545" i="1"/>
  <c r="S3544" i="1"/>
  <c r="P3544" i="1"/>
  <c r="S3543" i="1"/>
  <c r="P3543" i="1"/>
  <c r="S3542" i="1"/>
  <c r="P3542" i="1"/>
  <c r="S3541" i="1"/>
  <c r="P3541" i="1"/>
  <c r="S3540" i="1"/>
  <c r="P3540" i="1"/>
  <c r="S3539" i="1"/>
  <c r="P3539" i="1"/>
  <c r="S3538" i="1"/>
  <c r="P3538" i="1"/>
  <c r="S3537" i="1"/>
  <c r="P3537" i="1"/>
  <c r="S3536" i="1"/>
  <c r="P3536" i="1"/>
  <c r="S3535" i="1"/>
  <c r="P3535" i="1"/>
  <c r="S3534" i="1"/>
  <c r="P3534" i="1"/>
  <c r="S3533" i="1"/>
  <c r="P3533" i="1"/>
  <c r="S3532" i="1"/>
  <c r="P3532" i="1"/>
  <c r="S3531" i="1"/>
  <c r="P3531" i="1"/>
  <c r="S3530" i="1"/>
  <c r="P3530" i="1"/>
  <c r="S3529" i="1"/>
  <c r="P3529" i="1"/>
  <c r="S3528" i="1"/>
  <c r="P3528" i="1"/>
  <c r="S3527" i="1"/>
  <c r="P3527" i="1"/>
  <c r="S3526" i="1"/>
  <c r="P3526" i="1"/>
  <c r="S3525" i="1"/>
  <c r="P3525" i="1"/>
  <c r="S3524" i="1"/>
  <c r="P3524" i="1"/>
  <c r="S3523" i="1"/>
  <c r="P3523" i="1"/>
  <c r="S3522" i="1"/>
  <c r="P3522" i="1"/>
  <c r="S3521" i="1"/>
  <c r="P3521" i="1"/>
  <c r="S3520" i="1"/>
  <c r="P3520" i="1"/>
  <c r="S3519" i="1"/>
  <c r="P3519" i="1"/>
  <c r="S3518" i="1"/>
  <c r="P3518" i="1"/>
  <c r="S3517" i="1"/>
  <c r="P3517" i="1"/>
  <c r="S3516" i="1"/>
  <c r="P3516" i="1"/>
  <c r="S3515" i="1"/>
  <c r="P3515" i="1"/>
  <c r="S3514" i="1"/>
  <c r="P3514" i="1"/>
  <c r="S3513" i="1"/>
  <c r="P3513" i="1"/>
  <c r="S3512" i="1"/>
  <c r="P3512" i="1"/>
  <c r="S3511" i="1"/>
  <c r="P3511" i="1"/>
  <c r="S3510" i="1"/>
  <c r="P3510" i="1"/>
  <c r="S3509" i="1"/>
  <c r="P3509" i="1"/>
  <c r="S3508" i="1"/>
  <c r="P3508" i="1"/>
  <c r="S3507" i="1"/>
  <c r="P3507" i="1"/>
  <c r="S3506" i="1"/>
  <c r="P3506" i="1"/>
  <c r="S3505" i="1"/>
  <c r="P3505" i="1"/>
  <c r="S3504" i="1"/>
  <c r="P3504" i="1"/>
  <c r="S3503" i="1"/>
  <c r="P3503" i="1"/>
  <c r="S3502" i="1"/>
  <c r="P3502" i="1"/>
  <c r="S3501" i="1"/>
  <c r="P3501" i="1"/>
  <c r="S3500" i="1"/>
  <c r="P3500" i="1"/>
  <c r="S3499" i="1"/>
  <c r="P3499" i="1"/>
  <c r="S3498" i="1"/>
  <c r="P3498" i="1"/>
  <c r="S3497" i="1"/>
  <c r="P3497" i="1"/>
  <c r="S3496" i="1"/>
  <c r="P3496" i="1"/>
  <c r="S3495" i="1"/>
  <c r="P3495" i="1"/>
  <c r="S3494" i="1"/>
  <c r="P3494" i="1"/>
  <c r="S3493" i="1"/>
  <c r="P3493" i="1"/>
  <c r="S3492" i="1"/>
  <c r="P3492" i="1"/>
  <c r="S3491" i="1"/>
  <c r="P3491" i="1"/>
  <c r="S3490" i="1"/>
  <c r="P3490" i="1"/>
  <c r="S3489" i="1"/>
  <c r="P3489" i="1"/>
  <c r="S3488" i="1"/>
  <c r="P3488" i="1"/>
  <c r="S3487" i="1"/>
  <c r="P3487" i="1"/>
  <c r="S3486" i="1"/>
  <c r="P3486" i="1"/>
  <c r="S3485" i="1"/>
  <c r="P3485" i="1"/>
  <c r="S3484" i="1"/>
  <c r="P3484" i="1"/>
  <c r="S3483" i="1"/>
  <c r="P3483" i="1"/>
  <c r="S3482" i="1"/>
  <c r="P3482" i="1"/>
  <c r="S3481" i="1"/>
  <c r="P3481" i="1"/>
  <c r="S3480" i="1"/>
  <c r="P3480" i="1"/>
  <c r="S3479" i="1"/>
  <c r="P3479" i="1"/>
  <c r="S3478" i="1"/>
  <c r="P3478" i="1"/>
  <c r="S3477" i="1"/>
  <c r="P3477" i="1"/>
  <c r="S3476" i="1"/>
  <c r="P3476" i="1"/>
  <c r="S3475" i="1"/>
  <c r="P3475" i="1"/>
  <c r="S3474" i="1"/>
  <c r="P3474" i="1"/>
  <c r="S3473" i="1"/>
  <c r="P3473" i="1"/>
  <c r="S3472" i="1"/>
  <c r="P3472" i="1"/>
  <c r="S3471" i="1"/>
  <c r="P3471" i="1"/>
  <c r="S3470" i="1"/>
  <c r="P3470" i="1"/>
  <c r="S3469" i="1"/>
  <c r="P3469" i="1"/>
  <c r="S3468" i="1"/>
  <c r="P3468" i="1"/>
  <c r="S3467" i="1"/>
  <c r="P3467" i="1"/>
  <c r="S3466" i="1"/>
  <c r="P3466" i="1"/>
  <c r="S3465" i="1"/>
  <c r="P3465" i="1"/>
  <c r="S3464" i="1"/>
  <c r="P3464" i="1"/>
  <c r="S3463" i="1"/>
  <c r="P3463" i="1"/>
  <c r="S3462" i="1"/>
  <c r="P3462" i="1"/>
  <c r="S3461" i="1"/>
  <c r="P3461" i="1"/>
  <c r="S3460" i="1"/>
  <c r="P3460" i="1"/>
  <c r="S3459" i="1"/>
  <c r="P3459" i="1"/>
  <c r="S3458" i="1"/>
  <c r="P3458" i="1"/>
  <c r="S3457" i="1"/>
  <c r="P3457" i="1"/>
  <c r="S3456" i="1"/>
  <c r="P3456" i="1"/>
  <c r="S3455" i="1"/>
  <c r="P3455" i="1"/>
  <c r="S3454" i="1"/>
  <c r="P3454" i="1"/>
  <c r="S3453" i="1"/>
  <c r="P3453" i="1"/>
  <c r="S3452" i="1"/>
  <c r="P3452" i="1"/>
  <c r="S3451" i="1"/>
  <c r="P3451" i="1"/>
  <c r="S3450" i="1"/>
  <c r="P3450" i="1"/>
  <c r="S3449" i="1"/>
  <c r="P3449" i="1"/>
  <c r="S3448" i="1"/>
  <c r="P3448" i="1"/>
  <c r="S3447" i="1"/>
  <c r="P3447" i="1"/>
  <c r="S3446" i="1"/>
  <c r="P3446" i="1"/>
  <c r="S3445" i="1"/>
  <c r="P3445" i="1"/>
  <c r="S3444" i="1"/>
  <c r="P3444" i="1"/>
  <c r="S3443" i="1"/>
  <c r="P3443" i="1"/>
  <c r="S3442" i="1"/>
  <c r="P3442" i="1"/>
  <c r="S3441" i="1"/>
  <c r="P3441" i="1"/>
  <c r="S3440" i="1"/>
  <c r="P3440" i="1"/>
  <c r="S3439" i="1"/>
  <c r="P3439" i="1"/>
  <c r="S3438" i="1"/>
  <c r="P3438" i="1"/>
  <c r="S3437" i="1"/>
  <c r="P3437" i="1"/>
  <c r="S3436" i="1"/>
  <c r="P3436" i="1"/>
  <c r="S3435" i="1"/>
  <c r="P3435" i="1"/>
  <c r="S3434" i="1"/>
  <c r="P3434" i="1"/>
  <c r="S3433" i="1"/>
  <c r="P3433" i="1"/>
  <c r="S3432" i="1"/>
  <c r="P3432" i="1"/>
  <c r="S3431" i="1"/>
  <c r="P3431" i="1"/>
  <c r="S3430" i="1"/>
  <c r="P3430" i="1"/>
  <c r="S3429" i="1"/>
  <c r="P3429" i="1"/>
  <c r="S3428" i="1"/>
  <c r="P3428" i="1"/>
  <c r="S3427" i="1"/>
  <c r="P3427" i="1"/>
  <c r="S3426" i="1"/>
  <c r="P3426" i="1"/>
  <c r="S3425" i="1"/>
  <c r="P3425" i="1"/>
  <c r="S3424" i="1"/>
  <c r="P3424" i="1"/>
  <c r="S3423" i="1"/>
  <c r="P3423" i="1"/>
  <c r="S3422" i="1"/>
  <c r="P3422" i="1"/>
  <c r="S3421" i="1"/>
  <c r="P3421" i="1"/>
  <c r="S3420" i="1"/>
  <c r="P3420" i="1"/>
  <c r="S3419" i="1"/>
  <c r="P3419" i="1"/>
  <c r="S3418" i="1"/>
  <c r="P3418" i="1"/>
  <c r="S3417" i="1"/>
  <c r="P3417" i="1"/>
  <c r="S3416" i="1"/>
  <c r="P3416" i="1"/>
  <c r="S3415" i="1"/>
  <c r="P3415" i="1"/>
  <c r="S3414" i="1"/>
  <c r="P3414" i="1"/>
  <c r="S3413" i="1"/>
  <c r="P3413" i="1"/>
  <c r="S3412" i="1"/>
  <c r="P3412" i="1"/>
  <c r="S3411" i="1"/>
  <c r="P3411" i="1"/>
  <c r="S3410" i="1"/>
  <c r="P3410" i="1"/>
  <c r="S3409" i="1"/>
  <c r="P3409" i="1"/>
  <c r="S3408" i="1"/>
  <c r="P3408" i="1"/>
  <c r="S3407" i="1"/>
  <c r="P3407" i="1"/>
  <c r="S3406" i="1"/>
  <c r="P3406" i="1"/>
  <c r="S3405" i="1"/>
  <c r="P3405" i="1"/>
  <c r="S3404" i="1"/>
  <c r="P3404" i="1"/>
  <c r="S3403" i="1"/>
  <c r="P3403" i="1"/>
  <c r="S3402" i="1"/>
  <c r="P3402" i="1"/>
  <c r="S3401" i="1"/>
  <c r="P3401" i="1"/>
  <c r="S3400" i="1"/>
  <c r="P3400" i="1"/>
  <c r="S3399" i="1"/>
  <c r="P3399" i="1"/>
  <c r="S3398" i="1"/>
  <c r="P3398" i="1"/>
  <c r="S3397" i="1"/>
  <c r="P3397" i="1"/>
  <c r="S3396" i="1"/>
  <c r="P3396" i="1"/>
  <c r="S3395" i="1"/>
  <c r="P3395" i="1"/>
  <c r="S3394" i="1"/>
  <c r="P3394" i="1"/>
  <c r="S3393" i="1"/>
  <c r="P3393" i="1"/>
  <c r="S3392" i="1"/>
  <c r="P3392" i="1"/>
  <c r="S3391" i="1"/>
  <c r="P3391" i="1"/>
  <c r="S3390" i="1"/>
  <c r="P3390" i="1"/>
  <c r="S3389" i="1"/>
  <c r="P3389" i="1"/>
  <c r="S3388" i="1"/>
  <c r="P3388" i="1"/>
  <c r="S3387" i="1"/>
  <c r="P3387" i="1"/>
  <c r="S3386" i="1"/>
  <c r="P3386" i="1"/>
  <c r="S3385" i="1"/>
  <c r="P3385" i="1"/>
  <c r="S3384" i="1"/>
  <c r="P3384" i="1"/>
  <c r="S3383" i="1"/>
  <c r="P3383" i="1"/>
  <c r="S3382" i="1"/>
  <c r="P3382" i="1"/>
  <c r="S3381" i="1"/>
  <c r="P3381" i="1"/>
  <c r="S3380" i="1"/>
  <c r="P3380" i="1"/>
  <c r="S3379" i="1"/>
  <c r="P3379" i="1"/>
  <c r="S3378" i="1"/>
  <c r="P3378" i="1"/>
  <c r="S3377" i="1"/>
  <c r="P3377" i="1"/>
  <c r="S3376" i="1"/>
  <c r="P3376" i="1"/>
  <c r="S3375" i="1"/>
  <c r="P3375" i="1"/>
  <c r="S3374" i="1"/>
  <c r="P3374" i="1"/>
  <c r="S3373" i="1"/>
  <c r="P3373" i="1"/>
  <c r="S3372" i="1"/>
  <c r="P3372" i="1"/>
  <c r="S3371" i="1"/>
  <c r="P3371" i="1"/>
  <c r="S3370" i="1"/>
  <c r="P3370" i="1"/>
  <c r="S3369" i="1"/>
  <c r="P3369" i="1"/>
  <c r="S3368" i="1"/>
  <c r="P3368" i="1"/>
  <c r="S3367" i="1"/>
  <c r="P3367" i="1"/>
  <c r="S3366" i="1"/>
  <c r="P3366" i="1"/>
  <c r="S3365" i="1"/>
  <c r="P3365" i="1"/>
  <c r="S3364" i="1"/>
  <c r="P3364" i="1"/>
  <c r="S3363" i="1"/>
  <c r="P3363" i="1"/>
  <c r="S3362" i="1"/>
  <c r="P3362" i="1"/>
  <c r="S3361" i="1"/>
  <c r="P3361" i="1"/>
  <c r="S3360" i="1"/>
  <c r="P3360" i="1"/>
  <c r="S3359" i="1"/>
  <c r="P3359" i="1"/>
  <c r="S3358" i="1"/>
  <c r="P3358" i="1"/>
  <c r="S3357" i="1"/>
  <c r="P3357" i="1"/>
  <c r="S3356" i="1"/>
  <c r="P3356" i="1"/>
  <c r="S3355" i="1"/>
  <c r="P3355" i="1"/>
  <c r="S3354" i="1"/>
  <c r="P3354" i="1"/>
  <c r="S3353" i="1"/>
  <c r="P3353" i="1"/>
  <c r="S3352" i="1"/>
  <c r="P3352" i="1"/>
  <c r="S3351" i="1"/>
  <c r="P3351" i="1"/>
  <c r="S3350" i="1"/>
  <c r="P3350" i="1"/>
  <c r="S3349" i="1"/>
  <c r="P3349" i="1"/>
  <c r="S3348" i="1"/>
  <c r="P3348" i="1"/>
  <c r="S3347" i="1"/>
  <c r="P3347" i="1"/>
  <c r="S3346" i="1"/>
  <c r="P3346" i="1"/>
  <c r="S3345" i="1"/>
  <c r="P3345" i="1"/>
  <c r="S3344" i="1"/>
  <c r="P3344" i="1"/>
  <c r="S3343" i="1"/>
  <c r="P3343" i="1"/>
  <c r="S3342" i="1"/>
  <c r="P3342" i="1"/>
  <c r="S3341" i="1"/>
  <c r="P3341" i="1"/>
  <c r="S3340" i="1"/>
  <c r="P3340" i="1"/>
  <c r="S3339" i="1"/>
  <c r="P3339" i="1"/>
  <c r="S3338" i="1"/>
  <c r="P3338" i="1"/>
  <c r="S3337" i="1"/>
  <c r="P3337" i="1"/>
  <c r="S3336" i="1"/>
  <c r="P3336" i="1"/>
  <c r="S3335" i="1"/>
  <c r="P3335" i="1"/>
  <c r="S3334" i="1"/>
  <c r="P3334" i="1"/>
  <c r="S3333" i="1"/>
  <c r="P3333" i="1"/>
  <c r="S3332" i="1"/>
  <c r="P3332" i="1"/>
  <c r="S3331" i="1"/>
  <c r="P3331" i="1"/>
  <c r="S3330" i="1"/>
  <c r="P3330" i="1"/>
  <c r="S3329" i="1"/>
  <c r="P3329" i="1"/>
  <c r="S3328" i="1"/>
  <c r="P3328" i="1"/>
  <c r="S3327" i="1"/>
  <c r="P3327" i="1"/>
  <c r="S3326" i="1"/>
  <c r="P3326" i="1"/>
  <c r="S3325" i="1"/>
  <c r="P3325" i="1"/>
  <c r="S3324" i="1"/>
  <c r="P3324" i="1"/>
  <c r="S3323" i="1"/>
  <c r="P3323" i="1"/>
  <c r="S3322" i="1"/>
  <c r="P3322" i="1"/>
  <c r="S3321" i="1"/>
  <c r="P3321" i="1"/>
  <c r="S3320" i="1"/>
  <c r="P3320" i="1"/>
  <c r="S3319" i="1"/>
  <c r="P3319" i="1"/>
  <c r="S3318" i="1"/>
  <c r="P3318" i="1"/>
  <c r="S3317" i="1"/>
  <c r="P3317" i="1"/>
  <c r="S3316" i="1"/>
  <c r="P3316" i="1"/>
  <c r="S3315" i="1"/>
  <c r="P3315" i="1"/>
  <c r="S3314" i="1"/>
  <c r="P3314" i="1"/>
  <c r="S3313" i="1"/>
  <c r="P3313" i="1"/>
  <c r="S3312" i="1"/>
  <c r="P3312" i="1"/>
  <c r="S3311" i="1"/>
  <c r="P3311" i="1"/>
  <c r="S3310" i="1"/>
  <c r="P3310" i="1"/>
  <c r="S3309" i="1"/>
  <c r="P3309" i="1"/>
  <c r="S3308" i="1"/>
  <c r="P3308" i="1"/>
  <c r="S3307" i="1"/>
  <c r="P3307" i="1"/>
  <c r="S3306" i="1"/>
  <c r="P3306" i="1"/>
  <c r="S3305" i="1"/>
  <c r="P3305" i="1"/>
  <c r="S3304" i="1"/>
  <c r="P3304" i="1"/>
  <c r="S3303" i="1"/>
  <c r="P3303" i="1"/>
  <c r="S3302" i="1"/>
  <c r="P3302" i="1"/>
  <c r="S3301" i="1"/>
  <c r="P3301" i="1"/>
  <c r="S3300" i="1"/>
  <c r="P3300" i="1"/>
  <c r="S3299" i="1"/>
  <c r="P3299" i="1"/>
  <c r="S3298" i="1"/>
  <c r="P3298" i="1"/>
  <c r="S3297" i="1"/>
  <c r="P3297" i="1"/>
  <c r="S3296" i="1"/>
  <c r="P3296" i="1"/>
  <c r="S3295" i="1"/>
  <c r="P3295" i="1"/>
  <c r="S3294" i="1"/>
  <c r="P3294" i="1"/>
  <c r="S3293" i="1"/>
  <c r="P3293" i="1"/>
  <c r="S3292" i="1"/>
  <c r="P3292" i="1"/>
  <c r="S3291" i="1"/>
  <c r="P3291" i="1"/>
  <c r="S3290" i="1"/>
  <c r="P3290" i="1"/>
  <c r="S3289" i="1"/>
  <c r="P3289" i="1"/>
  <c r="S3288" i="1"/>
  <c r="P3288" i="1"/>
  <c r="S3287" i="1"/>
  <c r="P3287" i="1"/>
  <c r="S3286" i="1"/>
  <c r="P3286" i="1"/>
  <c r="S3285" i="1"/>
  <c r="P3285" i="1"/>
  <c r="S3284" i="1"/>
  <c r="P3284" i="1"/>
  <c r="S3283" i="1"/>
  <c r="P3283" i="1"/>
  <c r="S3282" i="1"/>
  <c r="P3282" i="1"/>
  <c r="S3281" i="1"/>
  <c r="P3281" i="1"/>
  <c r="S3280" i="1"/>
  <c r="P3280" i="1"/>
  <c r="S3279" i="1"/>
  <c r="P3279" i="1"/>
  <c r="S3278" i="1"/>
  <c r="P3278" i="1"/>
  <c r="S3277" i="1"/>
  <c r="P3277" i="1"/>
  <c r="S3276" i="1"/>
  <c r="P3276" i="1"/>
  <c r="S3275" i="1"/>
  <c r="P3275" i="1"/>
  <c r="S3274" i="1"/>
  <c r="P3274" i="1"/>
  <c r="S3273" i="1"/>
  <c r="P3273" i="1"/>
  <c r="S3272" i="1"/>
  <c r="P3272" i="1"/>
  <c r="S3271" i="1"/>
  <c r="P3271" i="1"/>
  <c r="S3270" i="1"/>
  <c r="P3270" i="1"/>
  <c r="S3269" i="1"/>
  <c r="P3269" i="1"/>
  <c r="S3268" i="1"/>
  <c r="P3268" i="1"/>
  <c r="S3267" i="1"/>
  <c r="P3267" i="1"/>
  <c r="S3266" i="1"/>
  <c r="P3266" i="1"/>
  <c r="S3265" i="1"/>
  <c r="P3265" i="1"/>
  <c r="S3264" i="1"/>
  <c r="P3264" i="1"/>
  <c r="S3263" i="1"/>
  <c r="P3263" i="1"/>
  <c r="S3262" i="1"/>
  <c r="P3262" i="1"/>
  <c r="S3261" i="1"/>
  <c r="P3261" i="1"/>
  <c r="S3260" i="1"/>
  <c r="P3260" i="1"/>
  <c r="S3259" i="1"/>
  <c r="P3259" i="1"/>
  <c r="S3258" i="1"/>
  <c r="P3258" i="1"/>
  <c r="S3257" i="1"/>
  <c r="P3257" i="1"/>
  <c r="S3256" i="1"/>
  <c r="P3256" i="1"/>
  <c r="S3255" i="1"/>
  <c r="P3255" i="1"/>
  <c r="S3254" i="1"/>
  <c r="P3254" i="1"/>
  <c r="S3253" i="1"/>
  <c r="P3253" i="1"/>
  <c r="S3252" i="1"/>
  <c r="P3252" i="1"/>
  <c r="S3251" i="1"/>
  <c r="P3251" i="1"/>
  <c r="S3250" i="1"/>
  <c r="P3250" i="1"/>
  <c r="S3249" i="1"/>
  <c r="P3249" i="1"/>
  <c r="S3248" i="1"/>
  <c r="P3248" i="1"/>
  <c r="S3247" i="1"/>
  <c r="P3247" i="1"/>
  <c r="S3246" i="1"/>
  <c r="P3246" i="1"/>
  <c r="S3245" i="1"/>
  <c r="P3245" i="1"/>
  <c r="S3244" i="1"/>
  <c r="P3244" i="1"/>
  <c r="S3243" i="1"/>
  <c r="P3243" i="1"/>
  <c r="S3242" i="1"/>
  <c r="P3242" i="1"/>
  <c r="S3241" i="1"/>
  <c r="P3241" i="1"/>
  <c r="S3240" i="1"/>
  <c r="P3240" i="1"/>
  <c r="S3239" i="1"/>
  <c r="P3239" i="1"/>
  <c r="S3238" i="1"/>
  <c r="P3238" i="1"/>
  <c r="S3237" i="1"/>
  <c r="P3237" i="1"/>
  <c r="S3236" i="1"/>
  <c r="P3236" i="1"/>
  <c r="S3235" i="1"/>
  <c r="P3235" i="1"/>
  <c r="S3234" i="1"/>
  <c r="P3234" i="1"/>
  <c r="S3233" i="1"/>
  <c r="P3233" i="1"/>
  <c r="S3232" i="1"/>
  <c r="P3232" i="1"/>
  <c r="S3231" i="1"/>
  <c r="P3231" i="1"/>
  <c r="S3230" i="1"/>
  <c r="P3230" i="1"/>
  <c r="S3229" i="1"/>
  <c r="P3229" i="1"/>
  <c r="S3228" i="1"/>
  <c r="P3228" i="1"/>
  <c r="S3227" i="1"/>
  <c r="P3227" i="1"/>
  <c r="S3226" i="1"/>
  <c r="P3226" i="1"/>
  <c r="S3225" i="1"/>
  <c r="P3225" i="1"/>
  <c r="S3224" i="1"/>
  <c r="P3224" i="1"/>
  <c r="S3223" i="1"/>
  <c r="P3223" i="1"/>
  <c r="S3222" i="1"/>
  <c r="P3222" i="1"/>
  <c r="S3221" i="1"/>
  <c r="P3221" i="1"/>
  <c r="S3220" i="1"/>
  <c r="P3220" i="1"/>
  <c r="S3219" i="1"/>
  <c r="P3219" i="1"/>
  <c r="S3218" i="1"/>
  <c r="P3218" i="1"/>
  <c r="S3217" i="1"/>
  <c r="P3217" i="1"/>
  <c r="S3216" i="1"/>
  <c r="P3216" i="1"/>
  <c r="S3215" i="1"/>
  <c r="P3215" i="1"/>
  <c r="S3214" i="1"/>
  <c r="P3214" i="1"/>
  <c r="S3213" i="1"/>
  <c r="P3213" i="1"/>
  <c r="S3212" i="1"/>
  <c r="P3212" i="1"/>
  <c r="S3211" i="1"/>
  <c r="P3211" i="1"/>
  <c r="S3210" i="1"/>
  <c r="P3210" i="1"/>
  <c r="S3209" i="1"/>
  <c r="P3209" i="1"/>
  <c r="S3208" i="1"/>
  <c r="P3208" i="1"/>
  <c r="S3207" i="1"/>
  <c r="P3207" i="1"/>
  <c r="S3206" i="1"/>
  <c r="P3206" i="1"/>
  <c r="S3205" i="1"/>
  <c r="P3205" i="1"/>
  <c r="S3204" i="1"/>
  <c r="P3204" i="1"/>
  <c r="S3203" i="1"/>
  <c r="P3203" i="1"/>
  <c r="S3202" i="1"/>
  <c r="P3202" i="1"/>
  <c r="S3201" i="1"/>
  <c r="P3201" i="1"/>
  <c r="S3200" i="1"/>
  <c r="P3200" i="1"/>
  <c r="S3199" i="1"/>
  <c r="P3199" i="1"/>
  <c r="S3198" i="1"/>
  <c r="P3198" i="1"/>
  <c r="S3197" i="1"/>
  <c r="P3197" i="1"/>
  <c r="S3196" i="1"/>
  <c r="P3196" i="1"/>
  <c r="S3195" i="1"/>
  <c r="P3195" i="1"/>
  <c r="S3194" i="1"/>
  <c r="P3194" i="1"/>
  <c r="S3193" i="1"/>
  <c r="P3193" i="1"/>
  <c r="S3192" i="1"/>
  <c r="P3192" i="1"/>
  <c r="S3191" i="1"/>
  <c r="P3191" i="1"/>
  <c r="S3190" i="1"/>
  <c r="P3190" i="1"/>
  <c r="S3189" i="1"/>
  <c r="P3189" i="1"/>
  <c r="S3188" i="1"/>
  <c r="P3188" i="1"/>
  <c r="S3187" i="1"/>
  <c r="P3187" i="1"/>
  <c r="S3186" i="1"/>
  <c r="P3186" i="1"/>
  <c r="S3185" i="1"/>
  <c r="P3185" i="1"/>
  <c r="S3184" i="1"/>
  <c r="P3184" i="1"/>
  <c r="S3183" i="1"/>
  <c r="P3183" i="1"/>
  <c r="S3182" i="1"/>
  <c r="P3182" i="1"/>
  <c r="S3181" i="1"/>
  <c r="P3181" i="1"/>
  <c r="S3180" i="1"/>
  <c r="P3180" i="1"/>
  <c r="S3179" i="1"/>
  <c r="P3179" i="1"/>
  <c r="S3178" i="1"/>
  <c r="P3178" i="1"/>
  <c r="S3177" i="1"/>
  <c r="P3177" i="1"/>
  <c r="S3176" i="1"/>
  <c r="P3176" i="1"/>
  <c r="S3175" i="1"/>
  <c r="P3175" i="1"/>
  <c r="S3174" i="1"/>
  <c r="P3174" i="1"/>
  <c r="S3173" i="1"/>
  <c r="P3173" i="1"/>
  <c r="S3172" i="1"/>
  <c r="P3172" i="1"/>
  <c r="S3171" i="1"/>
  <c r="P3171" i="1"/>
  <c r="S3170" i="1"/>
  <c r="P3170" i="1"/>
  <c r="S3169" i="1"/>
  <c r="P3169" i="1"/>
  <c r="S3168" i="1"/>
  <c r="P3168" i="1"/>
  <c r="S3167" i="1"/>
  <c r="P3167" i="1"/>
  <c r="S3166" i="1"/>
  <c r="P3166" i="1"/>
  <c r="S3165" i="1"/>
  <c r="P3165" i="1"/>
  <c r="S3164" i="1"/>
  <c r="P3164" i="1"/>
  <c r="S3163" i="1"/>
  <c r="P3163" i="1"/>
  <c r="S3162" i="1"/>
  <c r="P3162" i="1"/>
  <c r="S3161" i="1"/>
  <c r="P3161" i="1"/>
  <c r="S3160" i="1"/>
  <c r="P3160" i="1"/>
  <c r="S3159" i="1"/>
  <c r="P3159" i="1"/>
  <c r="S3158" i="1"/>
  <c r="P3158" i="1"/>
  <c r="S3157" i="1"/>
  <c r="P3157" i="1"/>
  <c r="S3156" i="1"/>
  <c r="P3156" i="1"/>
  <c r="S3155" i="1"/>
  <c r="P3155" i="1"/>
  <c r="S3154" i="1"/>
  <c r="P3154" i="1"/>
  <c r="S3153" i="1"/>
  <c r="P3153" i="1"/>
  <c r="S3152" i="1"/>
  <c r="P3152" i="1"/>
  <c r="S3151" i="1"/>
  <c r="P3151" i="1"/>
  <c r="S3150" i="1"/>
  <c r="P3150" i="1"/>
  <c r="S3149" i="1"/>
  <c r="P3149" i="1"/>
  <c r="S3148" i="1"/>
  <c r="P3148" i="1"/>
  <c r="S3147" i="1"/>
  <c r="P3147" i="1"/>
  <c r="S3146" i="1"/>
  <c r="P3146" i="1"/>
  <c r="S3145" i="1"/>
  <c r="P3145" i="1"/>
  <c r="S3144" i="1"/>
  <c r="P3144" i="1"/>
  <c r="S3143" i="1"/>
  <c r="P3143" i="1"/>
  <c r="S3142" i="1"/>
  <c r="P3142" i="1"/>
  <c r="S3141" i="1"/>
  <c r="P3141" i="1"/>
  <c r="S3140" i="1"/>
  <c r="P3140" i="1"/>
  <c r="S3139" i="1"/>
  <c r="P3139" i="1"/>
  <c r="S3138" i="1"/>
  <c r="P3138" i="1"/>
  <c r="S3137" i="1"/>
  <c r="P3137" i="1"/>
  <c r="S3136" i="1"/>
  <c r="P3136" i="1"/>
  <c r="S3135" i="1"/>
  <c r="P3135" i="1"/>
  <c r="S3134" i="1"/>
  <c r="P3134" i="1"/>
  <c r="S3133" i="1"/>
  <c r="P3133" i="1"/>
  <c r="S3132" i="1"/>
  <c r="P3132" i="1"/>
  <c r="S3131" i="1"/>
  <c r="P3131" i="1"/>
  <c r="S3130" i="1"/>
  <c r="P3130" i="1"/>
  <c r="S3129" i="1"/>
  <c r="P3129" i="1"/>
  <c r="S3128" i="1"/>
  <c r="P3128" i="1"/>
  <c r="S3127" i="1"/>
  <c r="P3127" i="1"/>
  <c r="S3126" i="1"/>
  <c r="P3126" i="1"/>
  <c r="S3125" i="1"/>
  <c r="P3125" i="1"/>
  <c r="S3124" i="1"/>
  <c r="P3124" i="1"/>
  <c r="S3123" i="1"/>
  <c r="P3123" i="1"/>
  <c r="S3122" i="1"/>
  <c r="P3122" i="1"/>
  <c r="S3121" i="1"/>
  <c r="P3121" i="1"/>
  <c r="S3120" i="1"/>
  <c r="P3120" i="1"/>
  <c r="S3119" i="1"/>
  <c r="P3119" i="1"/>
  <c r="S3118" i="1"/>
  <c r="P3118" i="1"/>
  <c r="S3117" i="1"/>
  <c r="P3117" i="1"/>
  <c r="S3116" i="1"/>
  <c r="P3116" i="1"/>
  <c r="S3115" i="1"/>
  <c r="P3115" i="1"/>
  <c r="S3114" i="1"/>
  <c r="P3114" i="1"/>
  <c r="S3113" i="1"/>
  <c r="P3113" i="1"/>
  <c r="S3112" i="1"/>
  <c r="P3112" i="1"/>
  <c r="S3111" i="1"/>
  <c r="P3111" i="1"/>
  <c r="S3110" i="1"/>
  <c r="P3110" i="1"/>
  <c r="S3109" i="1"/>
  <c r="P3109" i="1"/>
  <c r="S3108" i="1"/>
  <c r="P3108" i="1"/>
  <c r="S3107" i="1"/>
  <c r="P3107" i="1"/>
  <c r="S3106" i="1"/>
  <c r="P3106" i="1"/>
  <c r="S3105" i="1"/>
  <c r="P3105" i="1"/>
  <c r="S3104" i="1"/>
  <c r="P3104" i="1"/>
  <c r="S3103" i="1"/>
  <c r="P3103" i="1"/>
  <c r="S3102" i="1"/>
  <c r="P3102" i="1"/>
  <c r="S3101" i="1"/>
  <c r="P3101" i="1"/>
  <c r="S3100" i="1"/>
  <c r="P3100" i="1"/>
  <c r="S3099" i="1"/>
  <c r="P3099" i="1"/>
  <c r="S3098" i="1"/>
  <c r="P3098" i="1"/>
  <c r="S3097" i="1"/>
  <c r="P3097" i="1"/>
  <c r="S3096" i="1"/>
  <c r="P3096" i="1"/>
  <c r="S3095" i="1"/>
  <c r="P3095" i="1"/>
  <c r="S3094" i="1"/>
  <c r="P3094" i="1"/>
  <c r="S3093" i="1"/>
  <c r="P3093" i="1"/>
  <c r="S3092" i="1"/>
  <c r="P3092" i="1"/>
  <c r="S3091" i="1"/>
  <c r="P3091" i="1"/>
  <c r="S3090" i="1"/>
  <c r="P3090" i="1"/>
  <c r="S3089" i="1"/>
  <c r="P3089" i="1"/>
  <c r="S3088" i="1"/>
  <c r="P3088" i="1"/>
  <c r="S3087" i="1"/>
  <c r="P3087" i="1"/>
  <c r="S3086" i="1"/>
  <c r="P3086" i="1"/>
  <c r="S3085" i="1"/>
  <c r="P3085" i="1"/>
  <c r="S3084" i="1"/>
  <c r="P3084" i="1"/>
  <c r="S3083" i="1"/>
  <c r="P3083" i="1"/>
  <c r="S3082" i="1"/>
  <c r="P3082" i="1"/>
  <c r="S3081" i="1"/>
  <c r="P3081" i="1"/>
  <c r="S3080" i="1"/>
  <c r="P3080" i="1"/>
  <c r="S3079" i="1"/>
  <c r="P3079" i="1"/>
  <c r="S3078" i="1"/>
  <c r="P3078" i="1"/>
  <c r="S3077" i="1"/>
  <c r="P3077" i="1"/>
  <c r="S3076" i="1"/>
  <c r="P3076" i="1"/>
  <c r="S3075" i="1"/>
  <c r="P3075" i="1"/>
  <c r="S3074" i="1"/>
  <c r="P3074" i="1"/>
  <c r="S3073" i="1"/>
  <c r="P3073" i="1"/>
  <c r="S3072" i="1"/>
  <c r="P3072" i="1"/>
  <c r="S3071" i="1"/>
  <c r="P3071" i="1"/>
  <c r="S3070" i="1"/>
  <c r="P3070" i="1"/>
  <c r="S3069" i="1"/>
  <c r="P3069" i="1"/>
  <c r="S3068" i="1"/>
  <c r="P3068" i="1"/>
  <c r="S3067" i="1"/>
  <c r="P3067" i="1"/>
  <c r="S3066" i="1"/>
  <c r="P3066" i="1"/>
  <c r="S3065" i="1"/>
  <c r="P3065" i="1"/>
  <c r="S3064" i="1"/>
  <c r="P3064" i="1"/>
  <c r="S3063" i="1"/>
  <c r="P3063" i="1"/>
  <c r="S3062" i="1"/>
  <c r="P3062" i="1"/>
  <c r="S3061" i="1"/>
  <c r="P3061" i="1"/>
  <c r="S3060" i="1"/>
  <c r="P3060" i="1"/>
  <c r="S3059" i="1"/>
  <c r="P3059" i="1"/>
  <c r="S3058" i="1"/>
  <c r="P3058" i="1"/>
  <c r="S3057" i="1"/>
  <c r="P3057" i="1"/>
  <c r="S3056" i="1"/>
  <c r="P3056" i="1"/>
  <c r="S3055" i="1"/>
  <c r="P3055" i="1"/>
  <c r="S3054" i="1"/>
  <c r="P3054" i="1"/>
  <c r="S3053" i="1"/>
  <c r="P3053" i="1"/>
  <c r="S3052" i="1"/>
  <c r="P3052" i="1"/>
  <c r="S3051" i="1"/>
  <c r="P3051" i="1"/>
  <c r="S3050" i="1"/>
  <c r="P3050" i="1"/>
  <c r="S3049" i="1"/>
  <c r="P3049" i="1"/>
  <c r="S3048" i="1"/>
  <c r="P3048" i="1"/>
  <c r="S3047" i="1"/>
  <c r="P3047" i="1"/>
  <c r="S3046" i="1"/>
  <c r="P3046" i="1"/>
  <c r="S3045" i="1"/>
  <c r="P3045" i="1"/>
  <c r="S3044" i="1"/>
  <c r="P3044" i="1"/>
  <c r="S3043" i="1"/>
  <c r="P3043" i="1"/>
  <c r="S3042" i="1"/>
  <c r="P3042" i="1"/>
  <c r="S3041" i="1"/>
  <c r="P3041" i="1"/>
  <c r="S3040" i="1"/>
  <c r="P3040" i="1"/>
  <c r="S3039" i="1"/>
  <c r="P3039" i="1"/>
  <c r="S3038" i="1"/>
  <c r="P3038" i="1"/>
  <c r="S3037" i="1"/>
  <c r="P3037" i="1"/>
  <c r="S3036" i="1"/>
  <c r="P3036" i="1"/>
  <c r="S3035" i="1"/>
  <c r="P3035" i="1"/>
  <c r="S3034" i="1"/>
  <c r="P3034" i="1"/>
  <c r="S3033" i="1"/>
  <c r="P3033" i="1"/>
  <c r="S3032" i="1"/>
  <c r="P3032" i="1"/>
  <c r="S3031" i="1"/>
  <c r="P3031" i="1"/>
  <c r="S3030" i="1"/>
  <c r="P3030" i="1"/>
  <c r="S3029" i="1"/>
  <c r="P3029" i="1"/>
  <c r="S3028" i="1"/>
  <c r="P3028" i="1"/>
  <c r="S3027" i="1"/>
  <c r="P3027" i="1"/>
  <c r="S3026" i="1"/>
  <c r="P3026" i="1"/>
  <c r="S3025" i="1"/>
  <c r="P3025" i="1"/>
  <c r="S3024" i="1"/>
  <c r="P3024" i="1"/>
  <c r="S3023" i="1"/>
  <c r="P3023" i="1"/>
  <c r="S3022" i="1"/>
  <c r="P3022" i="1"/>
  <c r="S3021" i="1"/>
  <c r="P3021" i="1"/>
  <c r="S3020" i="1"/>
  <c r="P3020" i="1"/>
  <c r="S3019" i="1"/>
  <c r="P3019" i="1"/>
  <c r="S3018" i="1"/>
  <c r="P3018" i="1"/>
  <c r="S3017" i="1"/>
  <c r="P3017" i="1"/>
  <c r="S3016" i="1"/>
  <c r="P3016" i="1"/>
  <c r="S3015" i="1"/>
  <c r="P3015" i="1"/>
  <c r="S3014" i="1"/>
  <c r="P3014" i="1"/>
  <c r="S3013" i="1"/>
  <c r="P3013" i="1"/>
  <c r="S3012" i="1"/>
  <c r="P3012" i="1"/>
  <c r="S3011" i="1"/>
  <c r="P3011" i="1"/>
  <c r="S3010" i="1"/>
  <c r="P3010" i="1"/>
  <c r="S3009" i="1"/>
  <c r="P3009" i="1"/>
  <c r="S3008" i="1"/>
  <c r="P3008" i="1"/>
  <c r="S3007" i="1"/>
  <c r="P3007" i="1"/>
  <c r="S3006" i="1"/>
  <c r="P3006" i="1"/>
  <c r="S3005" i="1"/>
  <c r="P3005" i="1"/>
  <c r="S3004" i="1"/>
  <c r="P3004" i="1"/>
  <c r="S3003" i="1"/>
  <c r="P3003" i="1"/>
  <c r="S3002" i="1"/>
  <c r="P3002" i="1"/>
  <c r="S3001" i="1"/>
  <c r="P3001" i="1"/>
  <c r="S3000" i="1"/>
  <c r="P3000" i="1"/>
  <c r="S2999" i="1"/>
  <c r="P2999" i="1"/>
  <c r="S2998" i="1"/>
  <c r="P2998" i="1"/>
  <c r="S2997" i="1"/>
  <c r="P2997" i="1"/>
  <c r="S2996" i="1"/>
  <c r="P2996" i="1"/>
  <c r="S2995" i="1"/>
  <c r="P2995" i="1"/>
  <c r="S2994" i="1"/>
  <c r="P2994" i="1"/>
  <c r="S2993" i="1"/>
  <c r="P2993" i="1"/>
  <c r="S2992" i="1"/>
  <c r="P2992" i="1"/>
  <c r="S2991" i="1"/>
  <c r="P2991" i="1"/>
  <c r="S2990" i="1"/>
  <c r="P2990" i="1"/>
  <c r="S2989" i="1"/>
  <c r="P2989" i="1"/>
  <c r="S2988" i="1"/>
  <c r="P2988" i="1"/>
  <c r="S2987" i="1"/>
  <c r="P2987" i="1"/>
  <c r="S2986" i="1"/>
  <c r="P2986" i="1"/>
  <c r="S2985" i="1"/>
  <c r="P2985" i="1"/>
  <c r="S2984" i="1"/>
  <c r="P2984" i="1"/>
  <c r="S2983" i="1"/>
  <c r="P2983" i="1"/>
  <c r="S2982" i="1"/>
  <c r="P2982" i="1"/>
  <c r="S2981" i="1"/>
  <c r="P2981" i="1"/>
  <c r="S2980" i="1"/>
  <c r="P2980" i="1"/>
  <c r="S2979" i="1"/>
  <c r="P2979" i="1"/>
  <c r="S2978" i="1"/>
  <c r="P2978" i="1"/>
  <c r="S2977" i="1"/>
  <c r="P2977" i="1"/>
  <c r="S2976" i="1"/>
  <c r="P2976" i="1"/>
  <c r="S2975" i="1"/>
  <c r="P2975" i="1"/>
  <c r="S2974" i="1"/>
  <c r="P2974" i="1"/>
  <c r="S2973" i="1"/>
  <c r="P2973" i="1"/>
  <c r="S2972" i="1"/>
  <c r="P2972" i="1"/>
  <c r="S2971" i="1"/>
  <c r="P2971" i="1"/>
  <c r="S2970" i="1"/>
  <c r="P2970" i="1"/>
  <c r="S2969" i="1"/>
  <c r="P2969" i="1"/>
  <c r="S2968" i="1"/>
  <c r="P2968" i="1"/>
  <c r="S2967" i="1"/>
  <c r="P2967" i="1"/>
  <c r="S2966" i="1"/>
  <c r="P2966" i="1"/>
  <c r="S2965" i="1"/>
  <c r="P2965" i="1"/>
  <c r="S2964" i="1"/>
  <c r="P2964" i="1"/>
  <c r="S2963" i="1"/>
  <c r="P2963" i="1"/>
  <c r="S2962" i="1"/>
  <c r="P2962" i="1"/>
  <c r="S2961" i="1"/>
  <c r="P2961" i="1"/>
  <c r="S2960" i="1"/>
  <c r="P2960" i="1"/>
  <c r="S2959" i="1"/>
  <c r="P2959" i="1"/>
  <c r="S2958" i="1"/>
  <c r="P2958" i="1"/>
  <c r="S2957" i="1"/>
  <c r="P2957" i="1"/>
  <c r="S2956" i="1"/>
  <c r="P2956" i="1"/>
  <c r="S2955" i="1"/>
  <c r="P2955" i="1"/>
  <c r="S2954" i="1"/>
  <c r="P2954" i="1"/>
  <c r="S2953" i="1"/>
  <c r="P2953" i="1"/>
  <c r="S2952" i="1"/>
  <c r="P2952" i="1"/>
  <c r="S2951" i="1"/>
  <c r="P2951" i="1"/>
  <c r="S2950" i="1"/>
  <c r="P2950" i="1"/>
  <c r="S2949" i="1"/>
  <c r="P2949" i="1"/>
  <c r="S2948" i="1"/>
  <c r="P2948" i="1"/>
  <c r="S2947" i="1"/>
  <c r="P2947" i="1"/>
  <c r="S2946" i="1"/>
  <c r="P2946" i="1"/>
  <c r="S2945" i="1"/>
  <c r="P2945" i="1"/>
  <c r="S2944" i="1"/>
  <c r="P2944" i="1"/>
  <c r="S2943" i="1"/>
  <c r="P2943" i="1"/>
  <c r="S2942" i="1"/>
  <c r="P2942" i="1"/>
  <c r="S2941" i="1"/>
  <c r="P2941" i="1"/>
  <c r="S2940" i="1"/>
  <c r="P2940" i="1"/>
  <c r="S2939" i="1"/>
  <c r="P2939" i="1"/>
  <c r="S2938" i="1"/>
  <c r="P2938" i="1"/>
  <c r="S2937" i="1"/>
  <c r="P2937" i="1"/>
  <c r="S2936" i="1"/>
  <c r="P2936" i="1"/>
  <c r="S2935" i="1"/>
  <c r="P2935" i="1"/>
  <c r="S2934" i="1"/>
  <c r="P2934" i="1"/>
  <c r="S2933" i="1"/>
  <c r="P2933" i="1"/>
  <c r="S2932" i="1"/>
  <c r="P2932" i="1"/>
  <c r="S2931" i="1"/>
  <c r="P2931" i="1"/>
  <c r="S2930" i="1"/>
  <c r="P2930" i="1"/>
  <c r="S2929" i="1"/>
  <c r="P2929" i="1"/>
  <c r="S2928" i="1"/>
  <c r="P2928" i="1"/>
  <c r="S2927" i="1"/>
  <c r="P2927" i="1"/>
  <c r="S2926" i="1"/>
  <c r="P2926" i="1"/>
  <c r="S2925" i="1"/>
  <c r="P2925" i="1"/>
  <c r="S2924" i="1"/>
  <c r="P2924" i="1"/>
  <c r="S2923" i="1"/>
  <c r="P2923" i="1"/>
  <c r="S2922" i="1"/>
  <c r="P2922" i="1"/>
  <c r="S2921" i="1"/>
  <c r="P2921" i="1"/>
  <c r="S2920" i="1"/>
  <c r="P2920" i="1"/>
  <c r="S2919" i="1"/>
  <c r="P2919" i="1"/>
  <c r="S2918" i="1"/>
  <c r="P2918" i="1"/>
  <c r="S2917" i="1"/>
  <c r="P2917" i="1"/>
  <c r="S2916" i="1"/>
  <c r="P2916" i="1"/>
  <c r="S2915" i="1"/>
  <c r="P2915" i="1"/>
  <c r="S2914" i="1"/>
  <c r="P2914" i="1"/>
  <c r="S2913" i="1"/>
  <c r="P2913" i="1"/>
  <c r="S2912" i="1"/>
  <c r="P2912" i="1"/>
  <c r="S2911" i="1"/>
  <c r="P2911" i="1"/>
  <c r="S2910" i="1"/>
  <c r="P2910" i="1"/>
  <c r="S2909" i="1"/>
  <c r="P2909" i="1"/>
  <c r="S2908" i="1"/>
  <c r="P2908" i="1"/>
  <c r="S2907" i="1"/>
  <c r="P2907" i="1"/>
  <c r="S2906" i="1"/>
  <c r="P2906" i="1"/>
  <c r="S2905" i="1"/>
  <c r="P2905" i="1"/>
  <c r="S2904" i="1"/>
  <c r="P2904" i="1"/>
  <c r="S2903" i="1"/>
  <c r="P2903" i="1"/>
  <c r="S2902" i="1"/>
  <c r="P2902" i="1"/>
  <c r="S2901" i="1"/>
  <c r="P2901" i="1"/>
  <c r="S2900" i="1"/>
  <c r="P2900" i="1"/>
  <c r="S2899" i="1"/>
  <c r="P2899" i="1"/>
  <c r="S2898" i="1"/>
  <c r="P2898" i="1"/>
  <c r="S2897" i="1"/>
  <c r="P2897" i="1"/>
  <c r="S2896" i="1"/>
  <c r="P2896" i="1"/>
  <c r="S2895" i="1"/>
  <c r="P2895" i="1"/>
  <c r="S2894" i="1"/>
  <c r="P2894" i="1"/>
  <c r="S2893" i="1"/>
  <c r="P2893" i="1"/>
  <c r="S2892" i="1"/>
  <c r="P2892" i="1"/>
  <c r="S2891" i="1"/>
  <c r="P2891" i="1"/>
  <c r="S2890" i="1"/>
  <c r="P2890" i="1"/>
  <c r="S2889" i="1"/>
  <c r="P2889" i="1"/>
  <c r="S2888" i="1"/>
  <c r="P2888" i="1"/>
  <c r="S2887" i="1"/>
  <c r="P2887" i="1"/>
  <c r="S2886" i="1"/>
  <c r="P2886" i="1"/>
  <c r="S2885" i="1"/>
  <c r="P2885" i="1"/>
  <c r="S2884" i="1"/>
  <c r="P2884" i="1"/>
  <c r="S2883" i="1"/>
  <c r="P2883" i="1"/>
  <c r="S2882" i="1"/>
  <c r="P2882" i="1"/>
  <c r="S2881" i="1"/>
  <c r="P2881" i="1"/>
  <c r="S2880" i="1"/>
  <c r="P2880" i="1"/>
  <c r="S2879" i="1"/>
  <c r="P2879" i="1"/>
  <c r="S2878" i="1"/>
  <c r="P2878" i="1"/>
  <c r="S2877" i="1"/>
  <c r="P2877" i="1"/>
  <c r="S2876" i="1"/>
  <c r="P2876" i="1"/>
  <c r="S2875" i="1"/>
  <c r="P2875" i="1"/>
  <c r="S2874" i="1"/>
  <c r="P2874" i="1"/>
  <c r="S2873" i="1"/>
  <c r="P2873" i="1"/>
  <c r="S2872" i="1"/>
  <c r="P2872" i="1"/>
  <c r="S2871" i="1"/>
  <c r="P2871" i="1"/>
  <c r="S2870" i="1"/>
  <c r="P2870" i="1"/>
  <c r="S2869" i="1"/>
  <c r="P2869" i="1"/>
  <c r="S2868" i="1"/>
  <c r="P2868" i="1"/>
  <c r="S2867" i="1"/>
  <c r="P2867" i="1"/>
  <c r="S2866" i="1"/>
  <c r="P2866" i="1"/>
  <c r="S2865" i="1"/>
  <c r="P2865" i="1"/>
  <c r="S2864" i="1"/>
  <c r="P2864" i="1"/>
  <c r="S2863" i="1"/>
  <c r="P2863" i="1"/>
  <c r="S2862" i="1"/>
  <c r="P2862" i="1"/>
  <c r="S2861" i="1"/>
  <c r="P2861" i="1"/>
  <c r="S2860" i="1"/>
  <c r="P2860" i="1"/>
  <c r="S2859" i="1"/>
  <c r="P2859" i="1"/>
  <c r="S2858" i="1"/>
  <c r="P2858" i="1"/>
  <c r="S2857" i="1"/>
  <c r="P2857" i="1"/>
  <c r="S2856" i="1"/>
  <c r="P2856" i="1"/>
  <c r="S2855" i="1"/>
  <c r="P2855" i="1"/>
  <c r="S2854" i="1"/>
  <c r="P2854" i="1"/>
  <c r="S2853" i="1"/>
  <c r="P2853" i="1"/>
  <c r="S2852" i="1"/>
  <c r="P2852" i="1"/>
  <c r="S2851" i="1"/>
  <c r="P2851" i="1"/>
  <c r="S2850" i="1"/>
  <c r="P2850" i="1"/>
  <c r="S2849" i="1"/>
  <c r="P2849" i="1"/>
  <c r="S2848" i="1"/>
  <c r="P2848" i="1"/>
  <c r="S2847" i="1"/>
  <c r="P2847" i="1"/>
  <c r="S2846" i="1"/>
  <c r="P2846" i="1"/>
  <c r="S2845" i="1"/>
  <c r="P2845" i="1"/>
  <c r="S2844" i="1"/>
  <c r="P2844" i="1"/>
  <c r="S2843" i="1"/>
  <c r="P2843" i="1"/>
  <c r="S2842" i="1"/>
  <c r="P2842" i="1"/>
  <c r="S2841" i="1"/>
  <c r="P2841" i="1"/>
  <c r="S2840" i="1"/>
  <c r="P2840" i="1"/>
  <c r="S2839" i="1"/>
  <c r="P2839" i="1"/>
  <c r="S2838" i="1"/>
  <c r="P2838" i="1"/>
  <c r="S2837" i="1"/>
  <c r="P2837" i="1"/>
  <c r="S2836" i="1"/>
  <c r="P2836" i="1"/>
  <c r="S2835" i="1"/>
  <c r="P2835" i="1"/>
  <c r="S2834" i="1"/>
  <c r="P2834" i="1"/>
  <c r="S2833" i="1"/>
  <c r="P2833" i="1"/>
  <c r="S2832" i="1"/>
  <c r="P2832" i="1"/>
  <c r="S2831" i="1"/>
  <c r="P2831" i="1"/>
  <c r="S2830" i="1"/>
  <c r="P2830" i="1"/>
  <c r="S2829" i="1"/>
  <c r="P2829" i="1"/>
  <c r="S2828" i="1"/>
  <c r="P2828" i="1"/>
  <c r="S2827" i="1"/>
  <c r="P2827" i="1"/>
  <c r="S2826" i="1"/>
  <c r="P2826" i="1"/>
  <c r="S2825" i="1"/>
  <c r="P2825" i="1"/>
  <c r="S2824" i="1"/>
  <c r="P2824" i="1"/>
  <c r="S2823" i="1"/>
  <c r="P2823" i="1"/>
  <c r="S2822" i="1"/>
  <c r="P2822" i="1"/>
  <c r="S2821" i="1"/>
  <c r="P2821" i="1"/>
  <c r="S2820" i="1"/>
  <c r="P2820" i="1"/>
  <c r="S2819" i="1"/>
  <c r="P2819" i="1"/>
  <c r="S2818" i="1"/>
  <c r="P2818" i="1"/>
  <c r="S2817" i="1"/>
  <c r="P2817" i="1"/>
  <c r="S2816" i="1"/>
  <c r="P2816" i="1"/>
  <c r="S2815" i="1"/>
  <c r="P2815" i="1"/>
  <c r="S2814" i="1"/>
  <c r="P2814" i="1"/>
  <c r="S2813" i="1"/>
  <c r="P2813" i="1"/>
  <c r="S2812" i="1"/>
  <c r="P2812" i="1"/>
  <c r="S2811" i="1"/>
  <c r="P2811" i="1"/>
  <c r="S2810" i="1"/>
  <c r="P2810" i="1"/>
  <c r="S2809" i="1"/>
  <c r="P2809" i="1"/>
  <c r="S2808" i="1"/>
  <c r="P2808" i="1"/>
  <c r="S2807" i="1"/>
  <c r="P2807" i="1"/>
  <c r="S2806" i="1"/>
  <c r="P2806" i="1"/>
  <c r="S2805" i="1"/>
  <c r="P2805" i="1"/>
  <c r="S2804" i="1"/>
  <c r="P2804" i="1"/>
  <c r="S2803" i="1"/>
  <c r="P2803" i="1"/>
  <c r="S2802" i="1"/>
  <c r="P2802" i="1"/>
  <c r="S2801" i="1"/>
  <c r="P2801" i="1"/>
  <c r="S2800" i="1"/>
  <c r="P2800" i="1"/>
  <c r="S2799" i="1"/>
  <c r="P2799" i="1"/>
  <c r="S2798" i="1"/>
  <c r="P2798" i="1"/>
  <c r="S2797" i="1"/>
  <c r="P2797" i="1"/>
  <c r="S2796" i="1"/>
  <c r="P2796" i="1"/>
  <c r="S2795" i="1"/>
  <c r="P2795" i="1"/>
  <c r="S2794" i="1"/>
  <c r="P2794" i="1"/>
  <c r="S2793" i="1"/>
  <c r="P2793" i="1"/>
  <c r="S2792" i="1"/>
  <c r="P2792" i="1"/>
  <c r="S2791" i="1"/>
  <c r="P2791" i="1"/>
  <c r="S2790" i="1"/>
  <c r="P2790" i="1"/>
  <c r="S2789" i="1"/>
  <c r="P2789" i="1"/>
  <c r="S2788" i="1"/>
  <c r="P2788" i="1"/>
  <c r="S2787" i="1"/>
  <c r="P2787" i="1"/>
  <c r="S2786" i="1"/>
  <c r="P2786" i="1"/>
  <c r="S2785" i="1"/>
  <c r="P2785" i="1"/>
  <c r="S2784" i="1"/>
  <c r="P2784" i="1"/>
  <c r="S2783" i="1"/>
  <c r="P2783" i="1"/>
  <c r="S2782" i="1"/>
  <c r="P2782" i="1"/>
  <c r="S2781" i="1"/>
  <c r="P2781" i="1"/>
  <c r="S2780" i="1"/>
  <c r="P2780" i="1"/>
  <c r="S2779" i="1"/>
  <c r="P2779" i="1"/>
  <c r="S2778" i="1"/>
  <c r="P2778" i="1"/>
  <c r="S2777" i="1"/>
  <c r="P2777" i="1"/>
  <c r="S2776" i="1"/>
  <c r="P2776" i="1"/>
  <c r="S2775" i="1"/>
  <c r="P2775" i="1"/>
  <c r="S2774" i="1"/>
  <c r="P2774" i="1"/>
  <c r="S2773" i="1"/>
  <c r="P2773" i="1"/>
  <c r="S2772" i="1"/>
  <c r="P2772" i="1"/>
  <c r="S2771" i="1"/>
  <c r="P2771" i="1"/>
  <c r="S2770" i="1"/>
  <c r="P2770" i="1"/>
  <c r="S2769" i="1"/>
  <c r="P2769" i="1"/>
  <c r="S2768" i="1"/>
  <c r="P2768" i="1"/>
  <c r="S2767" i="1"/>
  <c r="P2767" i="1"/>
  <c r="S2766" i="1"/>
  <c r="P2766" i="1"/>
  <c r="S2765" i="1"/>
  <c r="P2765" i="1"/>
  <c r="S2764" i="1"/>
  <c r="P2764" i="1"/>
  <c r="S2763" i="1"/>
  <c r="P2763" i="1"/>
  <c r="S2762" i="1"/>
  <c r="P2762" i="1"/>
  <c r="S2761" i="1"/>
  <c r="P2761" i="1"/>
  <c r="S2760" i="1"/>
  <c r="P2760" i="1"/>
  <c r="S2759" i="1"/>
  <c r="P2759" i="1"/>
  <c r="S2758" i="1"/>
  <c r="P2758" i="1"/>
  <c r="S2757" i="1"/>
  <c r="P2757" i="1"/>
  <c r="S2756" i="1"/>
  <c r="P2756" i="1"/>
  <c r="S2755" i="1"/>
  <c r="P2755" i="1"/>
  <c r="S2754" i="1"/>
  <c r="P2754" i="1"/>
  <c r="S2753" i="1"/>
  <c r="P2753" i="1"/>
  <c r="S2752" i="1"/>
  <c r="P2752" i="1"/>
  <c r="S2751" i="1"/>
  <c r="P2751" i="1"/>
  <c r="S2750" i="1"/>
  <c r="P2750" i="1"/>
  <c r="S2749" i="1"/>
  <c r="P2749" i="1"/>
  <c r="S2748" i="1"/>
  <c r="P2748" i="1"/>
  <c r="S2747" i="1"/>
  <c r="P2747" i="1"/>
  <c r="S2746" i="1"/>
  <c r="P2746" i="1"/>
  <c r="S2745" i="1"/>
  <c r="P2745" i="1"/>
  <c r="S2744" i="1"/>
  <c r="P2744" i="1"/>
  <c r="S2743" i="1"/>
  <c r="P2743" i="1"/>
  <c r="S2742" i="1"/>
  <c r="P2742" i="1"/>
  <c r="S2741" i="1"/>
  <c r="P2741" i="1"/>
  <c r="S2740" i="1"/>
  <c r="P2740" i="1"/>
  <c r="S2739" i="1"/>
  <c r="P2739" i="1"/>
  <c r="S2738" i="1"/>
  <c r="P2738" i="1"/>
  <c r="S2737" i="1"/>
  <c r="P2737" i="1"/>
  <c r="S2736" i="1"/>
  <c r="P2736" i="1"/>
  <c r="S2735" i="1"/>
  <c r="P2735" i="1"/>
  <c r="S2734" i="1"/>
  <c r="P2734" i="1"/>
  <c r="S2733" i="1"/>
  <c r="P2733" i="1"/>
  <c r="S2732" i="1"/>
  <c r="P2732" i="1"/>
  <c r="S2731" i="1"/>
  <c r="P2731" i="1"/>
  <c r="S2730" i="1"/>
  <c r="P2730" i="1"/>
  <c r="S2729" i="1"/>
  <c r="P2729" i="1"/>
  <c r="S2728" i="1"/>
  <c r="P2728" i="1"/>
  <c r="S2727" i="1"/>
  <c r="P2727" i="1"/>
  <c r="S2726" i="1"/>
  <c r="P2726" i="1"/>
  <c r="S2725" i="1"/>
  <c r="P2725" i="1"/>
  <c r="S2724" i="1"/>
  <c r="P2724" i="1"/>
  <c r="S2723" i="1"/>
  <c r="P2723" i="1"/>
  <c r="S2722" i="1"/>
  <c r="P2722" i="1"/>
  <c r="S2721" i="1"/>
  <c r="P2721" i="1"/>
  <c r="S2720" i="1"/>
  <c r="P2720" i="1"/>
  <c r="S2719" i="1"/>
  <c r="P2719" i="1"/>
  <c r="S2718" i="1"/>
  <c r="P2718" i="1"/>
  <c r="S2717" i="1"/>
  <c r="P2717" i="1"/>
  <c r="S2716" i="1"/>
  <c r="P2716" i="1"/>
  <c r="S2715" i="1"/>
  <c r="P2715" i="1"/>
  <c r="S2714" i="1"/>
  <c r="P2714" i="1"/>
  <c r="S2713" i="1"/>
  <c r="P2713" i="1"/>
  <c r="S2712" i="1"/>
  <c r="P2712" i="1"/>
  <c r="S2711" i="1"/>
  <c r="P2711" i="1"/>
  <c r="S2710" i="1"/>
  <c r="P2710" i="1"/>
  <c r="S2709" i="1"/>
  <c r="P2709" i="1"/>
  <c r="S2708" i="1"/>
  <c r="P2708" i="1"/>
  <c r="S2707" i="1"/>
  <c r="P2707" i="1"/>
  <c r="S2706" i="1"/>
  <c r="P2706" i="1"/>
  <c r="S2705" i="1"/>
  <c r="P2705" i="1"/>
  <c r="S2704" i="1"/>
  <c r="P2704" i="1"/>
  <c r="S2703" i="1"/>
  <c r="P2703" i="1"/>
  <c r="S2702" i="1"/>
  <c r="P2702" i="1"/>
  <c r="S2701" i="1"/>
  <c r="P2701" i="1"/>
  <c r="S2700" i="1"/>
  <c r="P2700" i="1"/>
  <c r="S2699" i="1"/>
  <c r="P2699" i="1"/>
  <c r="S2698" i="1"/>
  <c r="P2698" i="1"/>
  <c r="S2697" i="1"/>
  <c r="P2697" i="1"/>
  <c r="S2696" i="1"/>
  <c r="P2696" i="1"/>
  <c r="S2695" i="1"/>
  <c r="P2695" i="1"/>
  <c r="S2694" i="1"/>
  <c r="P2694" i="1"/>
  <c r="S2693" i="1"/>
  <c r="P2693" i="1"/>
  <c r="S2692" i="1"/>
  <c r="P2692" i="1"/>
  <c r="S2691" i="1"/>
  <c r="P2691" i="1"/>
  <c r="S2690" i="1"/>
  <c r="P2690" i="1"/>
  <c r="S2689" i="1"/>
  <c r="P2689" i="1"/>
  <c r="S2688" i="1"/>
  <c r="P2688" i="1"/>
  <c r="S2687" i="1"/>
  <c r="P2687" i="1"/>
  <c r="S2686" i="1"/>
  <c r="P2686" i="1"/>
  <c r="S2685" i="1"/>
  <c r="P2685" i="1"/>
  <c r="S2684" i="1"/>
  <c r="P2684" i="1"/>
  <c r="S2683" i="1"/>
  <c r="P2683" i="1"/>
  <c r="S2682" i="1"/>
  <c r="P2682" i="1"/>
  <c r="S2681" i="1"/>
  <c r="P2681" i="1"/>
  <c r="S2680" i="1"/>
  <c r="P2680" i="1"/>
  <c r="S2679" i="1"/>
  <c r="P2679" i="1"/>
  <c r="S2678" i="1"/>
  <c r="P2678" i="1"/>
  <c r="S2677" i="1"/>
  <c r="P2677" i="1"/>
  <c r="S2676" i="1"/>
  <c r="P2676" i="1"/>
  <c r="S2675" i="1"/>
  <c r="P2675" i="1"/>
  <c r="S2674" i="1"/>
  <c r="P2674" i="1"/>
  <c r="S2673" i="1"/>
  <c r="P2673" i="1"/>
  <c r="S2672" i="1"/>
  <c r="P2672" i="1"/>
  <c r="S2671" i="1"/>
  <c r="P2671" i="1"/>
  <c r="S2670" i="1"/>
  <c r="P2670" i="1"/>
  <c r="S2669" i="1"/>
  <c r="P2669" i="1"/>
  <c r="S2668" i="1"/>
  <c r="P2668" i="1"/>
  <c r="S2667" i="1"/>
  <c r="P2667" i="1"/>
  <c r="S2666" i="1"/>
  <c r="P2666" i="1"/>
  <c r="S2665" i="1"/>
  <c r="P2665" i="1"/>
  <c r="S2664" i="1"/>
  <c r="P2664" i="1"/>
  <c r="S2663" i="1"/>
  <c r="P2663" i="1"/>
  <c r="S2662" i="1"/>
  <c r="P2662" i="1"/>
  <c r="S2661" i="1"/>
  <c r="P2661" i="1"/>
  <c r="S2660" i="1"/>
  <c r="P2660" i="1"/>
  <c r="S2659" i="1"/>
  <c r="P2659" i="1"/>
  <c r="S2658" i="1"/>
  <c r="P2658" i="1"/>
  <c r="S2657" i="1"/>
  <c r="P2657" i="1"/>
  <c r="S2656" i="1"/>
  <c r="P2656" i="1"/>
  <c r="S2655" i="1"/>
  <c r="P2655" i="1"/>
  <c r="S2654" i="1"/>
  <c r="P2654" i="1"/>
  <c r="S2653" i="1"/>
  <c r="P2653" i="1"/>
  <c r="S2652" i="1"/>
  <c r="P2652" i="1"/>
  <c r="S2651" i="1"/>
  <c r="P2651" i="1"/>
  <c r="S2650" i="1"/>
  <c r="P2650" i="1"/>
  <c r="S2649" i="1"/>
  <c r="P2649" i="1"/>
  <c r="S2648" i="1"/>
  <c r="P2648" i="1"/>
  <c r="S2647" i="1"/>
  <c r="P2647" i="1"/>
  <c r="S2646" i="1"/>
  <c r="P2646" i="1"/>
  <c r="S2645" i="1"/>
  <c r="P2645" i="1"/>
  <c r="S2644" i="1"/>
  <c r="P2644" i="1"/>
  <c r="S2643" i="1"/>
  <c r="P2643" i="1"/>
  <c r="S2642" i="1"/>
  <c r="P2642" i="1"/>
  <c r="S2641" i="1"/>
  <c r="P2641" i="1"/>
  <c r="S2640" i="1"/>
  <c r="P2640" i="1"/>
  <c r="S2639" i="1"/>
  <c r="P2639" i="1"/>
  <c r="S2638" i="1"/>
  <c r="P2638" i="1"/>
  <c r="S2637" i="1"/>
  <c r="P2637" i="1"/>
  <c r="S2636" i="1"/>
  <c r="P2636" i="1"/>
  <c r="S2635" i="1"/>
  <c r="P2635" i="1"/>
  <c r="S2634" i="1"/>
  <c r="P2634" i="1"/>
  <c r="S2633" i="1"/>
  <c r="P2633" i="1"/>
  <c r="S2632" i="1"/>
  <c r="P2632" i="1"/>
  <c r="S2631" i="1"/>
  <c r="P2631" i="1"/>
  <c r="S2630" i="1"/>
  <c r="P2630" i="1"/>
  <c r="S2629" i="1"/>
  <c r="P2629" i="1"/>
  <c r="S2628" i="1"/>
  <c r="P2628" i="1"/>
  <c r="S2627" i="1"/>
  <c r="P2627" i="1"/>
  <c r="S2626" i="1"/>
  <c r="P2626" i="1"/>
  <c r="S2625" i="1"/>
  <c r="P2625" i="1"/>
  <c r="S2624" i="1"/>
  <c r="P2624" i="1"/>
  <c r="S2623" i="1"/>
  <c r="P2623" i="1"/>
  <c r="S2622" i="1"/>
  <c r="P2622" i="1"/>
  <c r="S2621" i="1"/>
  <c r="P2621" i="1"/>
  <c r="S2620" i="1"/>
  <c r="P2620" i="1"/>
  <c r="S2619" i="1"/>
  <c r="P2619" i="1"/>
  <c r="S2618" i="1"/>
  <c r="P2618" i="1"/>
  <c r="S2617" i="1"/>
  <c r="P2617" i="1"/>
  <c r="S2616" i="1"/>
  <c r="P2616" i="1"/>
  <c r="S2615" i="1"/>
  <c r="P2615" i="1"/>
  <c r="S2614" i="1"/>
  <c r="P2614" i="1"/>
  <c r="S2613" i="1"/>
  <c r="P2613" i="1"/>
  <c r="S2612" i="1"/>
  <c r="P2612" i="1"/>
  <c r="S2611" i="1"/>
  <c r="P2611" i="1"/>
  <c r="S2610" i="1"/>
  <c r="P2610" i="1"/>
  <c r="S2609" i="1"/>
  <c r="P2609" i="1"/>
  <c r="S2608" i="1"/>
  <c r="P2608" i="1"/>
  <c r="S2607" i="1"/>
  <c r="P2607" i="1"/>
  <c r="S2606" i="1"/>
  <c r="P2606" i="1"/>
  <c r="S2605" i="1"/>
  <c r="P2605" i="1"/>
  <c r="S2604" i="1"/>
  <c r="P2604" i="1"/>
  <c r="S2603" i="1"/>
  <c r="P2603" i="1"/>
  <c r="S2602" i="1"/>
  <c r="P2602" i="1"/>
  <c r="S2601" i="1"/>
  <c r="P2601" i="1"/>
  <c r="S2600" i="1"/>
  <c r="P2600" i="1"/>
  <c r="S2599" i="1"/>
  <c r="P2599" i="1"/>
  <c r="S2598" i="1"/>
  <c r="P2598" i="1"/>
  <c r="S2597" i="1"/>
  <c r="P2597" i="1"/>
  <c r="S2596" i="1"/>
  <c r="P2596" i="1"/>
  <c r="S2595" i="1"/>
  <c r="P2595" i="1"/>
  <c r="S2594" i="1"/>
  <c r="P2594" i="1"/>
  <c r="S2593" i="1"/>
  <c r="P2593" i="1"/>
  <c r="S2592" i="1"/>
  <c r="P2592" i="1"/>
  <c r="S2591" i="1"/>
  <c r="P2591" i="1"/>
  <c r="S2590" i="1"/>
  <c r="P2590" i="1"/>
  <c r="S2589" i="1"/>
  <c r="P2589" i="1"/>
  <c r="S2588" i="1"/>
  <c r="P2588" i="1"/>
  <c r="S2587" i="1"/>
  <c r="P2587" i="1"/>
  <c r="S2586" i="1"/>
  <c r="P2586" i="1"/>
  <c r="S2585" i="1"/>
  <c r="P2585" i="1"/>
  <c r="S2584" i="1"/>
  <c r="P2584" i="1"/>
  <c r="S2583" i="1"/>
  <c r="P2583" i="1"/>
  <c r="S2582" i="1"/>
  <c r="P2582" i="1"/>
  <c r="S2581" i="1"/>
  <c r="P2581" i="1"/>
  <c r="S2580" i="1"/>
  <c r="P2580" i="1"/>
  <c r="S2579" i="1"/>
  <c r="P2579" i="1"/>
  <c r="S2578" i="1"/>
  <c r="P2578" i="1"/>
  <c r="S2577" i="1"/>
  <c r="P2577" i="1"/>
  <c r="S2576" i="1"/>
  <c r="P2576" i="1"/>
  <c r="S2575" i="1"/>
  <c r="P2575" i="1"/>
  <c r="S2574" i="1"/>
  <c r="P2574" i="1"/>
  <c r="S2573" i="1"/>
  <c r="P2573" i="1"/>
  <c r="S2572" i="1"/>
  <c r="P2572" i="1"/>
  <c r="S2571" i="1"/>
  <c r="P2571" i="1"/>
  <c r="S2570" i="1"/>
  <c r="P2570" i="1"/>
  <c r="S2569" i="1"/>
  <c r="P2569" i="1"/>
  <c r="S2568" i="1"/>
  <c r="P2568" i="1"/>
  <c r="S2567" i="1"/>
  <c r="P2567" i="1"/>
  <c r="S2566" i="1"/>
  <c r="P2566" i="1"/>
  <c r="S2565" i="1"/>
  <c r="P2565" i="1"/>
  <c r="S2564" i="1"/>
  <c r="P2564" i="1"/>
  <c r="S2563" i="1"/>
  <c r="P2563" i="1"/>
  <c r="S2562" i="1"/>
  <c r="P2562" i="1"/>
  <c r="S2561" i="1"/>
  <c r="P2561" i="1"/>
  <c r="S2560" i="1"/>
  <c r="P2560" i="1"/>
  <c r="S2559" i="1"/>
  <c r="P2559" i="1"/>
  <c r="S2558" i="1"/>
  <c r="P2558" i="1"/>
  <c r="S2557" i="1"/>
  <c r="P2557" i="1"/>
  <c r="S2556" i="1"/>
  <c r="P2556" i="1"/>
  <c r="S2555" i="1"/>
  <c r="P2555" i="1"/>
  <c r="S2554" i="1"/>
  <c r="P2554" i="1"/>
  <c r="S2553" i="1"/>
  <c r="P2553" i="1"/>
  <c r="S2552" i="1"/>
  <c r="P2552" i="1"/>
  <c r="S2551" i="1"/>
  <c r="P2551" i="1"/>
  <c r="S2550" i="1"/>
  <c r="P2550" i="1"/>
  <c r="S2549" i="1"/>
  <c r="P2549" i="1"/>
  <c r="S2548" i="1"/>
  <c r="P2548" i="1"/>
  <c r="S2547" i="1"/>
  <c r="P2547" i="1"/>
  <c r="S2546" i="1"/>
  <c r="P2546" i="1"/>
  <c r="S2545" i="1"/>
  <c r="P2545" i="1"/>
  <c r="S2544" i="1"/>
  <c r="P2544" i="1"/>
  <c r="S2543" i="1"/>
  <c r="P2543" i="1"/>
  <c r="S2542" i="1"/>
  <c r="P2542" i="1"/>
  <c r="S2541" i="1"/>
  <c r="P2541" i="1"/>
  <c r="S2540" i="1"/>
  <c r="P2540" i="1"/>
  <c r="S2539" i="1"/>
  <c r="P2539" i="1"/>
  <c r="S2538" i="1"/>
  <c r="P2538" i="1"/>
  <c r="S2537" i="1"/>
  <c r="P2537" i="1"/>
  <c r="S2536" i="1"/>
  <c r="P2536" i="1"/>
  <c r="S2535" i="1"/>
  <c r="P2535" i="1"/>
  <c r="S2534" i="1"/>
  <c r="P2534" i="1"/>
  <c r="S2533" i="1"/>
  <c r="P2533" i="1"/>
  <c r="S2532" i="1"/>
  <c r="P2532" i="1"/>
  <c r="S2531" i="1"/>
  <c r="P2531" i="1"/>
  <c r="S2530" i="1"/>
  <c r="P2530" i="1"/>
  <c r="S2529" i="1"/>
  <c r="P2529" i="1"/>
  <c r="S2528" i="1"/>
  <c r="P2528" i="1"/>
  <c r="S2527" i="1"/>
  <c r="P2527" i="1"/>
  <c r="S2526" i="1"/>
  <c r="P2526" i="1"/>
  <c r="S2525" i="1"/>
  <c r="P2525" i="1"/>
  <c r="S2524" i="1"/>
  <c r="P2524" i="1"/>
  <c r="S2523" i="1"/>
  <c r="P2523" i="1"/>
  <c r="S2522" i="1"/>
  <c r="P2522" i="1"/>
  <c r="S2521" i="1"/>
  <c r="P2521" i="1"/>
  <c r="S2520" i="1"/>
  <c r="P2520" i="1"/>
  <c r="S2519" i="1"/>
  <c r="P2519" i="1"/>
  <c r="S2518" i="1"/>
  <c r="P2518" i="1"/>
  <c r="S2517" i="1"/>
  <c r="P2517" i="1"/>
  <c r="S2516" i="1"/>
  <c r="P2516" i="1"/>
  <c r="S2515" i="1"/>
  <c r="P2515" i="1"/>
  <c r="S2514" i="1"/>
  <c r="P2514" i="1"/>
  <c r="S2513" i="1"/>
  <c r="P2513" i="1"/>
  <c r="S2512" i="1"/>
  <c r="P2512" i="1"/>
  <c r="S2511" i="1"/>
  <c r="P2511" i="1"/>
  <c r="S2510" i="1"/>
  <c r="P2510" i="1"/>
  <c r="S2509" i="1"/>
  <c r="P2509" i="1"/>
  <c r="S2508" i="1"/>
  <c r="P2508" i="1"/>
  <c r="S2507" i="1"/>
  <c r="P2507" i="1"/>
  <c r="S2506" i="1"/>
  <c r="P2506" i="1"/>
  <c r="S2505" i="1"/>
  <c r="P2505" i="1"/>
  <c r="S2504" i="1"/>
  <c r="P2504" i="1"/>
  <c r="S2503" i="1"/>
  <c r="P2503" i="1"/>
  <c r="S2502" i="1"/>
  <c r="P2502" i="1"/>
  <c r="S2501" i="1"/>
  <c r="P2501" i="1"/>
  <c r="S2500" i="1"/>
  <c r="P2500" i="1"/>
  <c r="S2499" i="1"/>
  <c r="P2499" i="1"/>
  <c r="S2498" i="1"/>
  <c r="P2498" i="1"/>
  <c r="S2497" i="1"/>
  <c r="P2497" i="1"/>
  <c r="S2496" i="1"/>
  <c r="P2496" i="1"/>
  <c r="S2495" i="1"/>
  <c r="P2495" i="1"/>
  <c r="S2494" i="1"/>
  <c r="P2494" i="1"/>
  <c r="S2493" i="1"/>
  <c r="P2493" i="1"/>
  <c r="S2492" i="1"/>
  <c r="P2492" i="1"/>
  <c r="S2491" i="1"/>
  <c r="P2491" i="1"/>
  <c r="S2490" i="1"/>
  <c r="P2490" i="1"/>
  <c r="S2489" i="1"/>
  <c r="P2489" i="1"/>
  <c r="S2488" i="1"/>
  <c r="P2488" i="1"/>
  <c r="S2487" i="1"/>
  <c r="P2487" i="1"/>
  <c r="S2486" i="1"/>
  <c r="P2486" i="1"/>
  <c r="S2485" i="1"/>
  <c r="P2485" i="1"/>
  <c r="S2484" i="1"/>
  <c r="P2484" i="1"/>
  <c r="S2483" i="1"/>
  <c r="P2483" i="1"/>
  <c r="S2482" i="1"/>
  <c r="P2482" i="1"/>
  <c r="S2481" i="1"/>
  <c r="P2481" i="1"/>
  <c r="S2480" i="1"/>
  <c r="P2480" i="1"/>
  <c r="S2479" i="1"/>
  <c r="P2479" i="1"/>
  <c r="S2478" i="1"/>
  <c r="P2478" i="1"/>
  <c r="S2477" i="1"/>
  <c r="P2477" i="1"/>
  <c r="S2476" i="1"/>
  <c r="P2476" i="1"/>
  <c r="S2475" i="1"/>
  <c r="P2475" i="1"/>
  <c r="S2474" i="1"/>
  <c r="P2474" i="1"/>
  <c r="S2473" i="1"/>
  <c r="P2473" i="1"/>
  <c r="S2472" i="1"/>
  <c r="P2472" i="1"/>
  <c r="S2471" i="1"/>
  <c r="P2471" i="1"/>
  <c r="S2470" i="1"/>
  <c r="P2470" i="1"/>
  <c r="S2469" i="1"/>
  <c r="P2469" i="1"/>
  <c r="S2468" i="1"/>
  <c r="P2468" i="1"/>
  <c r="S2467" i="1"/>
  <c r="P2467" i="1"/>
  <c r="S2466" i="1"/>
  <c r="P2466" i="1"/>
  <c r="S2465" i="1"/>
  <c r="P2465" i="1"/>
  <c r="S2464" i="1"/>
  <c r="P2464" i="1"/>
  <c r="S2463" i="1"/>
  <c r="P2463" i="1"/>
  <c r="S2462" i="1"/>
  <c r="P2462" i="1"/>
  <c r="S2461" i="1"/>
  <c r="P2461" i="1"/>
  <c r="S2460" i="1"/>
  <c r="P2460" i="1"/>
  <c r="S2459" i="1"/>
  <c r="P2459" i="1"/>
  <c r="S2458" i="1"/>
  <c r="P2458" i="1"/>
  <c r="S2457" i="1"/>
  <c r="P2457" i="1"/>
  <c r="S2456" i="1"/>
  <c r="P2456" i="1"/>
  <c r="S2455" i="1"/>
  <c r="P2455" i="1"/>
  <c r="S2454" i="1"/>
  <c r="P2454" i="1"/>
  <c r="S2453" i="1"/>
  <c r="P2453" i="1"/>
  <c r="S2452" i="1"/>
  <c r="P2452" i="1"/>
  <c r="S2451" i="1"/>
  <c r="P2451" i="1"/>
  <c r="S2450" i="1"/>
  <c r="P2450" i="1"/>
  <c r="S2449" i="1"/>
  <c r="P2449" i="1"/>
  <c r="S2448" i="1"/>
  <c r="P2448" i="1"/>
  <c r="S2447" i="1"/>
  <c r="P2447" i="1"/>
  <c r="S2446" i="1"/>
  <c r="P2446" i="1"/>
  <c r="S2445" i="1"/>
  <c r="P2445" i="1"/>
  <c r="S2444" i="1"/>
  <c r="P2444" i="1"/>
  <c r="S2443" i="1"/>
  <c r="P2443" i="1"/>
  <c r="S2442" i="1"/>
  <c r="P2442" i="1"/>
  <c r="S2441" i="1"/>
  <c r="P2441" i="1"/>
  <c r="S2440" i="1"/>
  <c r="P2440" i="1"/>
  <c r="S2439" i="1"/>
  <c r="P2439" i="1"/>
  <c r="S2438" i="1"/>
  <c r="P2438" i="1"/>
  <c r="S2437" i="1"/>
  <c r="P2437" i="1"/>
  <c r="S2436" i="1"/>
  <c r="P2436" i="1"/>
  <c r="S2435" i="1"/>
  <c r="P2435" i="1"/>
  <c r="S2434" i="1"/>
  <c r="P2434" i="1"/>
  <c r="S2433" i="1"/>
  <c r="P2433" i="1"/>
  <c r="S2432" i="1"/>
  <c r="P2432" i="1"/>
  <c r="S2431" i="1"/>
  <c r="P2431" i="1"/>
  <c r="S2430" i="1"/>
  <c r="P2430" i="1"/>
  <c r="S2429" i="1"/>
  <c r="P2429" i="1"/>
  <c r="S2428" i="1"/>
  <c r="P2428" i="1"/>
  <c r="S2427" i="1"/>
  <c r="P2427" i="1"/>
  <c r="S2426" i="1"/>
  <c r="P2426" i="1"/>
  <c r="S2425" i="1"/>
  <c r="P2425" i="1"/>
  <c r="S2424" i="1"/>
  <c r="P2424" i="1"/>
  <c r="S2423" i="1"/>
  <c r="P2423" i="1"/>
  <c r="S2422" i="1"/>
  <c r="P2422" i="1"/>
  <c r="S2421" i="1"/>
  <c r="P2421" i="1"/>
  <c r="S2420" i="1"/>
  <c r="P2420" i="1"/>
  <c r="S2419" i="1"/>
  <c r="P2419" i="1"/>
  <c r="S2418" i="1"/>
  <c r="P2418" i="1"/>
  <c r="S2417" i="1"/>
  <c r="P2417" i="1"/>
  <c r="S2416" i="1"/>
  <c r="P2416" i="1"/>
  <c r="S2415" i="1"/>
  <c r="P2415" i="1"/>
  <c r="S2414" i="1"/>
  <c r="P2414" i="1"/>
  <c r="S2413" i="1"/>
  <c r="P2413" i="1"/>
  <c r="S2412" i="1"/>
  <c r="P2412" i="1"/>
  <c r="S2411" i="1"/>
  <c r="P2411" i="1"/>
  <c r="S2410" i="1"/>
  <c r="P2410" i="1"/>
  <c r="S2409" i="1"/>
  <c r="P2409" i="1"/>
  <c r="S2408" i="1"/>
  <c r="P2408" i="1"/>
  <c r="S2407" i="1"/>
  <c r="P2407" i="1"/>
  <c r="S2406" i="1"/>
  <c r="P2406" i="1"/>
  <c r="S2405" i="1"/>
  <c r="P2405" i="1"/>
  <c r="S2404" i="1"/>
  <c r="P2404" i="1"/>
  <c r="S2403" i="1"/>
  <c r="P2403" i="1"/>
  <c r="S2402" i="1"/>
  <c r="P2402" i="1"/>
  <c r="S2401" i="1"/>
  <c r="P2401" i="1"/>
  <c r="S2400" i="1"/>
  <c r="P2400" i="1"/>
  <c r="S2399" i="1"/>
  <c r="P2399" i="1"/>
  <c r="S2398" i="1"/>
  <c r="P2398" i="1"/>
  <c r="S2397" i="1"/>
  <c r="P2397" i="1"/>
  <c r="S2396" i="1"/>
  <c r="P2396" i="1"/>
  <c r="S2395" i="1"/>
  <c r="P2395" i="1"/>
  <c r="S2394" i="1"/>
  <c r="P2394" i="1"/>
  <c r="S2393" i="1"/>
  <c r="P2393" i="1"/>
  <c r="S2392" i="1"/>
  <c r="P2392" i="1"/>
  <c r="S2391" i="1"/>
  <c r="P2391" i="1"/>
  <c r="S2390" i="1"/>
  <c r="P2390" i="1"/>
  <c r="S2389" i="1"/>
  <c r="P2389" i="1"/>
  <c r="S2388" i="1"/>
  <c r="P2388" i="1"/>
  <c r="S2387" i="1"/>
  <c r="P2387" i="1"/>
  <c r="S2386" i="1"/>
  <c r="P2386" i="1"/>
  <c r="S2385" i="1"/>
  <c r="P2385" i="1"/>
  <c r="S2384" i="1"/>
  <c r="P2384" i="1"/>
  <c r="S2383" i="1"/>
  <c r="P2383" i="1"/>
  <c r="S2382" i="1"/>
  <c r="P2382" i="1"/>
  <c r="S2381" i="1"/>
  <c r="P2381" i="1"/>
  <c r="S2380" i="1"/>
  <c r="P2380" i="1"/>
  <c r="S2379" i="1"/>
  <c r="P2379" i="1"/>
  <c r="S2378" i="1"/>
  <c r="P2378" i="1"/>
  <c r="S2377" i="1"/>
  <c r="P2377" i="1"/>
  <c r="S2376" i="1"/>
  <c r="P2376" i="1"/>
  <c r="S2375" i="1"/>
  <c r="P2375" i="1"/>
  <c r="S2374" i="1"/>
  <c r="P2374" i="1"/>
  <c r="S2373" i="1"/>
  <c r="P2373" i="1"/>
  <c r="S2372" i="1"/>
  <c r="P2372" i="1"/>
  <c r="S2371" i="1"/>
  <c r="P2371" i="1"/>
  <c r="S2370" i="1"/>
  <c r="P2370" i="1"/>
  <c r="S2369" i="1"/>
  <c r="P2369" i="1"/>
  <c r="S2368" i="1"/>
  <c r="P2368" i="1"/>
  <c r="S2367" i="1"/>
  <c r="P2367" i="1"/>
  <c r="S2366" i="1"/>
  <c r="P2366" i="1"/>
  <c r="S2365" i="1"/>
  <c r="P2365" i="1"/>
  <c r="S2364" i="1"/>
  <c r="P2364" i="1"/>
  <c r="S2363" i="1"/>
  <c r="P2363" i="1"/>
  <c r="S2362" i="1"/>
  <c r="P2362" i="1"/>
  <c r="S2361" i="1"/>
  <c r="P2361" i="1"/>
  <c r="S2360" i="1"/>
  <c r="P2360" i="1"/>
  <c r="S2359" i="1"/>
  <c r="P2359" i="1"/>
  <c r="S2358" i="1"/>
  <c r="P2358" i="1"/>
  <c r="S2357" i="1"/>
  <c r="P2357" i="1"/>
  <c r="S2356" i="1"/>
  <c r="P2356" i="1"/>
  <c r="S2355" i="1"/>
  <c r="P2355" i="1"/>
  <c r="S2354" i="1"/>
  <c r="P2354" i="1"/>
  <c r="S2353" i="1"/>
  <c r="P2353" i="1"/>
  <c r="S2352" i="1"/>
  <c r="P2352" i="1"/>
  <c r="S2351" i="1"/>
  <c r="P2351" i="1"/>
  <c r="S2350" i="1"/>
  <c r="P2350" i="1"/>
  <c r="S2349" i="1"/>
  <c r="P2349" i="1"/>
  <c r="S2348" i="1"/>
  <c r="P2348" i="1"/>
  <c r="S2347" i="1"/>
  <c r="P2347" i="1"/>
  <c r="S2346" i="1"/>
  <c r="P2346" i="1"/>
  <c r="S2345" i="1"/>
  <c r="P2345" i="1"/>
  <c r="S2344" i="1"/>
  <c r="P2344" i="1"/>
  <c r="S2343" i="1"/>
  <c r="P2343" i="1"/>
  <c r="S2342" i="1"/>
  <c r="P2342" i="1"/>
  <c r="S2341" i="1"/>
  <c r="P2341" i="1"/>
  <c r="S2340" i="1"/>
  <c r="P2340" i="1"/>
  <c r="S2339" i="1"/>
  <c r="P2339" i="1"/>
  <c r="S2338" i="1"/>
  <c r="P2338" i="1"/>
  <c r="S2337" i="1"/>
  <c r="P2337" i="1"/>
  <c r="S2336" i="1"/>
  <c r="P2336" i="1"/>
  <c r="S3577" i="1"/>
  <c r="T3577" i="1" s="1"/>
  <c r="P3578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S2335" i="1" l="1"/>
  <c r="P2335" i="1"/>
  <c r="S2334" i="1"/>
  <c r="P2334" i="1"/>
  <c r="S2333" i="1"/>
  <c r="P2333" i="1"/>
  <c r="S2332" i="1"/>
  <c r="P2332" i="1"/>
  <c r="S2331" i="1"/>
  <c r="P2331" i="1"/>
  <c r="S2330" i="1"/>
  <c r="P2330" i="1"/>
  <c r="S2329" i="1"/>
  <c r="P2329" i="1"/>
  <c r="S2328" i="1"/>
  <c r="P2328" i="1"/>
  <c r="S2327" i="1"/>
  <c r="P2327" i="1"/>
  <c r="S2326" i="1"/>
  <c r="P2326" i="1"/>
  <c r="S2325" i="1"/>
  <c r="P2325" i="1"/>
  <c r="S2324" i="1"/>
  <c r="P2324" i="1"/>
  <c r="S2323" i="1"/>
  <c r="P2323" i="1"/>
  <c r="S2322" i="1"/>
  <c r="P2322" i="1"/>
  <c r="S2321" i="1"/>
  <c r="P2321" i="1"/>
  <c r="S2320" i="1"/>
  <c r="P2320" i="1"/>
  <c r="S2319" i="1"/>
  <c r="P2319" i="1"/>
  <c r="S2318" i="1"/>
  <c r="P2318" i="1"/>
  <c r="S2317" i="1"/>
  <c r="P2317" i="1"/>
  <c r="S2316" i="1"/>
  <c r="P2316" i="1"/>
  <c r="S2315" i="1"/>
  <c r="P2315" i="1"/>
  <c r="S2314" i="1"/>
  <c r="P2314" i="1"/>
  <c r="S2313" i="1"/>
  <c r="P2313" i="1"/>
  <c r="S2312" i="1"/>
  <c r="P2312" i="1"/>
  <c r="S2311" i="1"/>
  <c r="P2311" i="1"/>
  <c r="S2310" i="1"/>
  <c r="P2310" i="1"/>
  <c r="S2309" i="1"/>
  <c r="P2309" i="1"/>
  <c r="S2308" i="1"/>
  <c r="P2308" i="1"/>
  <c r="S2307" i="1"/>
  <c r="P2307" i="1"/>
  <c r="S2306" i="1"/>
  <c r="P2306" i="1"/>
  <c r="S2305" i="1"/>
  <c r="P2305" i="1"/>
  <c r="S2304" i="1"/>
  <c r="P2304" i="1"/>
  <c r="S2303" i="1"/>
  <c r="P2303" i="1"/>
  <c r="S2302" i="1"/>
  <c r="P2302" i="1"/>
  <c r="S2301" i="1"/>
  <c r="P2301" i="1"/>
  <c r="S2300" i="1"/>
  <c r="P2300" i="1"/>
  <c r="S2299" i="1"/>
  <c r="P2299" i="1"/>
  <c r="S2298" i="1"/>
  <c r="P2298" i="1"/>
  <c r="S2297" i="1"/>
  <c r="P2297" i="1"/>
  <c r="S2296" i="1"/>
  <c r="P2296" i="1"/>
  <c r="S2295" i="1"/>
  <c r="P2295" i="1"/>
  <c r="S2294" i="1"/>
  <c r="P2294" i="1"/>
  <c r="S2293" i="1"/>
  <c r="P2293" i="1"/>
  <c r="S2292" i="1"/>
  <c r="P2292" i="1"/>
  <c r="S2291" i="1"/>
  <c r="P2291" i="1"/>
  <c r="S2290" i="1"/>
  <c r="P2290" i="1"/>
  <c r="S2289" i="1"/>
  <c r="P2289" i="1"/>
  <c r="S2288" i="1"/>
  <c r="P2288" i="1"/>
  <c r="S2287" i="1"/>
  <c r="P2287" i="1"/>
  <c r="S2286" i="1"/>
  <c r="P2286" i="1"/>
  <c r="S2285" i="1"/>
  <c r="P2285" i="1"/>
  <c r="S2284" i="1"/>
  <c r="P2284" i="1"/>
  <c r="S2283" i="1"/>
  <c r="P2283" i="1"/>
  <c r="S2282" i="1"/>
  <c r="P2282" i="1"/>
  <c r="S2281" i="1"/>
  <c r="P2281" i="1"/>
  <c r="S2280" i="1"/>
  <c r="P2280" i="1"/>
  <c r="S2279" i="1"/>
  <c r="P2279" i="1"/>
  <c r="S2278" i="1"/>
  <c r="P2278" i="1"/>
  <c r="S2277" i="1"/>
  <c r="P2277" i="1"/>
  <c r="S2276" i="1"/>
  <c r="P2276" i="1"/>
  <c r="S2275" i="1"/>
  <c r="P2275" i="1"/>
  <c r="S2274" i="1"/>
  <c r="P2274" i="1"/>
  <c r="S2273" i="1"/>
  <c r="P2273" i="1"/>
  <c r="S2272" i="1"/>
  <c r="P2272" i="1"/>
  <c r="S2271" i="1"/>
  <c r="P2271" i="1"/>
  <c r="S2270" i="1"/>
  <c r="P2270" i="1"/>
  <c r="S2269" i="1"/>
  <c r="P2269" i="1"/>
  <c r="S2268" i="1"/>
  <c r="P2268" i="1"/>
  <c r="S2267" i="1"/>
  <c r="P2267" i="1"/>
  <c r="S2266" i="1"/>
  <c r="P2266" i="1"/>
  <c r="S2265" i="1"/>
  <c r="P2265" i="1"/>
  <c r="S2264" i="1"/>
  <c r="P2264" i="1"/>
  <c r="S2263" i="1"/>
  <c r="P2263" i="1"/>
  <c r="S2262" i="1"/>
  <c r="P2262" i="1"/>
  <c r="S2261" i="1"/>
  <c r="P2261" i="1"/>
  <c r="S2260" i="1"/>
  <c r="P2260" i="1"/>
  <c r="S2259" i="1"/>
  <c r="P2259" i="1"/>
  <c r="S2258" i="1"/>
  <c r="P2258" i="1"/>
  <c r="S2257" i="1"/>
  <c r="P2257" i="1"/>
  <c r="S2256" i="1"/>
  <c r="P2256" i="1"/>
  <c r="S2255" i="1"/>
  <c r="P2255" i="1"/>
  <c r="S2254" i="1"/>
  <c r="P2254" i="1"/>
  <c r="S2253" i="1"/>
  <c r="P2253" i="1"/>
  <c r="S2252" i="1"/>
  <c r="P2252" i="1"/>
  <c r="S2251" i="1"/>
  <c r="P2251" i="1"/>
  <c r="S2250" i="1"/>
  <c r="P2250" i="1"/>
  <c r="S2249" i="1"/>
  <c r="P2249" i="1"/>
  <c r="S2248" i="1"/>
  <c r="P2248" i="1"/>
  <c r="S2247" i="1"/>
  <c r="P2247" i="1"/>
  <c r="S2246" i="1"/>
  <c r="P2246" i="1"/>
  <c r="S2245" i="1"/>
  <c r="P2245" i="1"/>
  <c r="S2244" i="1"/>
  <c r="P2244" i="1"/>
  <c r="S2243" i="1"/>
  <c r="P2243" i="1"/>
  <c r="S2242" i="1"/>
  <c r="P2242" i="1"/>
  <c r="S2241" i="1"/>
  <c r="P2241" i="1"/>
  <c r="S2240" i="1"/>
  <c r="P2240" i="1"/>
  <c r="S2239" i="1"/>
  <c r="P2239" i="1"/>
  <c r="S2238" i="1"/>
  <c r="P2238" i="1"/>
  <c r="S2237" i="1"/>
  <c r="P2237" i="1"/>
  <c r="S2236" i="1"/>
  <c r="P2236" i="1"/>
  <c r="S2235" i="1"/>
  <c r="P2235" i="1"/>
  <c r="S2234" i="1"/>
  <c r="P2234" i="1"/>
  <c r="S2233" i="1"/>
  <c r="P2233" i="1"/>
  <c r="S2232" i="1"/>
  <c r="P2232" i="1"/>
  <c r="S2231" i="1"/>
  <c r="P2231" i="1"/>
  <c r="S2230" i="1"/>
  <c r="P2230" i="1"/>
  <c r="S2229" i="1"/>
  <c r="P2229" i="1"/>
  <c r="S2228" i="1"/>
  <c r="P2228" i="1"/>
  <c r="S2227" i="1"/>
  <c r="P2227" i="1"/>
  <c r="S2226" i="1"/>
  <c r="P2226" i="1"/>
  <c r="S2225" i="1"/>
  <c r="P2225" i="1"/>
  <c r="S2224" i="1"/>
  <c r="P2224" i="1"/>
  <c r="S2223" i="1"/>
  <c r="P2223" i="1"/>
  <c r="S2222" i="1"/>
  <c r="P2222" i="1"/>
  <c r="S2221" i="1"/>
  <c r="P2221" i="1"/>
  <c r="S2220" i="1"/>
  <c r="P2220" i="1"/>
  <c r="S2219" i="1"/>
  <c r="P2219" i="1"/>
  <c r="S2218" i="1"/>
  <c r="P2218" i="1"/>
  <c r="S2217" i="1"/>
  <c r="P2217" i="1"/>
  <c r="S2216" i="1"/>
  <c r="P2216" i="1"/>
  <c r="S2215" i="1"/>
  <c r="P2215" i="1"/>
  <c r="S2214" i="1"/>
  <c r="P2214" i="1"/>
  <c r="S2213" i="1"/>
  <c r="P2213" i="1"/>
  <c r="S2212" i="1"/>
  <c r="P2212" i="1"/>
  <c r="S2211" i="1"/>
  <c r="P2211" i="1"/>
  <c r="S2210" i="1"/>
  <c r="P2210" i="1"/>
  <c r="S2209" i="1"/>
  <c r="P2209" i="1"/>
  <c r="S2208" i="1"/>
  <c r="P2208" i="1"/>
  <c r="S2207" i="1"/>
  <c r="P2207" i="1"/>
  <c r="S2206" i="1"/>
  <c r="P2206" i="1"/>
  <c r="S2205" i="1"/>
  <c r="P2205" i="1"/>
  <c r="S2204" i="1"/>
  <c r="P2204" i="1"/>
  <c r="S2203" i="1"/>
  <c r="P2203" i="1"/>
  <c r="S2202" i="1"/>
  <c r="P2202" i="1"/>
  <c r="S2201" i="1"/>
  <c r="P2201" i="1"/>
  <c r="S2200" i="1"/>
  <c r="P2200" i="1"/>
  <c r="S2199" i="1"/>
  <c r="P2199" i="1"/>
  <c r="S2198" i="1"/>
  <c r="P2198" i="1"/>
  <c r="S2197" i="1"/>
  <c r="P2197" i="1"/>
  <c r="S2196" i="1"/>
  <c r="P2196" i="1"/>
  <c r="S2195" i="1"/>
  <c r="P2195" i="1"/>
  <c r="S2194" i="1"/>
  <c r="P2194" i="1"/>
  <c r="S2193" i="1"/>
  <c r="P2193" i="1"/>
  <c r="S2192" i="1"/>
  <c r="P2192" i="1"/>
  <c r="S2191" i="1"/>
  <c r="P2191" i="1"/>
  <c r="S2190" i="1"/>
  <c r="P2190" i="1"/>
  <c r="S2189" i="1"/>
  <c r="P2189" i="1"/>
  <c r="S2188" i="1"/>
  <c r="P2188" i="1"/>
  <c r="S2187" i="1"/>
  <c r="P2187" i="1"/>
  <c r="S2186" i="1"/>
  <c r="P2186" i="1"/>
  <c r="S2185" i="1"/>
  <c r="P2185" i="1"/>
  <c r="S2184" i="1"/>
  <c r="P2184" i="1"/>
  <c r="S2183" i="1"/>
  <c r="P2183" i="1"/>
  <c r="S2182" i="1"/>
  <c r="P2182" i="1"/>
  <c r="S2181" i="1"/>
  <c r="P2181" i="1"/>
  <c r="S2180" i="1"/>
  <c r="P2180" i="1"/>
  <c r="S2179" i="1"/>
  <c r="P2179" i="1"/>
  <c r="S2178" i="1"/>
  <c r="P2178" i="1"/>
  <c r="S2177" i="1"/>
  <c r="P2177" i="1"/>
  <c r="S2176" i="1"/>
  <c r="P2176" i="1"/>
  <c r="S2175" i="1"/>
  <c r="P2175" i="1"/>
  <c r="S2174" i="1"/>
  <c r="P2174" i="1"/>
  <c r="S2173" i="1"/>
  <c r="P2173" i="1"/>
  <c r="S2172" i="1"/>
  <c r="P2172" i="1"/>
  <c r="S2171" i="1"/>
  <c r="P2171" i="1"/>
  <c r="S2170" i="1"/>
  <c r="P2170" i="1"/>
  <c r="S2169" i="1"/>
  <c r="P2169" i="1"/>
  <c r="S2168" i="1"/>
  <c r="P2168" i="1"/>
  <c r="S2167" i="1"/>
  <c r="P2167" i="1"/>
  <c r="S2166" i="1"/>
  <c r="P2166" i="1"/>
  <c r="S2165" i="1"/>
  <c r="P2165" i="1"/>
  <c r="S2164" i="1"/>
  <c r="P2164" i="1"/>
  <c r="S2163" i="1"/>
  <c r="P2163" i="1"/>
  <c r="S2162" i="1"/>
  <c r="P2162" i="1"/>
  <c r="S2161" i="1"/>
  <c r="P2161" i="1"/>
  <c r="S2160" i="1"/>
  <c r="P2160" i="1"/>
  <c r="S2159" i="1"/>
  <c r="P2159" i="1"/>
  <c r="S2158" i="1"/>
  <c r="P2158" i="1"/>
  <c r="S2157" i="1"/>
  <c r="P2157" i="1"/>
  <c r="S2156" i="1"/>
  <c r="P2156" i="1"/>
  <c r="S2155" i="1"/>
  <c r="P2155" i="1"/>
  <c r="S2154" i="1"/>
  <c r="P2154" i="1"/>
  <c r="S2153" i="1"/>
  <c r="P2153" i="1"/>
  <c r="S2152" i="1"/>
  <c r="P2152" i="1"/>
  <c r="S2151" i="1"/>
  <c r="P2151" i="1"/>
  <c r="S2150" i="1"/>
  <c r="P2150" i="1"/>
  <c r="S2149" i="1"/>
  <c r="P2149" i="1"/>
  <c r="S2148" i="1"/>
  <c r="P2148" i="1"/>
  <c r="S2147" i="1"/>
  <c r="P2147" i="1"/>
  <c r="S2146" i="1"/>
  <c r="P2146" i="1"/>
  <c r="S2145" i="1"/>
  <c r="P2145" i="1"/>
  <c r="S2144" i="1"/>
  <c r="P2144" i="1"/>
  <c r="S2143" i="1"/>
  <c r="P2143" i="1"/>
  <c r="S2142" i="1"/>
  <c r="P2142" i="1"/>
  <c r="S2141" i="1"/>
  <c r="P2141" i="1"/>
  <c r="S2140" i="1"/>
  <c r="P2140" i="1"/>
  <c r="S2139" i="1"/>
  <c r="P2139" i="1"/>
  <c r="S2138" i="1"/>
  <c r="P2138" i="1"/>
  <c r="S2137" i="1"/>
  <c r="P2137" i="1"/>
  <c r="S2136" i="1"/>
  <c r="P2136" i="1"/>
  <c r="S2135" i="1"/>
  <c r="P2135" i="1"/>
  <c r="S2134" i="1"/>
  <c r="P2134" i="1"/>
  <c r="S2133" i="1"/>
  <c r="P2133" i="1"/>
  <c r="S2132" i="1"/>
  <c r="P2132" i="1"/>
  <c r="S2131" i="1"/>
  <c r="P2131" i="1"/>
  <c r="S2130" i="1"/>
  <c r="P2130" i="1"/>
  <c r="S2129" i="1"/>
  <c r="P2129" i="1"/>
  <c r="S2128" i="1"/>
  <c r="P2128" i="1"/>
  <c r="S2127" i="1"/>
  <c r="P2127" i="1"/>
  <c r="S2126" i="1"/>
  <c r="P2126" i="1"/>
  <c r="S2125" i="1"/>
  <c r="P2125" i="1"/>
  <c r="S2124" i="1"/>
  <c r="P2124" i="1"/>
  <c r="S2123" i="1"/>
  <c r="P2123" i="1"/>
  <c r="S2122" i="1"/>
  <c r="P2122" i="1"/>
  <c r="S2121" i="1"/>
  <c r="P2121" i="1"/>
  <c r="S2120" i="1"/>
  <c r="P2120" i="1"/>
  <c r="S2119" i="1"/>
  <c r="P2119" i="1"/>
  <c r="S2118" i="1"/>
  <c r="P2118" i="1"/>
  <c r="S2117" i="1"/>
  <c r="P2117" i="1"/>
  <c r="S2116" i="1"/>
  <c r="P2116" i="1"/>
  <c r="S2115" i="1"/>
  <c r="P2115" i="1"/>
  <c r="S2114" i="1"/>
  <c r="P2114" i="1"/>
  <c r="S2113" i="1"/>
  <c r="P2113" i="1"/>
  <c r="S2112" i="1"/>
  <c r="P2112" i="1"/>
  <c r="S2111" i="1"/>
  <c r="P2111" i="1"/>
  <c r="S2110" i="1"/>
  <c r="P2110" i="1"/>
  <c r="S2109" i="1"/>
  <c r="P2109" i="1"/>
  <c r="S2108" i="1"/>
  <c r="P2108" i="1"/>
  <c r="S2107" i="1"/>
  <c r="P2107" i="1"/>
  <c r="S2106" i="1"/>
  <c r="P2106" i="1"/>
  <c r="S2105" i="1"/>
  <c r="P2105" i="1"/>
  <c r="S2104" i="1"/>
  <c r="P2104" i="1"/>
  <c r="S2103" i="1"/>
  <c r="P2103" i="1"/>
  <c r="S2102" i="1"/>
  <c r="P2102" i="1"/>
  <c r="S2101" i="1"/>
  <c r="P2101" i="1"/>
  <c r="S2100" i="1"/>
  <c r="P2100" i="1"/>
  <c r="S2099" i="1"/>
  <c r="P2099" i="1"/>
  <c r="S2098" i="1"/>
  <c r="P2098" i="1"/>
  <c r="S2097" i="1"/>
  <c r="P2097" i="1"/>
  <c r="S2096" i="1"/>
  <c r="P2096" i="1"/>
  <c r="S2095" i="1"/>
  <c r="P2095" i="1"/>
  <c r="S2094" i="1"/>
  <c r="P2094" i="1"/>
  <c r="S2093" i="1"/>
  <c r="P2093" i="1"/>
  <c r="S2092" i="1"/>
  <c r="P2092" i="1"/>
  <c r="S2091" i="1"/>
  <c r="P2091" i="1"/>
  <c r="S2090" i="1"/>
  <c r="P2090" i="1"/>
  <c r="S2089" i="1"/>
  <c r="P2089" i="1"/>
  <c r="S2088" i="1"/>
  <c r="P2088" i="1"/>
  <c r="S2087" i="1"/>
  <c r="P2087" i="1"/>
  <c r="S2086" i="1"/>
  <c r="P2086" i="1"/>
  <c r="S2085" i="1"/>
  <c r="P2085" i="1"/>
  <c r="S2084" i="1"/>
  <c r="P2084" i="1"/>
  <c r="S2083" i="1"/>
  <c r="P2083" i="1"/>
  <c r="S2082" i="1"/>
  <c r="P2082" i="1"/>
  <c r="S2081" i="1"/>
  <c r="P2081" i="1"/>
  <c r="S2080" i="1"/>
  <c r="P2080" i="1"/>
  <c r="S2079" i="1"/>
  <c r="P2079" i="1"/>
  <c r="S2078" i="1"/>
  <c r="P2078" i="1"/>
  <c r="S2077" i="1"/>
  <c r="P2077" i="1"/>
  <c r="S2076" i="1"/>
  <c r="P2076" i="1"/>
  <c r="S2075" i="1"/>
  <c r="P2075" i="1"/>
  <c r="S2074" i="1"/>
  <c r="P2074" i="1"/>
  <c r="S2073" i="1"/>
  <c r="P2073" i="1"/>
  <c r="S2072" i="1"/>
  <c r="P2072" i="1"/>
  <c r="S2071" i="1"/>
  <c r="P2071" i="1"/>
  <c r="S2070" i="1"/>
  <c r="P2070" i="1"/>
  <c r="S2069" i="1"/>
  <c r="P2069" i="1"/>
  <c r="S2068" i="1"/>
  <c r="P2068" i="1"/>
  <c r="S2067" i="1"/>
  <c r="P2067" i="1"/>
  <c r="S2066" i="1"/>
  <c r="P2066" i="1"/>
  <c r="S2065" i="1"/>
  <c r="P2065" i="1"/>
  <c r="S2064" i="1"/>
  <c r="P2064" i="1"/>
  <c r="S2063" i="1"/>
  <c r="P2063" i="1"/>
  <c r="S2062" i="1"/>
  <c r="P2062" i="1"/>
  <c r="S2061" i="1"/>
  <c r="P2061" i="1"/>
  <c r="S2060" i="1"/>
  <c r="P2060" i="1"/>
  <c r="S2059" i="1"/>
  <c r="P2059" i="1"/>
  <c r="S2058" i="1"/>
  <c r="P2058" i="1"/>
  <c r="S2057" i="1"/>
  <c r="P2057" i="1"/>
  <c r="S2056" i="1"/>
  <c r="P2056" i="1"/>
  <c r="S2055" i="1"/>
  <c r="P2055" i="1"/>
  <c r="S2054" i="1"/>
  <c r="P2054" i="1"/>
  <c r="S2053" i="1"/>
  <c r="P2053" i="1"/>
  <c r="S2052" i="1"/>
  <c r="P2052" i="1"/>
  <c r="S2051" i="1"/>
  <c r="P2051" i="1"/>
  <c r="S2050" i="1"/>
  <c r="P2050" i="1"/>
  <c r="S2049" i="1"/>
  <c r="P2049" i="1"/>
  <c r="S2048" i="1"/>
  <c r="P2048" i="1"/>
  <c r="S2047" i="1"/>
  <c r="P2047" i="1"/>
  <c r="S2046" i="1"/>
  <c r="P2046" i="1"/>
  <c r="S2045" i="1"/>
  <c r="P2045" i="1"/>
  <c r="S2044" i="1"/>
  <c r="P2044" i="1"/>
  <c r="S2043" i="1"/>
  <c r="P2043" i="1"/>
  <c r="S2042" i="1"/>
  <c r="P2042" i="1"/>
  <c r="S2041" i="1"/>
  <c r="P2041" i="1"/>
  <c r="S2040" i="1"/>
  <c r="P2040" i="1"/>
  <c r="S2039" i="1"/>
  <c r="P2039" i="1"/>
  <c r="S2038" i="1"/>
  <c r="P2038" i="1"/>
  <c r="S2037" i="1"/>
  <c r="P2037" i="1"/>
  <c r="S2036" i="1"/>
  <c r="P2036" i="1"/>
  <c r="S2035" i="1"/>
  <c r="P2035" i="1"/>
  <c r="S2034" i="1"/>
  <c r="P2034" i="1"/>
  <c r="S2033" i="1"/>
  <c r="P2033" i="1"/>
  <c r="S2032" i="1"/>
  <c r="P2032" i="1"/>
  <c r="S2031" i="1"/>
  <c r="P2031" i="1"/>
  <c r="S2030" i="1"/>
  <c r="P2030" i="1"/>
  <c r="S2029" i="1"/>
  <c r="P2029" i="1"/>
  <c r="S2028" i="1"/>
  <c r="P2028" i="1"/>
  <c r="S2027" i="1"/>
  <c r="P2027" i="1"/>
  <c r="S2026" i="1"/>
  <c r="P2026" i="1"/>
  <c r="S2025" i="1"/>
  <c r="P2025" i="1"/>
  <c r="S2024" i="1"/>
  <c r="P2024" i="1"/>
  <c r="S2023" i="1"/>
  <c r="P2023" i="1"/>
  <c r="S2022" i="1"/>
  <c r="P2022" i="1"/>
  <c r="S2021" i="1"/>
  <c r="P2021" i="1"/>
  <c r="S2020" i="1"/>
  <c r="P2020" i="1"/>
  <c r="S2019" i="1"/>
  <c r="P2019" i="1"/>
  <c r="S2018" i="1"/>
  <c r="P2018" i="1"/>
  <c r="S2017" i="1"/>
  <c r="P2017" i="1"/>
  <c r="S2016" i="1"/>
  <c r="P2016" i="1"/>
  <c r="S2015" i="1"/>
  <c r="P2015" i="1"/>
  <c r="S2014" i="1"/>
  <c r="P2014" i="1"/>
  <c r="S2013" i="1"/>
  <c r="P2013" i="1"/>
  <c r="S2012" i="1"/>
  <c r="P2012" i="1"/>
  <c r="S2011" i="1"/>
  <c r="P2011" i="1"/>
  <c r="S2010" i="1"/>
  <c r="P2010" i="1"/>
  <c r="S2009" i="1"/>
  <c r="P2009" i="1"/>
  <c r="S2008" i="1"/>
  <c r="P2008" i="1"/>
  <c r="S2007" i="1"/>
  <c r="P2007" i="1"/>
  <c r="S2006" i="1"/>
  <c r="P2006" i="1"/>
  <c r="S2005" i="1"/>
  <c r="P2005" i="1"/>
  <c r="S2004" i="1"/>
  <c r="P2004" i="1"/>
  <c r="S2003" i="1"/>
  <c r="P2003" i="1"/>
  <c r="S2002" i="1"/>
  <c r="P2002" i="1"/>
  <c r="S2001" i="1"/>
  <c r="P2001" i="1"/>
  <c r="S2000" i="1"/>
  <c r="P2000" i="1"/>
  <c r="S1999" i="1"/>
  <c r="P1999" i="1"/>
  <c r="S1998" i="1"/>
  <c r="P1998" i="1"/>
  <c r="S1997" i="1"/>
  <c r="P1997" i="1"/>
  <c r="S1996" i="1"/>
  <c r="P1996" i="1"/>
  <c r="S1995" i="1"/>
  <c r="P1995" i="1"/>
  <c r="S1994" i="1"/>
  <c r="P1994" i="1"/>
  <c r="S1993" i="1"/>
  <c r="P1993" i="1"/>
  <c r="S1992" i="1"/>
  <c r="P1992" i="1"/>
  <c r="S1991" i="1"/>
  <c r="P1991" i="1"/>
  <c r="S1990" i="1"/>
  <c r="P1990" i="1"/>
  <c r="S1989" i="1"/>
  <c r="P1989" i="1"/>
  <c r="S1988" i="1"/>
  <c r="P1988" i="1"/>
  <c r="S1987" i="1"/>
  <c r="P1987" i="1"/>
  <c r="S1986" i="1"/>
  <c r="P1986" i="1"/>
  <c r="S1985" i="1"/>
  <c r="P1985" i="1"/>
  <c r="S1984" i="1"/>
  <c r="P1984" i="1"/>
  <c r="S1983" i="1"/>
  <c r="P1983" i="1"/>
  <c r="S1982" i="1"/>
  <c r="P1982" i="1"/>
  <c r="S1981" i="1"/>
  <c r="P1981" i="1"/>
  <c r="S1980" i="1"/>
  <c r="P1980" i="1"/>
  <c r="S1979" i="1"/>
  <c r="P1979" i="1"/>
  <c r="S1978" i="1"/>
  <c r="P1978" i="1"/>
  <c r="S1977" i="1"/>
  <c r="P1977" i="1"/>
  <c r="S1976" i="1"/>
  <c r="P1976" i="1"/>
  <c r="S1975" i="1"/>
  <c r="P1975" i="1"/>
  <c r="S1974" i="1"/>
  <c r="P1974" i="1"/>
  <c r="S1973" i="1"/>
  <c r="P1973" i="1"/>
  <c r="S1972" i="1"/>
  <c r="P1972" i="1"/>
  <c r="S1971" i="1"/>
  <c r="P1971" i="1"/>
  <c r="S1970" i="1"/>
  <c r="P1970" i="1"/>
  <c r="S1969" i="1"/>
  <c r="P1969" i="1"/>
  <c r="S1968" i="1"/>
  <c r="P1968" i="1"/>
  <c r="S1967" i="1"/>
  <c r="P1967" i="1"/>
  <c r="S1966" i="1"/>
  <c r="P1966" i="1"/>
  <c r="S1965" i="1"/>
  <c r="P1965" i="1"/>
  <c r="S1964" i="1"/>
  <c r="P1964" i="1"/>
  <c r="S1963" i="1"/>
  <c r="P1963" i="1"/>
  <c r="S1962" i="1"/>
  <c r="P1962" i="1"/>
  <c r="S1961" i="1"/>
  <c r="P1961" i="1"/>
  <c r="S1960" i="1"/>
  <c r="P1960" i="1"/>
  <c r="S1959" i="1"/>
  <c r="P1959" i="1"/>
  <c r="S1958" i="1"/>
  <c r="P1958" i="1"/>
  <c r="S1957" i="1"/>
  <c r="P1957" i="1"/>
  <c r="S1956" i="1"/>
  <c r="P1956" i="1"/>
  <c r="S1955" i="1"/>
  <c r="P1955" i="1"/>
  <c r="S1954" i="1"/>
  <c r="P1954" i="1"/>
  <c r="S1953" i="1"/>
  <c r="P1953" i="1"/>
  <c r="S1952" i="1"/>
  <c r="P1952" i="1"/>
  <c r="S1951" i="1"/>
  <c r="P1951" i="1"/>
  <c r="S1950" i="1"/>
  <c r="P1950" i="1"/>
  <c r="S1949" i="1"/>
  <c r="P1949" i="1"/>
  <c r="S1948" i="1"/>
  <c r="P1948" i="1"/>
  <c r="S1947" i="1"/>
  <c r="P1947" i="1"/>
  <c r="S1946" i="1"/>
  <c r="P1946" i="1"/>
  <c r="S1945" i="1"/>
  <c r="P1945" i="1"/>
  <c r="S1944" i="1"/>
  <c r="P1944" i="1"/>
  <c r="S1943" i="1"/>
  <c r="P1943" i="1"/>
  <c r="S1942" i="1"/>
  <c r="P1942" i="1"/>
  <c r="S1941" i="1"/>
  <c r="P1941" i="1"/>
  <c r="S1940" i="1"/>
  <c r="P1940" i="1"/>
  <c r="S1939" i="1"/>
  <c r="P1939" i="1"/>
  <c r="S1938" i="1"/>
  <c r="P1938" i="1"/>
  <c r="S1937" i="1"/>
  <c r="P1937" i="1"/>
  <c r="S1936" i="1"/>
  <c r="P1936" i="1"/>
  <c r="S1935" i="1"/>
  <c r="P1935" i="1"/>
  <c r="S1934" i="1"/>
  <c r="P1934" i="1"/>
  <c r="S1933" i="1"/>
  <c r="P1933" i="1"/>
  <c r="S1932" i="1"/>
  <c r="P1932" i="1"/>
  <c r="S1931" i="1"/>
  <c r="P1931" i="1"/>
  <c r="S1930" i="1"/>
  <c r="P1930" i="1"/>
  <c r="S1929" i="1"/>
  <c r="P1929" i="1"/>
  <c r="S1928" i="1"/>
  <c r="P1928" i="1"/>
  <c r="S1927" i="1"/>
  <c r="P1927" i="1"/>
  <c r="S1926" i="1"/>
  <c r="P1926" i="1"/>
  <c r="S1925" i="1"/>
  <c r="P1925" i="1"/>
  <c r="S1924" i="1"/>
  <c r="P1924" i="1"/>
  <c r="S1923" i="1"/>
  <c r="P1923" i="1"/>
  <c r="S1922" i="1"/>
  <c r="P1922" i="1"/>
  <c r="S1921" i="1"/>
  <c r="P1921" i="1"/>
  <c r="S1920" i="1"/>
  <c r="P1920" i="1"/>
  <c r="S1919" i="1"/>
  <c r="P1919" i="1"/>
  <c r="S1918" i="1"/>
  <c r="P1918" i="1"/>
  <c r="S1917" i="1"/>
  <c r="P1917" i="1"/>
  <c r="S1916" i="1"/>
  <c r="P1916" i="1"/>
  <c r="S1915" i="1"/>
  <c r="P1915" i="1"/>
  <c r="S1914" i="1"/>
  <c r="P1914" i="1"/>
  <c r="S1913" i="1"/>
  <c r="P1913" i="1"/>
  <c r="S1912" i="1"/>
  <c r="P1912" i="1"/>
  <c r="S1911" i="1"/>
  <c r="P1911" i="1"/>
  <c r="S1910" i="1"/>
  <c r="P1910" i="1"/>
  <c r="S1909" i="1"/>
  <c r="P1909" i="1"/>
  <c r="S1908" i="1"/>
  <c r="P1908" i="1"/>
  <c r="S1907" i="1"/>
  <c r="P1907" i="1"/>
  <c r="S1906" i="1"/>
  <c r="P1906" i="1"/>
  <c r="S1905" i="1"/>
  <c r="P1905" i="1"/>
  <c r="S1904" i="1"/>
  <c r="P1904" i="1"/>
  <c r="S1903" i="1"/>
  <c r="P1903" i="1"/>
  <c r="S1902" i="1"/>
  <c r="P1902" i="1"/>
  <c r="S1901" i="1"/>
  <c r="P1901" i="1"/>
  <c r="S1900" i="1"/>
  <c r="P1900" i="1"/>
  <c r="S1899" i="1"/>
  <c r="P1899" i="1"/>
  <c r="S1898" i="1"/>
  <c r="P1898" i="1"/>
  <c r="S1897" i="1"/>
  <c r="P1897" i="1"/>
  <c r="S1896" i="1"/>
  <c r="P1896" i="1"/>
  <c r="S1895" i="1"/>
  <c r="P1895" i="1"/>
  <c r="S1894" i="1"/>
  <c r="P1894" i="1"/>
  <c r="S1893" i="1"/>
  <c r="P1893" i="1"/>
  <c r="S1892" i="1"/>
  <c r="P1892" i="1"/>
  <c r="S1891" i="1"/>
  <c r="P1891" i="1"/>
  <c r="S1890" i="1"/>
  <c r="P1890" i="1"/>
  <c r="S1889" i="1"/>
  <c r="P1889" i="1"/>
  <c r="S1888" i="1"/>
  <c r="P1888" i="1"/>
  <c r="S1887" i="1"/>
  <c r="P1887" i="1"/>
  <c r="S1886" i="1"/>
  <c r="P1886" i="1"/>
  <c r="S1885" i="1"/>
  <c r="P1885" i="1"/>
  <c r="S1884" i="1"/>
  <c r="P1884" i="1"/>
  <c r="S1883" i="1"/>
  <c r="P1883" i="1"/>
  <c r="S1882" i="1"/>
  <c r="P1882" i="1"/>
  <c r="S1881" i="1"/>
  <c r="P1881" i="1"/>
  <c r="S1880" i="1"/>
  <c r="P1880" i="1"/>
  <c r="S1879" i="1"/>
  <c r="P1879" i="1"/>
  <c r="S1878" i="1"/>
  <c r="P1878" i="1"/>
  <c r="S1877" i="1"/>
  <c r="P1877" i="1"/>
  <c r="S1876" i="1"/>
  <c r="P1876" i="1"/>
  <c r="S1875" i="1"/>
  <c r="P1875" i="1"/>
  <c r="S1874" i="1"/>
  <c r="P1874" i="1"/>
  <c r="S1873" i="1"/>
  <c r="P1873" i="1"/>
  <c r="S1872" i="1"/>
  <c r="P1872" i="1"/>
  <c r="S1871" i="1"/>
  <c r="P1871" i="1"/>
  <c r="S1870" i="1"/>
  <c r="P1870" i="1"/>
  <c r="S1869" i="1"/>
  <c r="P1869" i="1"/>
  <c r="S1868" i="1"/>
  <c r="P1868" i="1"/>
  <c r="S1867" i="1"/>
  <c r="P1867" i="1"/>
  <c r="S1866" i="1"/>
  <c r="P1866" i="1"/>
  <c r="S1865" i="1"/>
  <c r="P1865" i="1"/>
  <c r="S1864" i="1"/>
  <c r="P1864" i="1"/>
  <c r="S1863" i="1"/>
  <c r="P1863" i="1"/>
  <c r="S1862" i="1"/>
  <c r="P1862" i="1"/>
  <c r="S1861" i="1"/>
  <c r="P1861" i="1"/>
  <c r="S1860" i="1"/>
  <c r="P1860" i="1"/>
  <c r="S1859" i="1"/>
  <c r="P1859" i="1"/>
  <c r="S1858" i="1"/>
  <c r="P1858" i="1"/>
  <c r="S1857" i="1"/>
  <c r="P1857" i="1"/>
  <c r="S1856" i="1"/>
  <c r="P1856" i="1"/>
  <c r="S1855" i="1"/>
  <c r="P1855" i="1"/>
  <c r="S1854" i="1"/>
  <c r="P1854" i="1"/>
  <c r="S1853" i="1"/>
  <c r="P1853" i="1"/>
  <c r="S1852" i="1"/>
  <c r="P1852" i="1"/>
  <c r="S1851" i="1"/>
  <c r="P1851" i="1"/>
  <c r="S1850" i="1"/>
  <c r="P1850" i="1"/>
  <c r="S1849" i="1"/>
  <c r="P1849" i="1"/>
  <c r="S1848" i="1"/>
  <c r="P1848" i="1"/>
  <c r="S1847" i="1"/>
  <c r="P1847" i="1"/>
  <c r="S1846" i="1"/>
  <c r="P1846" i="1"/>
  <c r="S1845" i="1"/>
  <c r="P1845" i="1"/>
  <c r="S1844" i="1"/>
  <c r="P1844" i="1"/>
  <c r="S1843" i="1"/>
  <c r="P1843" i="1"/>
  <c r="S1842" i="1"/>
  <c r="P1842" i="1"/>
  <c r="S1841" i="1"/>
  <c r="P1841" i="1"/>
  <c r="S1840" i="1"/>
  <c r="P1840" i="1"/>
  <c r="S1839" i="1"/>
  <c r="P1839" i="1"/>
  <c r="S1838" i="1"/>
  <c r="P1838" i="1"/>
  <c r="S1837" i="1"/>
  <c r="P1837" i="1"/>
  <c r="S1836" i="1"/>
  <c r="P1836" i="1"/>
  <c r="S1835" i="1"/>
  <c r="P1835" i="1"/>
  <c r="S1834" i="1"/>
  <c r="P1834" i="1"/>
  <c r="S1833" i="1"/>
  <c r="P1833" i="1"/>
  <c r="S1832" i="1"/>
  <c r="P1832" i="1"/>
  <c r="S1831" i="1"/>
  <c r="P1831" i="1"/>
  <c r="S1830" i="1"/>
  <c r="P1830" i="1"/>
  <c r="S1829" i="1"/>
  <c r="P1829" i="1"/>
  <c r="S1828" i="1"/>
  <c r="P1828" i="1"/>
  <c r="S1827" i="1"/>
  <c r="P1827" i="1"/>
  <c r="S1826" i="1"/>
  <c r="P1826" i="1"/>
  <c r="S1825" i="1"/>
  <c r="P1825" i="1"/>
  <c r="S1824" i="1"/>
  <c r="P1824" i="1"/>
  <c r="S1823" i="1"/>
  <c r="P1823" i="1"/>
  <c r="S1822" i="1"/>
  <c r="P1822" i="1"/>
  <c r="S1821" i="1"/>
  <c r="P1821" i="1"/>
  <c r="S1820" i="1"/>
  <c r="P1820" i="1"/>
  <c r="S1819" i="1"/>
  <c r="P1819" i="1"/>
  <c r="S1818" i="1"/>
  <c r="P1818" i="1"/>
  <c r="S1817" i="1"/>
  <c r="P1817" i="1"/>
  <c r="S1816" i="1"/>
  <c r="P1816" i="1"/>
  <c r="S1815" i="1"/>
  <c r="P1815" i="1"/>
  <c r="S1814" i="1"/>
  <c r="P1814" i="1"/>
  <c r="S1813" i="1"/>
  <c r="P1813" i="1"/>
  <c r="S1812" i="1"/>
  <c r="P1812" i="1"/>
  <c r="S1811" i="1"/>
  <c r="P1811" i="1"/>
  <c r="S1810" i="1"/>
  <c r="P1810" i="1"/>
  <c r="S1809" i="1"/>
  <c r="P1809" i="1"/>
  <c r="S1808" i="1"/>
  <c r="P1808" i="1"/>
  <c r="S1807" i="1"/>
  <c r="P1807" i="1"/>
  <c r="S1806" i="1"/>
  <c r="P1806" i="1"/>
  <c r="S1805" i="1"/>
  <c r="P1805" i="1"/>
  <c r="S1804" i="1"/>
  <c r="P1804" i="1"/>
  <c r="S1803" i="1"/>
  <c r="P1803" i="1"/>
  <c r="S1802" i="1"/>
  <c r="P1802" i="1"/>
  <c r="S1801" i="1"/>
  <c r="P1801" i="1"/>
  <c r="S1800" i="1"/>
  <c r="P1800" i="1"/>
  <c r="S1799" i="1"/>
  <c r="P1799" i="1"/>
  <c r="S1798" i="1"/>
  <c r="P1798" i="1"/>
  <c r="S1797" i="1"/>
  <c r="P1797" i="1"/>
  <c r="S1796" i="1"/>
  <c r="P1796" i="1"/>
  <c r="S1795" i="1"/>
  <c r="P1795" i="1"/>
  <c r="S1794" i="1"/>
  <c r="P1794" i="1"/>
  <c r="S1793" i="1"/>
  <c r="P1793" i="1"/>
  <c r="S1792" i="1"/>
  <c r="P1792" i="1"/>
  <c r="S1791" i="1"/>
  <c r="P1791" i="1"/>
  <c r="S1790" i="1"/>
  <c r="P1790" i="1"/>
  <c r="S1789" i="1"/>
  <c r="P1789" i="1"/>
  <c r="S1788" i="1"/>
  <c r="P1788" i="1"/>
  <c r="S1787" i="1"/>
  <c r="P1787" i="1"/>
  <c r="S1786" i="1"/>
  <c r="P1786" i="1"/>
  <c r="S1785" i="1"/>
  <c r="P1785" i="1"/>
  <c r="S1784" i="1"/>
  <c r="P1784" i="1"/>
  <c r="S1783" i="1"/>
  <c r="P1783" i="1"/>
  <c r="S1782" i="1"/>
  <c r="P1782" i="1"/>
  <c r="S1781" i="1"/>
  <c r="P1781" i="1"/>
  <c r="S1780" i="1"/>
  <c r="P1780" i="1"/>
  <c r="S1779" i="1"/>
  <c r="P1779" i="1"/>
  <c r="S1778" i="1"/>
  <c r="P1778" i="1"/>
  <c r="S1777" i="1"/>
  <c r="P1777" i="1"/>
  <c r="S1776" i="1"/>
  <c r="P1776" i="1"/>
  <c r="S1775" i="1"/>
  <c r="P1775" i="1"/>
  <c r="S1774" i="1"/>
  <c r="P1774" i="1"/>
  <c r="S1773" i="1"/>
  <c r="P1773" i="1"/>
  <c r="S1772" i="1"/>
  <c r="P1772" i="1"/>
  <c r="S1771" i="1"/>
  <c r="P1771" i="1"/>
  <c r="S1770" i="1"/>
  <c r="P1770" i="1"/>
  <c r="S1769" i="1"/>
  <c r="P1769" i="1"/>
  <c r="S1768" i="1"/>
  <c r="P1768" i="1"/>
  <c r="S1767" i="1"/>
  <c r="P1767" i="1"/>
  <c r="S1766" i="1"/>
  <c r="P1766" i="1"/>
  <c r="S1765" i="1"/>
  <c r="P1765" i="1"/>
  <c r="S1764" i="1"/>
  <c r="P1764" i="1"/>
  <c r="S1763" i="1"/>
  <c r="P1763" i="1"/>
  <c r="S1762" i="1"/>
  <c r="P1762" i="1"/>
  <c r="S1761" i="1"/>
  <c r="P1761" i="1"/>
  <c r="S1760" i="1"/>
  <c r="P1760" i="1"/>
  <c r="S1759" i="1"/>
  <c r="P1759" i="1"/>
  <c r="S1758" i="1"/>
  <c r="P1758" i="1"/>
  <c r="S1757" i="1"/>
  <c r="P1757" i="1"/>
  <c r="S1756" i="1"/>
  <c r="P1756" i="1"/>
  <c r="S1755" i="1"/>
  <c r="P1755" i="1"/>
  <c r="S1754" i="1"/>
  <c r="P1754" i="1"/>
  <c r="S1753" i="1"/>
  <c r="P1753" i="1"/>
  <c r="S1752" i="1"/>
  <c r="P1752" i="1"/>
  <c r="S1751" i="1"/>
  <c r="P1751" i="1"/>
  <c r="S1750" i="1"/>
  <c r="P1750" i="1"/>
  <c r="S1749" i="1"/>
  <c r="P1749" i="1"/>
  <c r="S1748" i="1"/>
  <c r="P1748" i="1"/>
  <c r="S1747" i="1"/>
  <c r="P1747" i="1"/>
  <c r="S1746" i="1"/>
  <c r="P1746" i="1"/>
  <c r="S1745" i="1"/>
  <c r="P1745" i="1"/>
  <c r="S1744" i="1"/>
  <c r="P1744" i="1"/>
  <c r="S1743" i="1"/>
  <c r="P1743" i="1"/>
  <c r="S1742" i="1"/>
  <c r="P1742" i="1"/>
  <c r="S1741" i="1"/>
  <c r="P1741" i="1"/>
  <c r="S1740" i="1"/>
  <c r="P1740" i="1"/>
  <c r="S1739" i="1"/>
  <c r="P1739" i="1"/>
  <c r="S1738" i="1"/>
  <c r="P1738" i="1"/>
  <c r="S1737" i="1"/>
  <c r="P1737" i="1"/>
  <c r="S1736" i="1"/>
  <c r="P1736" i="1"/>
  <c r="S1735" i="1"/>
  <c r="P1735" i="1"/>
  <c r="S1734" i="1"/>
  <c r="P1734" i="1"/>
  <c r="S1733" i="1"/>
  <c r="P1733" i="1"/>
  <c r="S1732" i="1"/>
  <c r="P1732" i="1"/>
  <c r="S1731" i="1"/>
  <c r="P1731" i="1"/>
  <c r="S1730" i="1"/>
  <c r="P1730" i="1"/>
  <c r="S1729" i="1"/>
  <c r="P1729" i="1"/>
  <c r="S1728" i="1"/>
  <c r="P1728" i="1"/>
  <c r="S1727" i="1"/>
  <c r="P1727" i="1"/>
  <c r="S1726" i="1"/>
  <c r="P1726" i="1"/>
  <c r="S1725" i="1"/>
  <c r="P1725" i="1"/>
  <c r="S1724" i="1"/>
  <c r="P1724" i="1"/>
  <c r="S1723" i="1"/>
  <c r="P1723" i="1"/>
  <c r="S1722" i="1"/>
  <c r="P1722" i="1"/>
  <c r="S1721" i="1"/>
  <c r="P1721" i="1"/>
  <c r="S1720" i="1"/>
  <c r="P1720" i="1"/>
  <c r="S1719" i="1"/>
  <c r="P1719" i="1"/>
  <c r="S1718" i="1"/>
  <c r="P1718" i="1"/>
  <c r="S1717" i="1"/>
  <c r="P1717" i="1"/>
  <c r="S1716" i="1"/>
  <c r="P1716" i="1"/>
  <c r="S1715" i="1"/>
  <c r="P1715" i="1"/>
  <c r="S1714" i="1"/>
  <c r="P1714" i="1"/>
  <c r="S1713" i="1"/>
  <c r="P1713" i="1"/>
  <c r="S1712" i="1"/>
  <c r="P1712" i="1"/>
  <c r="S1711" i="1"/>
  <c r="P1711" i="1"/>
  <c r="S1710" i="1"/>
  <c r="P1710" i="1"/>
  <c r="S1709" i="1"/>
  <c r="P1709" i="1"/>
  <c r="S1708" i="1"/>
  <c r="P1708" i="1"/>
  <c r="S1707" i="1"/>
  <c r="P1707" i="1"/>
  <c r="S1706" i="1"/>
  <c r="P1706" i="1"/>
  <c r="S1705" i="1"/>
  <c r="P1705" i="1"/>
  <c r="S1704" i="1"/>
  <c r="P1704" i="1"/>
  <c r="S1703" i="1"/>
  <c r="P1703" i="1"/>
  <c r="S1702" i="1"/>
  <c r="P1702" i="1"/>
  <c r="S1701" i="1"/>
  <c r="P1701" i="1"/>
  <c r="S1700" i="1"/>
  <c r="P1700" i="1"/>
  <c r="S1699" i="1"/>
  <c r="P1699" i="1"/>
  <c r="S1698" i="1"/>
  <c r="P1698" i="1"/>
  <c r="S1697" i="1"/>
  <c r="P1697" i="1"/>
  <c r="S1696" i="1"/>
  <c r="P1696" i="1"/>
  <c r="S1695" i="1"/>
  <c r="P1695" i="1"/>
  <c r="S1694" i="1"/>
  <c r="P1694" i="1"/>
  <c r="S1693" i="1"/>
  <c r="P1693" i="1"/>
  <c r="S1692" i="1"/>
  <c r="P1692" i="1"/>
  <c r="S1691" i="1"/>
  <c r="P1691" i="1"/>
  <c r="S1690" i="1"/>
  <c r="P1690" i="1"/>
  <c r="S1689" i="1"/>
  <c r="P1689" i="1"/>
  <c r="S1688" i="1"/>
  <c r="P1688" i="1"/>
  <c r="S1687" i="1"/>
  <c r="P1687" i="1"/>
  <c r="S1686" i="1"/>
  <c r="P1686" i="1"/>
  <c r="S1685" i="1"/>
  <c r="P1685" i="1"/>
  <c r="S1684" i="1"/>
  <c r="P1684" i="1"/>
  <c r="S1683" i="1"/>
  <c r="P1683" i="1"/>
  <c r="S1682" i="1"/>
  <c r="P1682" i="1"/>
  <c r="S1681" i="1"/>
  <c r="P1681" i="1"/>
  <c r="S1680" i="1"/>
  <c r="P1680" i="1"/>
  <c r="S1679" i="1"/>
  <c r="P1679" i="1"/>
  <c r="S1678" i="1"/>
  <c r="P1678" i="1"/>
  <c r="S1677" i="1"/>
  <c r="P1677" i="1"/>
  <c r="S1676" i="1"/>
  <c r="P1676" i="1"/>
  <c r="S1675" i="1"/>
  <c r="P1675" i="1"/>
  <c r="S1674" i="1"/>
  <c r="P1674" i="1"/>
  <c r="S1673" i="1"/>
  <c r="P1673" i="1"/>
  <c r="S1672" i="1"/>
  <c r="P1672" i="1"/>
  <c r="S1671" i="1"/>
  <c r="P1671" i="1"/>
  <c r="S1670" i="1"/>
  <c r="P1670" i="1"/>
  <c r="S1669" i="1"/>
  <c r="P1669" i="1"/>
  <c r="S1668" i="1"/>
  <c r="P1668" i="1"/>
  <c r="S1667" i="1"/>
  <c r="P1667" i="1"/>
  <c r="S1666" i="1"/>
  <c r="P1666" i="1"/>
  <c r="S1665" i="1"/>
  <c r="P1665" i="1"/>
  <c r="S1664" i="1"/>
  <c r="P1664" i="1"/>
  <c r="S1663" i="1"/>
  <c r="P1663" i="1"/>
  <c r="S1662" i="1"/>
  <c r="P1662" i="1"/>
  <c r="S1661" i="1"/>
  <c r="P1661" i="1"/>
  <c r="S1660" i="1"/>
  <c r="P1660" i="1"/>
  <c r="S1659" i="1"/>
  <c r="P1659" i="1"/>
  <c r="S1658" i="1"/>
  <c r="P1658" i="1"/>
  <c r="S1657" i="1"/>
  <c r="P1657" i="1"/>
  <c r="S1656" i="1"/>
  <c r="P1656" i="1"/>
  <c r="S1655" i="1"/>
  <c r="P1655" i="1"/>
  <c r="S1654" i="1"/>
  <c r="P1654" i="1"/>
  <c r="S1653" i="1"/>
  <c r="P1653" i="1"/>
  <c r="S1652" i="1"/>
  <c r="P1652" i="1"/>
  <c r="S1651" i="1"/>
  <c r="P1651" i="1"/>
  <c r="S1650" i="1"/>
  <c r="P1650" i="1"/>
  <c r="S1649" i="1"/>
  <c r="P1649" i="1"/>
  <c r="S1648" i="1"/>
  <c r="P1648" i="1"/>
  <c r="S1647" i="1"/>
  <c r="P1647" i="1"/>
  <c r="S1646" i="1"/>
  <c r="P1646" i="1"/>
  <c r="S1645" i="1"/>
  <c r="P1645" i="1"/>
  <c r="S1644" i="1"/>
  <c r="P1644" i="1"/>
  <c r="S1643" i="1"/>
  <c r="P1643" i="1"/>
  <c r="S1642" i="1"/>
  <c r="P1642" i="1"/>
  <c r="S1641" i="1"/>
  <c r="P1641" i="1"/>
  <c r="S1640" i="1"/>
  <c r="P1640" i="1"/>
  <c r="S1639" i="1"/>
  <c r="P1639" i="1"/>
  <c r="S1638" i="1"/>
  <c r="P1638" i="1"/>
  <c r="S1637" i="1"/>
  <c r="P1637" i="1"/>
  <c r="S1636" i="1"/>
  <c r="P1636" i="1"/>
  <c r="S1635" i="1"/>
  <c r="P1635" i="1"/>
  <c r="S1634" i="1"/>
  <c r="P1634" i="1"/>
  <c r="S1633" i="1"/>
  <c r="P1633" i="1"/>
  <c r="S1632" i="1"/>
  <c r="P1632" i="1"/>
  <c r="S1631" i="1"/>
  <c r="P1631" i="1"/>
  <c r="S1630" i="1"/>
  <c r="P1630" i="1"/>
  <c r="S1629" i="1"/>
  <c r="P1629" i="1"/>
  <c r="S1628" i="1"/>
  <c r="P1628" i="1"/>
  <c r="S1627" i="1"/>
  <c r="P1627" i="1"/>
  <c r="S1626" i="1"/>
  <c r="P1626" i="1"/>
  <c r="S1625" i="1"/>
  <c r="P1625" i="1"/>
  <c r="S1624" i="1"/>
  <c r="P1624" i="1"/>
  <c r="S1623" i="1"/>
  <c r="P1623" i="1"/>
  <c r="S1622" i="1"/>
  <c r="P1622" i="1"/>
  <c r="S1621" i="1"/>
  <c r="P1621" i="1"/>
  <c r="S1620" i="1"/>
  <c r="P1620" i="1"/>
  <c r="S1619" i="1"/>
  <c r="P1619" i="1"/>
  <c r="S1618" i="1"/>
  <c r="P1618" i="1"/>
  <c r="S1617" i="1"/>
  <c r="P1617" i="1"/>
  <c r="S1616" i="1"/>
  <c r="P1616" i="1"/>
  <c r="S1615" i="1"/>
  <c r="P1615" i="1"/>
  <c r="S1614" i="1"/>
  <c r="P1614" i="1"/>
  <c r="S1613" i="1"/>
  <c r="P1613" i="1"/>
  <c r="S1612" i="1"/>
  <c r="P1612" i="1"/>
  <c r="S1611" i="1"/>
  <c r="P1611" i="1"/>
  <c r="S1610" i="1"/>
  <c r="P1610" i="1"/>
  <c r="S1609" i="1"/>
  <c r="P1609" i="1"/>
  <c r="S1608" i="1"/>
  <c r="P1608" i="1"/>
  <c r="S1607" i="1"/>
  <c r="P1607" i="1"/>
  <c r="S1606" i="1"/>
  <c r="P1606" i="1"/>
  <c r="S1605" i="1"/>
  <c r="P1605" i="1"/>
  <c r="S1604" i="1"/>
  <c r="P1604" i="1"/>
  <c r="S1603" i="1"/>
  <c r="P1603" i="1"/>
  <c r="S1602" i="1"/>
  <c r="P1602" i="1"/>
  <c r="S1601" i="1"/>
  <c r="P1601" i="1"/>
  <c r="S1600" i="1"/>
  <c r="P1600" i="1"/>
  <c r="S1599" i="1"/>
  <c r="P1599" i="1"/>
  <c r="S1598" i="1"/>
  <c r="P1598" i="1"/>
  <c r="S1597" i="1"/>
  <c r="P1597" i="1"/>
  <c r="S1596" i="1"/>
  <c r="P1596" i="1"/>
  <c r="S1595" i="1"/>
  <c r="P1595" i="1"/>
  <c r="S1594" i="1"/>
  <c r="P1594" i="1"/>
  <c r="S1593" i="1"/>
  <c r="P1593" i="1"/>
  <c r="S1592" i="1"/>
  <c r="P1592" i="1"/>
  <c r="S1591" i="1"/>
  <c r="P1591" i="1"/>
  <c r="S1590" i="1"/>
  <c r="P1590" i="1"/>
  <c r="S1589" i="1"/>
  <c r="P1589" i="1"/>
  <c r="S1588" i="1"/>
  <c r="P1588" i="1"/>
  <c r="S1587" i="1"/>
  <c r="P1587" i="1"/>
  <c r="S1586" i="1"/>
  <c r="P1586" i="1"/>
  <c r="S1585" i="1"/>
  <c r="P1585" i="1"/>
  <c r="S1584" i="1"/>
  <c r="P1584" i="1"/>
  <c r="S1583" i="1"/>
  <c r="P1583" i="1"/>
  <c r="S1582" i="1"/>
  <c r="P1582" i="1"/>
  <c r="S1581" i="1"/>
  <c r="P1581" i="1"/>
  <c r="S1580" i="1"/>
  <c r="P1580" i="1"/>
  <c r="S1579" i="1"/>
  <c r="P1579" i="1"/>
  <c r="S1578" i="1"/>
  <c r="P1578" i="1"/>
  <c r="S1577" i="1"/>
  <c r="P1577" i="1"/>
  <c r="S1576" i="1"/>
  <c r="P1576" i="1"/>
  <c r="S1575" i="1"/>
  <c r="P1575" i="1"/>
  <c r="S1574" i="1"/>
  <c r="P1574" i="1"/>
  <c r="S1573" i="1"/>
  <c r="P1573" i="1"/>
  <c r="S1572" i="1"/>
  <c r="P1572" i="1"/>
  <c r="S1571" i="1"/>
  <c r="P1571" i="1"/>
  <c r="S1570" i="1"/>
  <c r="P1570" i="1"/>
  <c r="S1569" i="1"/>
  <c r="P1569" i="1"/>
  <c r="S1568" i="1"/>
  <c r="P1568" i="1"/>
  <c r="S1567" i="1"/>
  <c r="P1567" i="1"/>
  <c r="S1566" i="1"/>
  <c r="P1566" i="1"/>
  <c r="S1565" i="1"/>
  <c r="P1565" i="1"/>
  <c r="S1564" i="1"/>
  <c r="P1564" i="1"/>
  <c r="S1563" i="1"/>
  <c r="P1563" i="1"/>
  <c r="S1562" i="1"/>
  <c r="P1562" i="1"/>
  <c r="S1561" i="1"/>
  <c r="P1561" i="1"/>
  <c r="S1560" i="1"/>
  <c r="P1560" i="1"/>
  <c r="S1559" i="1"/>
  <c r="P1559" i="1"/>
  <c r="S1558" i="1"/>
  <c r="P1558" i="1"/>
  <c r="S1557" i="1"/>
  <c r="P1557" i="1"/>
  <c r="S1556" i="1"/>
  <c r="P1556" i="1"/>
  <c r="S1555" i="1"/>
  <c r="P1555" i="1"/>
  <c r="S1554" i="1"/>
  <c r="P1554" i="1"/>
  <c r="S1553" i="1"/>
  <c r="P1553" i="1"/>
  <c r="S1552" i="1"/>
  <c r="P1552" i="1"/>
  <c r="S1551" i="1"/>
  <c r="P1551" i="1"/>
  <c r="S1550" i="1"/>
  <c r="P1550" i="1"/>
  <c r="S1549" i="1"/>
  <c r="P1549" i="1"/>
  <c r="S1548" i="1"/>
  <c r="P1548" i="1"/>
  <c r="S1547" i="1"/>
  <c r="P1547" i="1"/>
  <c r="S1546" i="1"/>
  <c r="P1546" i="1"/>
  <c r="S1545" i="1"/>
  <c r="P1545" i="1"/>
  <c r="S1544" i="1"/>
  <c r="P1544" i="1"/>
  <c r="S1543" i="1"/>
  <c r="P1543" i="1"/>
  <c r="S1542" i="1"/>
  <c r="P1542" i="1"/>
  <c r="S1541" i="1"/>
  <c r="P1541" i="1"/>
  <c r="S1540" i="1"/>
  <c r="P1540" i="1"/>
  <c r="S1539" i="1"/>
  <c r="P1539" i="1"/>
  <c r="S1538" i="1"/>
  <c r="P1538" i="1"/>
  <c r="S1537" i="1"/>
  <c r="P1537" i="1"/>
  <c r="S1536" i="1"/>
  <c r="P1536" i="1"/>
  <c r="S1535" i="1"/>
  <c r="P1535" i="1"/>
  <c r="S1534" i="1"/>
  <c r="P1534" i="1"/>
  <c r="S1533" i="1"/>
  <c r="P1533" i="1"/>
  <c r="S1532" i="1"/>
  <c r="P1532" i="1"/>
  <c r="S1531" i="1"/>
  <c r="P1531" i="1"/>
  <c r="S1530" i="1"/>
  <c r="P1530" i="1"/>
  <c r="S1529" i="1"/>
  <c r="P1529" i="1"/>
  <c r="S1528" i="1"/>
  <c r="P1528" i="1"/>
  <c r="S1527" i="1"/>
  <c r="P1527" i="1"/>
  <c r="S1526" i="1"/>
  <c r="P1526" i="1"/>
  <c r="S1525" i="1"/>
  <c r="P1525" i="1"/>
  <c r="S1524" i="1"/>
  <c r="P1524" i="1"/>
  <c r="S1523" i="1"/>
  <c r="P1523" i="1"/>
  <c r="S1522" i="1"/>
  <c r="P1522" i="1"/>
  <c r="S1521" i="1"/>
  <c r="P1521" i="1"/>
  <c r="S1520" i="1"/>
  <c r="P1520" i="1"/>
  <c r="S1519" i="1"/>
  <c r="P1519" i="1"/>
  <c r="S1518" i="1"/>
  <c r="P1518" i="1"/>
  <c r="S1517" i="1"/>
  <c r="P1517" i="1"/>
  <c r="S1516" i="1"/>
  <c r="P1516" i="1"/>
  <c r="S1515" i="1"/>
  <c r="P1515" i="1"/>
  <c r="S1514" i="1"/>
  <c r="P1514" i="1"/>
  <c r="S1513" i="1"/>
  <c r="P1513" i="1"/>
  <c r="S1512" i="1"/>
  <c r="P1512" i="1"/>
  <c r="S1511" i="1"/>
  <c r="P1511" i="1"/>
  <c r="S1510" i="1"/>
  <c r="P1510" i="1"/>
  <c r="S1509" i="1"/>
  <c r="P1509" i="1"/>
  <c r="S1508" i="1"/>
  <c r="P1508" i="1"/>
  <c r="S1507" i="1"/>
  <c r="P1507" i="1"/>
  <c r="S1506" i="1"/>
  <c r="P1506" i="1"/>
  <c r="S1505" i="1"/>
  <c r="P1505" i="1"/>
  <c r="S1504" i="1"/>
  <c r="P1504" i="1"/>
  <c r="S1503" i="1"/>
  <c r="P1503" i="1"/>
  <c r="S1502" i="1"/>
  <c r="P1502" i="1"/>
  <c r="S1501" i="1"/>
  <c r="P1501" i="1"/>
  <c r="S1500" i="1"/>
  <c r="P1500" i="1"/>
  <c r="S1499" i="1"/>
  <c r="P1499" i="1"/>
  <c r="S1498" i="1"/>
  <c r="P1498" i="1"/>
  <c r="S1497" i="1"/>
  <c r="P1497" i="1"/>
  <c r="S1496" i="1"/>
  <c r="P1496" i="1"/>
  <c r="S1495" i="1"/>
  <c r="P1495" i="1"/>
  <c r="S1494" i="1"/>
  <c r="P1494" i="1"/>
  <c r="S1493" i="1"/>
  <c r="P1493" i="1"/>
  <c r="S1492" i="1"/>
  <c r="P1492" i="1"/>
  <c r="S1491" i="1"/>
  <c r="P1491" i="1"/>
  <c r="S1490" i="1"/>
  <c r="P1490" i="1"/>
  <c r="S1489" i="1"/>
  <c r="P1489" i="1"/>
  <c r="S1488" i="1"/>
  <c r="P1488" i="1"/>
  <c r="S1487" i="1"/>
  <c r="P1487" i="1"/>
  <c r="S1486" i="1"/>
  <c r="P1486" i="1"/>
  <c r="S1485" i="1"/>
  <c r="P1485" i="1"/>
  <c r="S1484" i="1"/>
  <c r="P1484" i="1"/>
  <c r="S1483" i="1"/>
  <c r="P1483" i="1"/>
  <c r="S1482" i="1"/>
  <c r="P1482" i="1"/>
  <c r="S1481" i="1"/>
  <c r="P1481" i="1"/>
  <c r="S1480" i="1"/>
  <c r="P1480" i="1"/>
  <c r="S1479" i="1"/>
  <c r="P1479" i="1"/>
  <c r="S1478" i="1"/>
  <c r="P1478" i="1"/>
  <c r="S1477" i="1"/>
  <c r="P1477" i="1"/>
  <c r="S1476" i="1"/>
  <c r="P1476" i="1"/>
  <c r="S1475" i="1"/>
  <c r="P1475" i="1"/>
  <c r="S1474" i="1"/>
  <c r="P1474" i="1"/>
  <c r="S1473" i="1"/>
  <c r="P1473" i="1"/>
  <c r="S1472" i="1"/>
  <c r="P1472" i="1"/>
  <c r="S1471" i="1"/>
  <c r="P1471" i="1"/>
  <c r="S1470" i="1"/>
  <c r="P1470" i="1"/>
  <c r="S1469" i="1"/>
  <c r="P1469" i="1"/>
  <c r="S1468" i="1"/>
  <c r="P1468" i="1"/>
  <c r="S1467" i="1"/>
  <c r="P1467" i="1"/>
  <c r="S1466" i="1"/>
  <c r="P1466" i="1"/>
  <c r="S1465" i="1"/>
  <c r="P1465" i="1"/>
  <c r="S1464" i="1"/>
  <c r="P1464" i="1"/>
  <c r="S1463" i="1"/>
  <c r="P1463" i="1"/>
  <c r="S1462" i="1"/>
  <c r="P1462" i="1"/>
  <c r="S1461" i="1"/>
  <c r="P1461" i="1"/>
  <c r="S1460" i="1"/>
  <c r="P1460" i="1"/>
  <c r="S1459" i="1"/>
  <c r="P1459" i="1"/>
  <c r="S1458" i="1"/>
  <c r="P1458" i="1"/>
  <c r="S1457" i="1"/>
  <c r="P1457" i="1"/>
  <c r="S1456" i="1"/>
  <c r="P1456" i="1"/>
  <c r="S1455" i="1"/>
  <c r="P1455" i="1"/>
  <c r="S1454" i="1"/>
  <c r="P1454" i="1"/>
  <c r="S1453" i="1"/>
  <c r="P1453" i="1"/>
  <c r="S1452" i="1"/>
  <c r="P1452" i="1"/>
  <c r="S1451" i="1"/>
  <c r="P1451" i="1"/>
  <c r="S1450" i="1"/>
  <c r="P1450" i="1"/>
  <c r="S1449" i="1"/>
  <c r="P1449" i="1"/>
  <c r="S1448" i="1"/>
  <c r="P1448" i="1"/>
  <c r="S1447" i="1"/>
  <c r="P1447" i="1"/>
  <c r="S1446" i="1"/>
  <c r="P1446" i="1"/>
  <c r="S1445" i="1"/>
  <c r="P1445" i="1"/>
  <c r="S1444" i="1"/>
  <c r="P1444" i="1"/>
  <c r="S1443" i="1"/>
  <c r="P1443" i="1"/>
  <c r="S1442" i="1"/>
  <c r="P1442" i="1"/>
  <c r="S1441" i="1"/>
  <c r="P1441" i="1"/>
  <c r="S1440" i="1"/>
  <c r="P1440" i="1"/>
  <c r="S1439" i="1"/>
  <c r="P1439" i="1"/>
  <c r="S1438" i="1"/>
  <c r="P1438" i="1"/>
  <c r="S1437" i="1"/>
  <c r="P1437" i="1"/>
  <c r="S1436" i="1"/>
  <c r="P1436" i="1"/>
  <c r="S1435" i="1"/>
  <c r="P1435" i="1"/>
  <c r="S1434" i="1"/>
  <c r="P1434" i="1"/>
  <c r="S1433" i="1"/>
  <c r="P1433" i="1"/>
  <c r="S1432" i="1"/>
  <c r="P1432" i="1"/>
  <c r="S1431" i="1"/>
  <c r="P1431" i="1"/>
  <c r="S1430" i="1"/>
  <c r="P1430" i="1"/>
  <c r="S1429" i="1"/>
  <c r="P1429" i="1"/>
  <c r="S1428" i="1"/>
  <c r="P1428" i="1"/>
  <c r="S1427" i="1"/>
  <c r="P1427" i="1"/>
  <c r="S1426" i="1"/>
  <c r="P1426" i="1"/>
  <c r="S1425" i="1"/>
  <c r="P1425" i="1"/>
  <c r="S1424" i="1"/>
  <c r="P1424" i="1"/>
  <c r="S1423" i="1"/>
  <c r="P1423" i="1"/>
  <c r="S1422" i="1"/>
  <c r="P1422" i="1"/>
  <c r="S1421" i="1"/>
  <c r="P1421" i="1"/>
  <c r="S1420" i="1"/>
  <c r="P1420" i="1"/>
  <c r="S1419" i="1"/>
  <c r="P1419" i="1"/>
  <c r="S1418" i="1"/>
  <c r="P1418" i="1"/>
  <c r="S1417" i="1"/>
  <c r="P1417" i="1"/>
  <c r="S1416" i="1"/>
  <c r="P1416" i="1"/>
  <c r="S1415" i="1"/>
  <c r="P1415" i="1"/>
  <c r="S1414" i="1"/>
  <c r="P1414" i="1"/>
  <c r="S1413" i="1"/>
  <c r="P1413" i="1"/>
  <c r="S1412" i="1"/>
  <c r="P1412" i="1"/>
  <c r="S1411" i="1"/>
  <c r="P1411" i="1"/>
  <c r="S1410" i="1"/>
  <c r="P1410" i="1"/>
  <c r="S1409" i="1"/>
  <c r="P1409" i="1"/>
  <c r="S1408" i="1"/>
  <c r="P1408" i="1"/>
  <c r="S1407" i="1"/>
  <c r="P1407" i="1"/>
  <c r="S1406" i="1"/>
  <c r="P1406" i="1"/>
  <c r="S1405" i="1"/>
  <c r="P1405" i="1"/>
  <c r="S1404" i="1"/>
  <c r="P1404" i="1"/>
  <c r="S1403" i="1"/>
  <c r="P1403" i="1"/>
  <c r="S1402" i="1"/>
  <c r="P1402" i="1"/>
  <c r="S1401" i="1"/>
  <c r="P1401" i="1"/>
  <c r="S1400" i="1"/>
  <c r="P1400" i="1"/>
  <c r="S1399" i="1"/>
  <c r="P1399" i="1"/>
  <c r="S1398" i="1"/>
  <c r="P1398" i="1"/>
  <c r="S1397" i="1"/>
  <c r="P1397" i="1"/>
  <c r="S1396" i="1"/>
  <c r="P1396" i="1"/>
  <c r="S1395" i="1"/>
  <c r="P1395" i="1"/>
  <c r="S1394" i="1"/>
  <c r="P1394" i="1"/>
  <c r="S1393" i="1"/>
  <c r="P1393" i="1"/>
  <c r="S1392" i="1"/>
  <c r="P1392" i="1"/>
  <c r="S1391" i="1"/>
  <c r="P1391" i="1"/>
  <c r="S1390" i="1"/>
  <c r="P1390" i="1"/>
  <c r="S1389" i="1"/>
  <c r="P1389" i="1"/>
  <c r="S1388" i="1"/>
  <c r="P1388" i="1"/>
  <c r="S1387" i="1"/>
  <c r="P1387" i="1"/>
  <c r="S1386" i="1"/>
  <c r="P1386" i="1"/>
  <c r="S1385" i="1"/>
  <c r="P1385" i="1"/>
  <c r="S1384" i="1"/>
  <c r="P1384" i="1"/>
  <c r="S1383" i="1"/>
  <c r="P1383" i="1"/>
  <c r="S1382" i="1"/>
  <c r="P1382" i="1"/>
  <c r="S1381" i="1"/>
  <c r="P1381" i="1"/>
  <c r="S1380" i="1"/>
  <c r="P1380" i="1"/>
  <c r="S1379" i="1"/>
  <c r="P1379" i="1"/>
  <c r="S1378" i="1"/>
  <c r="P1378" i="1"/>
  <c r="S1377" i="1"/>
  <c r="P1377" i="1"/>
  <c r="S1376" i="1"/>
  <c r="P1376" i="1"/>
  <c r="S1375" i="1"/>
  <c r="P1375" i="1"/>
  <c r="S1374" i="1"/>
  <c r="P1374" i="1"/>
  <c r="S1373" i="1"/>
  <c r="P1373" i="1"/>
  <c r="S1372" i="1"/>
  <c r="P1372" i="1"/>
  <c r="S1371" i="1"/>
  <c r="P1371" i="1"/>
  <c r="S1370" i="1"/>
  <c r="P1370" i="1"/>
  <c r="S1369" i="1"/>
  <c r="P1369" i="1"/>
  <c r="S1368" i="1"/>
  <c r="P1368" i="1"/>
  <c r="S1367" i="1"/>
  <c r="P1367" i="1"/>
  <c r="S1366" i="1"/>
  <c r="P1366" i="1"/>
  <c r="S1365" i="1"/>
  <c r="P1365" i="1"/>
  <c r="S1364" i="1"/>
  <c r="P1364" i="1"/>
  <c r="S1363" i="1"/>
  <c r="P1363" i="1"/>
  <c r="S1362" i="1"/>
  <c r="P1362" i="1"/>
  <c r="S1361" i="1"/>
  <c r="P1361" i="1"/>
  <c r="S1360" i="1"/>
  <c r="P1360" i="1"/>
  <c r="S1359" i="1"/>
  <c r="P1359" i="1"/>
  <c r="S1358" i="1"/>
  <c r="P1358" i="1"/>
  <c r="S1357" i="1"/>
  <c r="P1357" i="1"/>
  <c r="S1356" i="1"/>
  <c r="P1356" i="1"/>
  <c r="S1355" i="1"/>
  <c r="P1355" i="1"/>
  <c r="S1354" i="1"/>
  <c r="P1354" i="1"/>
  <c r="S1353" i="1"/>
  <c r="P1353" i="1"/>
  <c r="S1352" i="1"/>
  <c r="P1352" i="1"/>
  <c r="S1351" i="1"/>
  <c r="P1351" i="1"/>
  <c r="S1350" i="1"/>
  <c r="P1350" i="1"/>
  <c r="S1349" i="1"/>
  <c r="P1349" i="1"/>
  <c r="S1348" i="1"/>
  <c r="P1348" i="1"/>
  <c r="S1347" i="1"/>
  <c r="P1347" i="1"/>
  <c r="S1346" i="1"/>
  <c r="P1346" i="1"/>
  <c r="S1345" i="1"/>
  <c r="P1345" i="1"/>
  <c r="S1344" i="1"/>
  <c r="P1344" i="1"/>
  <c r="S1343" i="1"/>
  <c r="P1343" i="1"/>
  <c r="S1342" i="1"/>
  <c r="P1342" i="1"/>
  <c r="S1341" i="1"/>
  <c r="P1341" i="1"/>
  <c r="S1340" i="1"/>
  <c r="P1340" i="1"/>
  <c r="S1339" i="1"/>
  <c r="P1339" i="1"/>
  <c r="S1338" i="1"/>
  <c r="P1338" i="1"/>
  <c r="S1337" i="1"/>
  <c r="P1337" i="1"/>
  <c r="S1336" i="1"/>
  <c r="P1336" i="1"/>
  <c r="S1335" i="1"/>
  <c r="P1335" i="1"/>
  <c r="S1334" i="1"/>
  <c r="P1334" i="1"/>
  <c r="S1333" i="1"/>
  <c r="P1333" i="1"/>
  <c r="S1332" i="1"/>
  <c r="P1332" i="1"/>
  <c r="S1331" i="1"/>
  <c r="P1331" i="1"/>
  <c r="S1330" i="1"/>
  <c r="P1330" i="1"/>
  <c r="S1329" i="1"/>
  <c r="P1329" i="1"/>
  <c r="S1328" i="1"/>
  <c r="P1328" i="1"/>
  <c r="S1327" i="1"/>
  <c r="P1327" i="1"/>
  <c r="S1326" i="1"/>
  <c r="P1326" i="1"/>
  <c r="S1325" i="1"/>
  <c r="P1325" i="1"/>
  <c r="S1324" i="1"/>
  <c r="P1324" i="1"/>
  <c r="S1323" i="1"/>
  <c r="P1323" i="1"/>
  <c r="S1322" i="1"/>
  <c r="P1322" i="1"/>
  <c r="S1321" i="1"/>
  <c r="P1321" i="1"/>
  <c r="S1320" i="1"/>
  <c r="P1320" i="1"/>
  <c r="S1319" i="1"/>
  <c r="P1319" i="1"/>
  <c r="S1318" i="1"/>
  <c r="P1318" i="1"/>
  <c r="S1317" i="1"/>
  <c r="P1317" i="1"/>
  <c r="S1316" i="1"/>
  <c r="P1316" i="1"/>
  <c r="S1315" i="1"/>
  <c r="P1315" i="1"/>
  <c r="S1314" i="1"/>
  <c r="P1314" i="1"/>
  <c r="S1313" i="1"/>
  <c r="P1313" i="1"/>
  <c r="S1312" i="1"/>
  <c r="P1312" i="1"/>
  <c r="S1311" i="1"/>
  <c r="P1311" i="1"/>
  <c r="S1310" i="1"/>
  <c r="P1310" i="1"/>
  <c r="S1309" i="1"/>
  <c r="P1309" i="1"/>
  <c r="S1308" i="1"/>
  <c r="P1308" i="1"/>
  <c r="S1307" i="1"/>
  <c r="P1307" i="1"/>
  <c r="S1306" i="1"/>
  <c r="P1306" i="1"/>
  <c r="S1305" i="1"/>
  <c r="P1305" i="1"/>
  <c r="S1304" i="1"/>
  <c r="P1304" i="1"/>
  <c r="S1303" i="1"/>
  <c r="P1303" i="1"/>
  <c r="S1302" i="1"/>
  <c r="P1302" i="1"/>
  <c r="S1301" i="1"/>
  <c r="P1301" i="1"/>
  <c r="S1300" i="1"/>
  <c r="P1300" i="1"/>
  <c r="S1299" i="1"/>
  <c r="P1299" i="1"/>
  <c r="S1298" i="1"/>
  <c r="P1298" i="1"/>
  <c r="S1297" i="1"/>
  <c r="P1297" i="1"/>
  <c r="S1296" i="1"/>
  <c r="P1296" i="1"/>
  <c r="S1295" i="1"/>
  <c r="P1295" i="1"/>
  <c r="S1294" i="1"/>
  <c r="P1294" i="1"/>
  <c r="S1293" i="1"/>
  <c r="P1293" i="1"/>
  <c r="S1292" i="1"/>
  <c r="P1292" i="1"/>
  <c r="S1291" i="1"/>
  <c r="P1291" i="1"/>
  <c r="S1290" i="1"/>
  <c r="P1290" i="1"/>
  <c r="S1289" i="1"/>
  <c r="P1289" i="1"/>
  <c r="S1288" i="1"/>
  <c r="P1288" i="1"/>
  <c r="S1287" i="1"/>
  <c r="P1287" i="1"/>
  <c r="S1286" i="1"/>
  <c r="P1286" i="1"/>
  <c r="S1285" i="1"/>
  <c r="P1285" i="1"/>
  <c r="S1284" i="1"/>
  <c r="P1284" i="1"/>
  <c r="S1283" i="1"/>
  <c r="P1283" i="1"/>
  <c r="S1282" i="1"/>
  <c r="P1282" i="1"/>
  <c r="S1281" i="1"/>
  <c r="P1281" i="1"/>
  <c r="S1280" i="1"/>
  <c r="P1280" i="1"/>
  <c r="S1279" i="1"/>
  <c r="P1279" i="1"/>
  <c r="S1278" i="1"/>
  <c r="P1278" i="1"/>
  <c r="S1277" i="1"/>
  <c r="P1277" i="1"/>
  <c r="S1276" i="1"/>
  <c r="P1276" i="1"/>
  <c r="S1275" i="1"/>
  <c r="P1275" i="1"/>
  <c r="S1274" i="1"/>
  <c r="P1274" i="1"/>
  <c r="S1273" i="1"/>
  <c r="P1273" i="1"/>
  <c r="S1272" i="1"/>
  <c r="P1272" i="1"/>
  <c r="S1271" i="1"/>
  <c r="P1271" i="1"/>
  <c r="S1270" i="1"/>
  <c r="P1270" i="1"/>
  <c r="S1269" i="1"/>
  <c r="P1269" i="1"/>
  <c r="S1268" i="1"/>
  <c r="P1268" i="1"/>
  <c r="S1267" i="1"/>
  <c r="P1267" i="1"/>
  <c r="S1266" i="1"/>
  <c r="P1266" i="1"/>
  <c r="S1265" i="1"/>
  <c r="P1265" i="1"/>
  <c r="S1264" i="1"/>
  <c r="P1264" i="1"/>
  <c r="S1263" i="1"/>
  <c r="P1263" i="1"/>
  <c r="S1262" i="1"/>
  <c r="P1262" i="1"/>
  <c r="S1261" i="1"/>
  <c r="P1261" i="1"/>
  <c r="S1260" i="1"/>
  <c r="P1260" i="1"/>
  <c r="S1259" i="1"/>
  <c r="P1259" i="1"/>
  <c r="S1258" i="1"/>
  <c r="P1258" i="1"/>
  <c r="S1257" i="1"/>
  <c r="P1257" i="1"/>
  <c r="S1256" i="1"/>
  <c r="P1256" i="1"/>
  <c r="S1255" i="1"/>
  <c r="P1255" i="1"/>
  <c r="S1254" i="1"/>
  <c r="P1254" i="1"/>
  <c r="S1253" i="1"/>
  <c r="P1253" i="1"/>
  <c r="S1252" i="1"/>
  <c r="P1252" i="1"/>
  <c r="S1251" i="1"/>
  <c r="P1251" i="1"/>
  <c r="S1250" i="1"/>
  <c r="P1250" i="1"/>
  <c r="S1249" i="1"/>
  <c r="P1249" i="1"/>
  <c r="S1248" i="1"/>
  <c r="P1248" i="1"/>
  <c r="S1247" i="1"/>
  <c r="P1247" i="1"/>
  <c r="S1246" i="1"/>
  <c r="P1246" i="1"/>
  <c r="S1245" i="1"/>
  <c r="P1245" i="1"/>
  <c r="S1244" i="1"/>
  <c r="P1244" i="1"/>
  <c r="S1243" i="1"/>
  <c r="P1243" i="1"/>
  <c r="S1242" i="1"/>
  <c r="P1242" i="1"/>
  <c r="S1241" i="1"/>
  <c r="P1241" i="1"/>
  <c r="S1240" i="1"/>
  <c r="P1240" i="1"/>
  <c r="S1239" i="1"/>
  <c r="P1239" i="1"/>
  <c r="S1238" i="1"/>
  <c r="P1238" i="1"/>
  <c r="S1237" i="1"/>
  <c r="P1237" i="1"/>
  <c r="S1236" i="1"/>
  <c r="P1236" i="1"/>
  <c r="S1235" i="1"/>
  <c r="P1235" i="1"/>
  <c r="S1234" i="1"/>
  <c r="P1234" i="1"/>
  <c r="S1233" i="1"/>
  <c r="P1233" i="1"/>
  <c r="S1232" i="1"/>
  <c r="P1232" i="1"/>
  <c r="S1231" i="1"/>
  <c r="P1231" i="1"/>
  <c r="S1230" i="1"/>
  <c r="P1230" i="1"/>
  <c r="S1229" i="1"/>
  <c r="P1229" i="1"/>
  <c r="S1228" i="1"/>
  <c r="P1228" i="1"/>
  <c r="S1227" i="1"/>
  <c r="P1227" i="1"/>
  <c r="S1226" i="1"/>
  <c r="P1226" i="1"/>
  <c r="S1225" i="1"/>
  <c r="P1225" i="1"/>
  <c r="S1224" i="1"/>
  <c r="P1224" i="1"/>
  <c r="S1223" i="1"/>
  <c r="P1223" i="1"/>
  <c r="S1222" i="1"/>
  <c r="P1222" i="1"/>
  <c r="S1221" i="1"/>
  <c r="P1221" i="1"/>
  <c r="S1220" i="1"/>
  <c r="P1220" i="1"/>
  <c r="S1219" i="1"/>
  <c r="P1219" i="1"/>
  <c r="S1218" i="1"/>
  <c r="P1218" i="1"/>
  <c r="S1217" i="1"/>
  <c r="P1217" i="1"/>
  <c r="S1216" i="1"/>
  <c r="P1216" i="1"/>
  <c r="S1215" i="1"/>
  <c r="P1215" i="1"/>
  <c r="S1214" i="1"/>
  <c r="P1214" i="1"/>
  <c r="S1213" i="1"/>
  <c r="P1213" i="1"/>
  <c r="S1212" i="1"/>
  <c r="P1212" i="1"/>
  <c r="S1211" i="1"/>
  <c r="P1211" i="1"/>
  <c r="S1210" i="1"/>
  <c r="P1210" i="1"/>
  <c r="S1209" i="1"/>
  <c r="P1209" i="1"/>
  <c r="S1208" i="1"/>
  <c r="P1208" i="1"/>
  <c r="S1207" i="1"/>
  <c r="P1207" i="1"/>
  <c r="S1206" i="1"/>
  <c r="P1206" i="1"/>
  <c r="S1205" i="1"/>
  <c r="P1205" i="1"/>
  <c r="S1204" i="1"/>
  <c r="P1204" i="1"/>
  <c r="S1203" i="1"/>
  <c r="P1203" i="1"/>
  <c r="S1202" i="1"/>
  <c r="P1202" i="1"/>
  <c r="S1201" i="1"/>
  <c r="P1201" i="1"/>
  <c r="S1200" i="1"/>
  <c r="P1200" i="1"/>
  <c r="S1199" i="1"/>
  <c r="P1199" i="1"/>
  <c r="S1198" i="1"/>
  <c r="P1198" i="1"/>
  <c r="S1197" i="1"/>
  <c r="P1197" i="1"/>
  <c r="S1196" i="1"/>
  <c r="P1196" i="1"/>
  <c r="S1195" i="1"/>
  <c r="P1195" i="1"/>
  <c r="S1194" i="1"/>
  <c r="P1194" i="1"/>
  <c r="S1193" i="1"/>
  <c r="P1193" i="1"/>
  <c r="S1192" i="1"/>
  <c r="P1192" i="1"/>
  <c r="S1191" i="1"/>
  <c r="P1191" i="1"/>
  <c r="S1190" i="1"/>
  <c r="P1190" i="1"/>
  <c r="S1189" i="1"/>
  <c r="P1189" i="1"/>
  <c r="S1188" i="1"/>
  <c r="P1188" i="1"/>
  <c r="S1187" i="1"/>
  <c r="P1187" i="1"/>
  <c r="S1186" i="1"/>
  <c r="P1186" i="1"/>
  <c r="S1185" i="1"/>
  <c r="P1185" i="1"/>
  <c r="S1184" i="1"/>
  <c r="P1184" i="1"/>
  <c r="S1183" i="1"/>
  <c r="P1183" i="1"/>
  <c r="S1182" i="1"/>
  <c r="P1182" i="1"/>
  <c r="S1181" i="1"/>
  <c r="P1181" i="1"/>
  <c r="S1180" i="1"/>
  <c r="P1180" i="1"/>
  <c r="S1179" i="1"/>
  <c r="P1179" i="1"/>
  <c r="S1178" i="1"/>
  <c r="P1178" i="1"/>
  <c r="S1177" i="1"/>
  <c r="P1177" i="1"/>
  <c r="S1176" i="1"/>
  <c r="P1176" i="1"/>
  <c r="S1175" i="1"/>
  <c r="P1175" i="1"/>
  <c r="S1174" i="1"/>
  <c r="P1174" i="1"/>
  <c r="S1173" i="1"/>
  <c r="P1173" i="1"/>
  <c r="S1172" i="1"/>
  <c r="P1172" i="1"/>
  <c r="S1171" i="1"/>
  <c r="P1171" i="1"/>
  <c r="S1170" i="1"/>
  <c r="P1170" i="1"/>
  <c r="S1169" i="1"/>
  <c r="P1169" i="1"/>
  <c r="S1168" i="1"/>
  <c r="P1168" i="1"/>
  <c r="S1167" i="1"/>
  <c r="P1167" i="1"/>
  <c r="S1166" i="1"/>
  <c r="P1166" i="1"/>
  <c r="S1165" i="1"/>
  <c r="P1165" i="1"/>
  <c r="S1164" i="1"/>
  <c r="P1164" i="1"/>
  <c r="S1163" i="1"/>
  <c r="P1163" i="1"/>
  <c r="S1162" i="1"/>
  <c r="P1162" i="1"/>
  <c r="S1161" i="1"/>
  <c r="P1161" i="1"/>
  <c r="S1160" i="1"/>
  <c r="P1160" i="1"/>
  <c r="S1159" i="1"/>
  <c r="P1159" i="1"/>
  <c r="S1158" i="1"/>
  <c r="P1158" i="1"/>
  <c r="S1157" i="1"/>
  <c r="P1157" i="1"/>
  <c r="S1156" i="1"/>
  <c r="P1156" i="1"/>
  <c r="S1155" i="1"/>
  <c r="P1155" i="1"/>
  <c r="S1154" i="1"/>
  <c r="P1154" i="1"/>
  <c r="S1153" i="1"/>
  <c r="P1153" i="1"/>
  <c r="S1152" i="1"/>
  <c r="P1152" i="1"/>
  <c r="S1151" i="1"/>
  <c r="P1151" i="1"/>
  <c r="S1150" i="1"/>
  <c r="P1150" i="1"/>
  <c r="S1149" i="1"/>
  <c r="P1149" i="1"/>
  <c r="S1148" i="1"/>
  <c r="P1148" i="1"/>
  <c r="S1147" i="1"/>
  <c r="P1147" i="1"/>
  <c r="S1146" i="1"/>
  <c r="P1146" i="1"/>
  <c r="S1145" i="1"/>
  <c r="P1145" i="1"/>
  <c r="S1144" i="1"/>
  <c r="P1144" i="1"/>
  <c r="S1143" i="1"/>
  <c r="P1143" i="1"/>
  <c r="S1142" i="1"/>
  <c r="P1142" i="1"/>
  <c r="S1141" i="1"/>
  <c r="P1141" i="1"/>
  <c r="S1140" i="1"/>
  <c r="P1140" i="1"/>
  <c r="S1139" i="1"/>
  <c r="P1139" i="1"/>
  <c r="S1138" i="1"/>
  <c r="P1138" i="1"/>
  <c r="S1137" i="1"/>
  <c r="P1137" i="1"/>
  <c r="S1136" i="1"/>
  <c r="P1136" i="1"/>
  <c r="S1135" i="1"/>
  <c r="P1135" i="1"/>
  <c r="S1134" i="1"/>
  <c r="P1134" i="1"/>
  <c r="S1133" i="1"/>
  <c r="P1133" i="1"/>
  <c r="S1132" i="1"/>
  <c r="P1132" i="1"/>
  <c r="S1131" i="1"/>
  <c r="P1131" i="1"/>
  <c r="S1130" i="1"/>
  <c r="P1130" i="1"/>
  <c r="S1129" i="1"/>
  <c r="P1129" i="1"/>
  <c r="S1128" i="1"/>
  <c r="P1128" i="1"/>
  <c r="S1127" i="1"/>
  <c r="P1127" i="1"/>
  <c r="S1126" i="1"/>
  <c r="P1126" i="1"/>
  <c r="S1125" i="1"/>
  <c r="P1125" i="1"/>
  <c r="S1124" i="1"/>
  <c r="P1124" i="1"/>
  <c r="S1123" i="1"/>
  <c r="P1123" i="1"/>
  <c r="S1122" i="1"/>
  <c r="P1122" i="1"/>
  <c r="S1121" i="1"/>
  <c r="P1121" i="1"/>
  <c r="S1120" i="1"/>
  <c r="P1120" i="1"/>
  <c r="S1119" i="1"/>
  <c r="P1119" i="1"/>
  <c r="S1118" i="1"/>
  <c r="P1118" i="1"/>
  <c r="S1117" i="1"/>
  <c r="P1117" i="1"/>
  <c r="S1116" i="1"/>
  <c r="P1116" i="1"/>
  <c r="S1115" i="1"/>
  <c r="P1115" i="1"/>
  <c r="S1114" i="1"/>
  <c r="P1114" i="1"/>
  <c r="S1113" i="1"/>
  <c r="P1113" i="1"/>
  <c r="S1112" i="1"/>
  <c r="P1112" i="1"/>
  <c r="S1111" i="1"/>
  <c r="P1111" i="1"/>
  <c r="S1110" i="1"/>
  <c r="P1110" i="1"/>
  <c r="S1109" i="1"/>
  <c r="P1109" i="1"/>
  <c r="S1108" i="1"/>
  <c r="P1108" i="1"/>
  <c r="S1107" i="1"/>
  <c r="P1107" i="1"/>
  <c r="S1106" i="1"/>
  <c r="P1106" i="1"/>
  <c r="S1105" i="1"/>
  <c r="P1105" i="1"/>
  <c r="S1104" i="1"/>
  <c r="P1104" i="1"/>
  <c r="S1103" i="1"/>
  <c r="P1103" i="1"/>
  <c r="S1102" i="1"/>
  <c r="P1102" i="1"/>
  <c r="S1101" i="1"/>
  <c r="P1101" i="1"/>
  <c r="S1100" i="1"/>
  <c r="P1100" i="1"/>
  <c r="S1099" i="1"/>
  <c r="P1099" i="1"/>
  <c r="S1098" i="1"/>
  <c r="P1098" i="1"/>
  <c r="S1097" i="1"/>
  <c r="P1097" i="1"/>
  <c r="S1096" i="1"/>
  <c r="P1096" i="1"/>
  <c r="S1095" i="1"/>
  <c r="P1095" i="1"/>
  <c r="S1094" i="1"/>
  <c r="P1094" i="1"/>
  <c r="S1093" i="1"/>
  <c r="P1093" i="1"/>
  <c r="S1092" i="1"/>
  <c r="P1092" i="1"/>
  <c r="S1091" i="1"/>
  <c r="P1091" i="1"/>
  <c r="S1090" i="1"/>
  <c r="P1090" i="1"/>
  <c r="S1089" i="1"/>
  <c r="P1089" i="1"/>
  <c r="S1088" i="1"/>
  <c r="P1088" i="1"/>
  <c r="S1087" i="1"/>
  <c r="P1087" i="1"/>
  <c r="S1086" i="1"/>
  <c r="P1086" i="1"/>
  <c r="S1085" i="1"/>
  <c r="P1085" i="1"/>
  <c r="S1084" i="1"/>
  <c r="P1084" i="1"/>
  <c r="S1083" i="1"/>
  <c r="P1083" i="1"/>
  <c r="S1082" i="1"/>
  <c r="P1082" i="1"/>
  <c r="S1081" i="1"/>
  <c r="P1081" i="1"/>
  <c r="S1080" i="1"/>
  <c r="P1080" i="1"/>
  <c r="S1079" i="1"/>
  <c r="P1079" i="1"/>
  <c r="S1078" i="1"/>
  <c r="P1078" i="1"/>
  <c r="S1077" i="1"/>
  <c r="P1077" i="1"/>
  <c r="S1076" i="1"/>
  <c r="P1076" i="1"/>
  <c r="S1075" i="1"/>
  <c r="P1075" i="1"/>
  <c r="S1074" i="1"/>
  <c r="P1074" i="1"/>
  <c r="S1073" i="1"/>
  <c r="P1073" i="1"/>
  <c r="S1072" i="1"/>
  <c r="P1072" i="1"/>
  <c r="S1071" i="1"/>
  <c r="P1071" i="1"/>
  <c r="S1070" i="1"/>
  <c r="P1070" i="1"/>
  <c r="S1069" i="1"/>
  <c r="P1069" i="1"/>
  <c r="S1068" i="1"/>
  <c r="P1068" i="1"/>
  <c r="S1067" i="1"/>
  <c r="P1067" i="1"/>
  <c r="S1066" i="1"/>
  <c r="P1066" i="1"/>
  <c r="S1065" i="1"/>
  <c r="P1065" i="1"/>
  <c r="S1064" i="1"/>
  <c r="P1064" i="1"/>
  <c r="S1063" i="1"/>
  <c r="P1063" i="1"/>
  <c r="S1062" i="1"/>
  <c r="P1062" i="1"/>
  <c r="S1061" i="1"/>
  <c r="P1061" i="1"/>
  <c r="S1060" i="1"/>
  <c r="P1060" i="1"/>
  <c r="S1059" i="1"/>
  <c r="P1059" i="1"/>
  <c r="S1058" i="1"/>
  <c r="P1058" i="1"/>
  <c r="S1057" i="1"/>
  <c r="P1057" i="1"/>
  <c r="S1056" i="1"/>
  <c r="P1056" i="1"/>
  <c r="S1055" i="1"/>
  <c r="P1055" i="1"/>
  <c r="S1054" i="1"/>
  <c r="P1054" i="1"/>
  <c r="S1053" i="1"/>
  <c r="P1053" i="1"/>
  <c r="S1052" i="1"/>
  <c r="P1052" i="1"/>
  <c r="S1051" i="1"/>
  <c r="P1051" i="1"/>
  <c r="S1050" i="1"/>
  <c r="P1050" i="1"/>
  <c r="S1049" i="1"/>
  <c r="P1049" i="1"/>
  <c r="S1048" i="1"/>
  <c r="P1048" i="1"/>
  <c r="S1047" i="1"/>
  <c r="P1047" i="1"/>
  <c r="S1046" i="1"/>
  <c r="P1046" i="1"/>
  <c r="S1045" i="1"/>
  <c r="P1045" i="1"/>
  <c r="S1044" i="1"/>
  <c r="P1044" i="1"/>
  <c r="S1043" i="1"/>
  <c r="P1043" i="1"/>
  <c r="S1042" i="1"/>
  <c r="P1042" i="1"/>
  <c r="S1041" i="1"/>
  <c r="P1041" i="1"/>
  <c r="S1040" i="1"/>
  <c r="P1040" i="1"/>
  <c r="S1039" i="1"/>
  <c r="P1039" i="1"/>
  <c r="S1038" i="1"/>
  <c r="P1038" i="1"/>
  <c r="S1037" i="1"/>
  <c r="P1037" i="1"/>
  <c r="S1036" i="1"/>
  <c r="P1036" i="1"/>
  <c r="S1035" i="1"/>
  <c r="P1035" i="1"/>
  <c r="S1034" i="1"/>
  <c r="P1034" i="1"/>
  <c r="S1033" i="1"/>
  <c r="P1033" i="1"/>
  <c r="S1032" i="1"/>
  <c r="P1032" i="1"/>
  <c r="S1031" i="1"/>
  <c r="P1031" i="1"/>
  <c r="S1030" i="1"/>
  <c r="P1030" i="1"/>
  <c r="S1029" i="1"/>
  <c r="P1029" i="1"/>
  <c r="S1028" i="1"/>
  <c r="P1028" i="1"/>
  <c r="S1027" i="1"/>
  <c r="P1027" i="1"/>
  <c r="S1026" i="1"/>
  <c r="P1026" i="1"/>
  <c r="S1025" i="1"/>
  <c r="P1025" i="1"/>
  <c r="S1024" i="1"/>
  <c r="P1024" i="1"/>
  <c r="S1023" i="1"/>
  <c r="P1023" i="1"/>
  <c r="S1022" i="1"/>
  <c r="P1022" i="1"/>
  <c r="S1021" i="1"/>
  <c r="P1021" i="1"/>
  <c r="S1020" i="1"/>
  <c r="P1020" i="1"/>
  <c r="S1019" i="1"/>
  <c r="P1019" i="1"/>
  <c r="S1018" i="1"/>
  <c r="P1018" i="1"/>
  <c r="S1017" i="1"/>
  <c r="P1017" i="1"/>
  <c r="S1016" i="1"/>
  <c r="P1016" i="1"/>
  <c r="S1015" i="1"/>
  <c r="P1015" i="1"/>
  <c r="S1014" i="1"/>
  <c r="P1014" i="1"/>
  <c r="S1013" i="1"/>
  <c r="P1013" i="1"/>
  <c r="S1012" i="1"/>
  <c r="P1012" i="1"/>
  <c r="S1011" i="1"/>
  <c r="P1011" i="1"/>
  <c r="S1010" i="1"/>
  <c r="P1010" i="1"/>
  <c r="S1009" i="1"/>
  <c r="P1009" i="1"/>
  <c r="S1008" i="1"/>
  <c r="P1008" i="1"/>
  <c r="S1007" i="1"/>
  <c r="P1007" i="1"/>
  <c r="S1006" i="1"/>
  <c r="P1006" i="1"/>
  <c r="S1005" i="1"/>
  <c r="P1005" i="1"/>
  <c r="S1004" i="1"/>
  <c r="P1004" i="1"/>
  <c r="S1003" i="1"/>
  <c r="P1003" i="1"/>
  <c r="S1002" i="1"/>
  <c r="P1002" i="1"/>
  <c r="S1001" i="1"/>
  <c r="P1001" i="1"/>
  <c r="S1000" i="1"/>
  <c r="P1000" i="1"/>
  <c r="S999" i="1"/>
  <c r="P999" i="1"/>
  <c r="S998" i="1"/>
  <c r="P998" i="1"/>
  <c r="S997" i="1"/>
  <c r="P997" i="1"/>
  <c r="S996" i="1"/>
  <c r="P996" i="1"/>
  <c r="S995" i="1"/>
  <c r="P995" i="1"/>
  <c r="S994" i="1"/>
  <c r="P994" i="1"/>
  <c r="S993" i="1"/>
  <c r="P993" i="1"/>
  <c r="S992" i="1"/>
  <c r="P992" i="1"/>
  <c r="S991" i="1"/>
  <c r="P991" i="1"/>
  <c r="S990" i="1"/>
  <c r="P990" i="1"/>
  <c r="S989" i="1"/>
  <c r="P989" i="1"/>
  <c r="S988" i="1"/>
  <c r="P988" i="1"/>
  <c r="S987" i="1"/>
  <c r="P987" i="1"/>
  <c r="S986" i="1"/>
  <c r="P986" i="1"/>
  <c r="S985" i="1"/>
  <c r="P985" i="1"/>
  <c r="S984" i="1"/>
  <c r="P984" i="1"/>
  <c r="S983" i="1"/>
  <c r="P983" i="1"/>
  <c r="S982" i="1"/>
  <c r="P982" i="1"/>
  <c r="S981" i="1"/>
  <c r="P981" i="1"/>
  <c r="S980" i="1"/>
  <c r="P980" i="1"/>
  <c r="S979" i="1"/>
  <c r="P979" i="1"/>
  <c r="S978" i="1"/>
  <c r="P978" i="1"/>
  <c r="S977" i="1"/>
  <c r="P977" i="1"/>
  <c r="S976" i="1"/>
  <c r="P976" i="1"/>
  <c r="S975" i="1"/>
  <c r="P975" i="1"/>
  <c r="S974" i="1"/>
  <c r="P974" i="1"/>
  <c r="S973" i="1"/>
  <c r="P973" i="1"/>
  <c r="S972" i="1"/>
  <c r="P972" i="1"/>
  <c r="S971" i="1"/>
  <c r="P971" i="1"/>
  <c r="S970" i="1"/>
  <c r="P970" i="1"/>
  <c r="S969" i="1"/>
  <c r="P969" i="1"/>
  <c r="S968" i="1"/>
  <c r="P968" i="1"/>
  <c r="S967" i="1"/>
  <c r="P967" i="1"/>
  <c r="S966" i="1"/>
  <c r="P966" i="1"/>
  <c r="S965" i="1"/>
  <c r="P965" i="1"/>
  <c r="S964" i="1"/>
  <c r="P964" i="1"/>
  <c r="S963" i="1"/>
  <c r="P963" i="1"/>
  <c r="S962" i="1"/>
  <c r="P962" i="1"/>
  <c r="S961" i="1"/>
  <c r="P961" i="1"/>
  <c r="S960" i="1"/>
  <c r="P960" i="1"/>
  <c r="S959" i="1"/>
  <c r="P959" i="1"/>
  <c r="S958" i="1"/>
  <c r="P958" i="1"/>
  <c r="S957" i="1"/>
  <c r="P957" i="1"/>
  <c r="S956" i="1"/>
  <c r="P956" i="1"/>
  <c r="S955" i="1"/>
  <c r="P955" i="1"/>
  <c r="S954" i="1"/>
  <c r="P954" i="1"/>
  <c r="S953" i="1"/>
  <c r="P953" i="1"/>
  <c r="S952" i="1"/>
  <c r="P952" i="1"/>
  <c r="S951" i="1"/>
  <c r="P951" i="1"/>
  <c r="S950" i="1"/>
  <c r="P950" i="1"/>
  <c r="S949" i="1"/>
  <c r="P949" i="1"/>
  <c r="S948" i="1"/>
  <c r="P948" i="1"/>
  <c r="S947" i="1"/>
  <c r="P947" i="1"/>
  <c r="S946" i="1"/>
  <c r="P946" i="1"/>
  <c r="S945" i="1"/>
  <c r="P945" i="1"/>
  <c r="S944" i="1"/>
  <c r="P944" i="1"/>
  <c r="S943" i="1"/>
  <c r="P943" i="1"/>
  <c r="S942" i="1"/>
  <c r="P942" i="1"/>
  <c r="S941" i="1"/>
  <c r="P941" i="1"/>
  <c r="S940" i="1"/>
  <c r="P940" i="1"/>
  <c r="S939" i="1"/>
  <c r="P939" i="1"/>
  <c r="S938" i="1"/>
  <c r="P938" i="1"/>
  <c r="S937" i="1"/>
  <c r="P937" i="1"/>
  <c r="S936" i="1"/>
  <c r="P936" i="1"/>
  <c r="S935" i="1"/>
  <c r="P935" i="1"/>
  <c r="S934" i="1"/>
  <c r="P934" i="1"/>
  <c r="S933" i="1"/>
  <c r="P933" i="1"/>
  <c r="S932" i="1"/>
  <c r="P932" i="1"/>
  <c r="S931" i="1"/>
  <c r="P931" i="1"/>
  <c r="S930" i="1"/>
  <c r="P930" i="1"/>
  <c r="S929" i="1"/>
  <c r="P929" i="1"/>
  <c r="S928" i="1"/>
  <c r="P928" i="1"/>
  <c r="S927" i="1"/>
  <c r="P927" i="1"/>
  <c r="S926" i="1"/>
  <c r="P926" i="1"/>
  <c r="S925" i="1"/>
  <c r="P925" i="1"/>
  <c r="S924" i="1"/>
  <c r="P924" i="1"/>
  <c r="S923" i="1"/>
  <c r="P923" i="1"/>
  <c r="S922" i="1"/>
  <c r="P922" i="1"/>
  <c r="S921" i="1"/>
  <c r="P921" i="1"/>
  <c r="S920" i="1"/>
  <c r="P920" i="1"/>
  <c r="S919" i="1"/>
  <c r="P919" i="1"/>
  <c r="S918" i="1"/>
  <c r="P918" i="1"/>
  <c r="S917" i="1"/>
  <c r="P917" i="1"/>
  <c r="S916" i="1"/>
  <c r="P916" i="1"/>
  <c r="S915" i="1"/>
  <c r="P915" i="1"/>
  <c r="S914" i="1"/>
  <c r="P914" i="1"/>
  <c r="S913" i="1"/>
  <c r="P913" i="1"/>
  <c r="S912" i="1"/>
  <c r="P912" i="1"/>
  <c r="S911" i="1"/>
  <c r="P911" i="1"/>
  <c r="S910" i="1"/>
  <c r="P910" i="1"/>
  <c r="S909" i="1"/>
  <c r="P909" i="1"/>
  <c r="S908" i="1"/>
  <c r="P908" i="1"/>
  <c r="S907" i="1"/>
  <c r="P907" i="1"/>
  <c r="S906" i="1"/>
  <c r="P906" i="1"/>
  <c r="S905" i="1"/>
  <c r="P905" i="1"/>
  <c r="S904" i="1"/>
  <c r="P904" i="1"/>
  <c r="S903" i="1"/>
  <c r="P903" i="1"/>
  <c r="S902" i="1"/>
  <c r="P902" i="1"/>
  <c r="S901" i="1"/>
  <c r="P901" i="1"/>
  <c r="S900" i="1"/>
  <c r="P900" i="1"/>
  <c r="S899" i="1"/>
  <c r="P899" i="1"/>
  <c r="S898" i="1"/>
  <c r="P898" i="1"/>
  <c r="S897" i="1"/>
  <c r="P897" i="1"/>
  <c r="S896" i="1"/>
  <c r="P896" i="1"/>
  <c r="S895" i="1"/>
  <c r="P895" i="1"/>
  <c r="S894" i="1"/>
  <c r="P894" i="1"/>
  <c r="S893" i="1"/>
  <c r="P893" i="1"/>
  <c r="S892" i="1"/>
  <c r="P892" i="1"/>
  <c r="S891" i="1"/>
  <c r="P891" i="1"/>
  <c r="S890" i="1"/>
  <c r="P890" i="1"/>
  <c r="S889" i="1"/>
  <c r="P889" i="1"/>
  <c r="S888" i="1"/>
  <c r="P888" i="1"/>
  <c r="S887" i="1"/>
  <c r="P887" i="1"/>
  <c r="S886" i="1"/>
  <c r="P886" i="1"/>
  <c r="S885" i="1"/>
  <c r="P885" i="1"/>
  <c r="S884" i="1"/>
  <c r="P884" i="1"/>
  <c r="S883" i="1"/>
  <c r="P883" i="1"/>
  <c r="S882" i="1"/>
  <c r="P882" i="1"/>
  <c r="S881" i="1"/>
  <c r="P881" i="1"/>
  <c r="S880" i="1"/>
  <c r="P880" i="1"/>
  <c r="S879" i="1"/>
  <c r="P879" i="1"/>
  <c r="S878" i="1"/>
  <c r="P878" i="1"/>
  <c r="S877" i="1"/>
  <c r="P877" i="1"/>
  <c r="S876" i="1"/>
  <c r="P876" i="1"/>
  <c r="S875" i="1"/>
  <c r="P875" i="1"/>
  <c r="S874" i="1"/>
  <c r="P874" i="1"/>
  <c r="S873" i="1"/>
  <c r="P873" i="1"/>
  <c r="S872" i="1"/>
  <c r="P872" i="1"/>
  <c r="S871" i="1"/>
  <c r="P871" i="1"/>
  <c r="S870" i="1"/>
  <c r="P870" i="1"/>
  <c r="S869" i="1"/>
  <c r="P869" i="1"/>
  <c r="S868" i="1"/>
  <c r="P868" i="1"/>
  <c r="S867" i="1"/>
  <c r="P867" i="1"/>
  <c r="S866" i="1"/>
  <c r="P866" i="1"/>
  <c r="S865" i="1"/>
  <c r="P865" i="1"/>
  <c r="S864" i="1"/>
  <c r="P864" i="1"/>
  <c r="S863" i="1"/>
  <c r="P863" i="1"/>
  <c r="S862" i="1"/>
  <c r="P862" i="1"/>
  <c r="S861" i="1"/>
  <c r="P861" i="1"/>
  <c r="S860" i="1"/>
  <c r="P860" i="1"/>
  <c r="S859" i="1"/>
  <c r="P859" i="1"/>
  <c r="S858" i="1"/>
  <c r="P858" i="1"/>
  <c r="S857" i="1"/>
  <c r="P857" i="1"/>
  <c r="S856" i="1"/>
  <c r="P856" i="1"/>
  <c r="S855" i="1"/>
  <c r="P855" i="1"/>
  <c r="S854" i="1"/>
  <c r="P854" i="1"/>
  <c r="S853" i="1"/>
  <c r="P853" i="1"/>
  <c r="S852" i="1"/>
  <c r="P852" i="1"/>
  <c r="S851" i="1"/>
  <c r="P851" i="1"/>
  <c r="S850" i="1"/>
  <c r="P850" i="1"/>
  <c r="S849" i="1"/>
  <c r="P849" i="1"/>
  <c r="S848" i="1"/>
  <c r="P848" i="1"/>
  <c r="S847" i="1"/>
  <c r="P847" i="1"/>
  <c r="S846" i="1"/>
  <c r="P846" i="1"/>
  <c r="S845" i="1"/>
  <c r="P845" i="1"/>
  <c r="S844" i="1"/>
  <c r="P844" i="1"/>
  <c r="S843" i="1"/>
  <c r="P843" i="1"/>
  <c r="S842" i="1"/>
  <c r="P842" i="1"/>
  <c r="S841" i="1"/>
  <c r="P841" i="1"/>
  <c r="S840" i="1"/>
  <c r="P840" i="1"/>
  <c r="S839" i="1"/>
  <c r="P839" i="1"/>
  <c r="S838" i="1"/>
  <c r="P838" i="1"/>
  <c r="S837" i="1"/>
  <c r="P837" i="1"/>
  <c r="S836" i="1"/>
  <c r="P836" i="1"/>
  <c r="S835" i="1"/>
  <c r="P835" i="1"/>
  <c r="S834" i="1"/>
  <c r="P834" i="1"/>
  <c r="S833" i="1"/>
  <c r="P833" i="1"/>
  <c r="S832" i="1"/>
  <c r="P832" i="1"/>
  <c r="S831" i="1"/>
  <c r="P831" i="1"/>
  <c r="S830" i="1"/>
  <c r="P830" i="1"/>
  <c r="S829" i="1"/>
  <c r="P829" i="1"/>
  <c r="S828" i="1"/>
  <c r="P828" i="1"/>
  <c r="S827" i="1"/>
  <c r="P827" i="1"/>
  <c r="S826" i="1"/>
  <c r="P826" i="1"/>
  <c r="S825" i="1"/>
  <c r="P825" i="1"/>
  <c r="S824" i="1"/>
  <c r="P824" i="1"/>
  <c r="S823" i="1"/>
  <c r="P823" i="1"/>
  <c r="S822" i="1"/>
  <c r="P822" i="1"/>
  <c r="S821" i="1"/>
  <c r="P821" i="1"/>
  <c r="S820" i="1"/>
  <c r="P820" i="1"/>
  <c r="S819" i="1"/>
  <c r="P819" i="1"/>
  <c r="S818" i="1"/>
  <c r="P818" i="1"/>
  <c r="S817" i="1"/>
  <c r="P817" i="1"/>
  <c r="S816" i="1"/>
  <c r="P816" i="1"/>
  <c r="S815" i="1"/>
  <c r="P815" i="1"/>
  <c r="S814" i="1"/>
  <c r="P814" i="1"/>
  <c r="S813" i="1"/>
  <c r="P813" i="1"/>
  <c r="S812" i="1"/>
  <c r="P812" i="1"/>
  <c r="S811" i="1"/>
  <c r="P811" i="1"/>
  <c r="S810" i="1"/>
  <c r="P810" i="1"/>
  <c r="S809" i="1"/>
  <c r="P809" i="1"/>
  <c r="S808" i="1"/>
  <c r="P808" i="1"/>
  <c r="S807" i="1"/>
  <c r="P807" i="1"/>
  <c r="S806" i="1"/>
  <c r="P806" i="1"/>
  <c r="S805" i="1"/>
  <c r="P805" i="1"/>
  <c r="S804" i="1"/>
  <c r="P804" i="1"/>
  <c r="S803" i="1"/>
  <c r="P803" i="1"/>
  <c r="S802" i="1"/>
  <c r="P802" i="1"/>
  <c r="S801" i="1"/>
  <c r="P801" i="1"/>
  <c r="S800" i="1"/>
  <c r="P800" i="1"/>
  <c r="S799" i="1"/>
  <c r="P799" i="1"/>
  <c r="S798" i="1"/>
  <c r="P798" i="1"/>
  <c r="S797" i="1"/>
  <c r="P797" i="1"/>
  <c r="S796" i="1"/>
  <c r="P796" i="1"/>
  <c r="S795" i="1"/>
  <c r="P795" i="1"/>
  <c r="S794" i="1"/>
  <c r="P794" i="1"/>
  <c r="S793" i="1"/>
  <c r="P793" i="1"/>
  <c r="S792" i="1"/>
  <c r="P792" i="1"/>
  <c r="S791" i="1"/>
  <c r="P791" i="1"/>
  <c r="S790" i="1"/>
  <c r="P790" i="1"/>
  <c r="S789" i="1"/>
  <c r="P789" i="1"/>
  <c r="S788" i="1"/>
  <c r="P788" i="1"/>
  <c r="S787" i="1"/>
  <c r="P787" i="1"/>
  <c r="S786" i="1"/>
  <c r="P786" i="1"/>
  <c r="S785" i="1"/>
  <c r="P785" i="1"/>
  <c r="S784" i="1"/>
  <c r="P784" i="1"/>
  <c r="S783" i="1"/>
  <c r="P783" i="1"/>
  <c r="S782" i="1"/>
  <c r="P782" i="1"/>
  <c r="S781" i="1"/>
  <c r="P781" i="1"/>
  <c r="S780" i="1"/>
  <c r="P780" i="1"/>
  <c r="S779" i="1"/>
  <c r="P779" i="1"/>
  <c r="S778" i="1"/>
  <c r="P778" i="1"/>
  <c r="S777" i="1"/>
  <c r="P777" i="1"/>
  <c r="S776" i="1"/>
  <c r="P776" i="1"/>
  <c r="S775" i="1"/>
  <c r="P775" i="1"/>
  <c r="S774" i="1"/>
  <c r="P774" i="1"/>
  <c r="S773" i="1"/>
  <c r="P773" i="1"/>
  <c r="S772" i="1"/>
  <c r="P772" i="1"/>
  <c r="S771" i="1"/>
  <c r="P771" i="1"/>
  <c r="S770" i="1"/>
  <c r="P770" i="1"/>
  <c r="S769" i="1"/>
  <c r="P769" i="1"/>
  <c r="S768" i="1"/>
  <c r="P768" i="1"/>
  <c r="S767" i="1"/>
  <c r="P767" i="1"/>
  <c r="S766" i="1"/>
  <c r="P766" i="1"/>
  <c r="S765" i="1"/>
  <c r="P765" i="1"/>
  <c r="S764" i="1"/>
  <c r="P764" i="1"/>
  <c r="S763" i="1"/>
  <c r="P763" i="1"/>
  <c r="S762" i="1"/>
  <c r="P762" i="1"/>
  <c r="S761" i="1"/>
  <c r="P761" i="1"/>
  <c r="S760" i="1"/>
  <c r="P760" i="1"/>
  <c r="S759" i="1"/>
  <c r="P759" i="1"/>
  <c r="S758" i="1"/>
  <c r="P758" i="1"/>
  <c r="S757" i="1"/>
  <c r="P757" i="1"/>
  <c r="S756" i="1"/>
  <c r="P756" i="1"/>
  <c r="S755" i="1"/>
  <c r="P755" i="1"/>
  <c r="S754" i="1"/>
  <c r="P754" i="1"/>
  <c r="S753" i="1"/>
  <c r="P753" i="1"/>
  <c r="S752" i="1"/>
  <c r="P752" i="1"/>
  <c r="S751" i="1"/>
  <c r="P751" i="1"/>
  <c r="S750" i="1"/>
  <c r="P750" i="1"/>
  <c r="S749" i="1"/>
  <c r="P749" i="1"/>
  <c r="S748" i="1"/>
  <c r="P748" i="1"/>
  <c r="S747" i="1"/>
  <c r="P747" i="1"/>
  <c r="S746" i="1"/>
  <c r="P746" i="1"/>
  <c r="S745" i="1"/>
  <c r="P745" i="1"/>
  <c r="S744" i="1"/>
  <c r="P744" i="1"/>
  <c r="S743" i="1"/>
  <c r="P743" i="1"/>
  <c r="S742" i="1"/>
  <c r="P742" i="1"/>
  <c r="S741" i="1"/>
  <c r="P741" i="1"/>
  <c r="S740" i="1"/>
  <c r="P740" i="1"/>
  <c r="S739" i="1"/>
  <c r="P739" i="1"/>
  <c r="S738" i="1"/>
  <c r="P738" i="1"/>
  <c r="S737" i="1"/>
  <c r="P737" i="1"/>
  <c r="S736" i="1"/>
  <c r="P736" i="1"/>
  <c r="S735" i="1"/>
  <c r="P735" i="1"/>
  <c r="S734" i="1"/>
  <c r="P734" i="1"/>
  <c r="S733" i="1"/>
  <c r="P733" i="1"/>
  <c r="S732" i="1"/>
  <c r="P732" i="1"/>
  <c r="S731" i="1"/>
  <c r="P731" i="1"/>
  <c r="S730" i="1"/>
  <c r="P730" i="1"/>
  <c r="S729" i="1"/>
  <c r="P729" i="1"/>
  <c r="S728" i="1"/>
  <c r="P728" i="1"/>
  <c r="S727" i="1"/>
  <c r="P727" i="1"/>
  <c r="S726" i="1"/>
  <c r="P726" i="1"/>
  <c r="S725" i="1"/>
  <c r="P725" i="1"/>
  <c r="S724" i="1"/>
  <c r="P724" i="1"/>
  <c r="S723" i="1"/>
  <c r="P723" i="1"/>
  <c r="S722" i="1"/>
  <c r="P722" i="1"/>
  <c r="S721" i="1"/>
  <c r="P721" i="1"/>
  <c r="S720" i="1"/>
  <c r="P720" i="1"/>
  <c r="S719" i="1"/>
  <c r="P719" i="1"/>
  <c r="S718" i="1"/>
  <c r="P718" i="1"/>
  <c r="S717" i="1"/>
  <c r="P717" i="1"/>
  <c r="S716" i="1"/>
  <c r="P716" i="1"/>
  <c r="S715" i="1"/>
  <c r="P715" i="1"/>
  <c r="S714" i="1"/>
  <c r="P714" i="1"/>
  <c r="S713" i="1"/>
  <c r="P713" i="1"/>
  <c r="S712" i="1"/>
  <c r="P712" i="1"/>
  <c r="S711" i="1"/>
  <c r="P711" i="1"/>
  <c r="S710" i="1"/>
  <c r="P710" i="1"/>
  <c r="S709" i="1"/>
  <c r="P709" i="1"/>
  <c r="S708" i="1"/>
  <c r="P708" i="1"/>
  <c r="S707" i="1"/>
  <c r="P707" i="1"/>
  <c r="S706" i="1"/>
  <c r="P706" i="1"/>
  <c r="S705" i="1"/>
  <c r="P705" i="1"/>
  <c r="S704" i="1"/>
  <c r="P704" i="1"/>
  <c r="S703" i="1"/>
  <c r="P703" i="1"/>
  <c r="S702" i="1"/>
  <c r="P702" i="1"/>
  <c r="S701" i="1"/>
  <c r="P701" i="1"/>
  <c r="S700" i="1"/>
  <c r="P700" i="1"/>
  <c r="S699" i="1"/>
  <c r="P699" i="1"/>
  <c r="S698" i="1"/>
  <c r="P698" i="1"/>
  <c r="S697" i="1"/>
  <c r="P697" i="1"/>
  <c r="S696" i="1"/>
  <c r="P696" i="1"/>
  <c r="S695" i="1"/>
  <c r="P695" i="1"/>
  <c r="S694" i="1"/>
  <c r="P694" i="1"/>
  <c r="S693" i="1"/>
  <c r="P693" i="1"/>
  <c r="S692" i="1"/>
  <c r="P692" i="1"/>
  <c r="S691" i="1"/>
  <c r="P691" i="1"/>
  <c r="S690" i="1"/>
  <c r="P690" i="1"/>
  <c r="S689" i="1"/>
  <c r="P689" i="1"/>
  <c r="S688" i="1"/>
  <c r="P688" i="1"/>
  <c r="S687" i="1"/>
  <c r="P687" i="1"/>
  <c r="S686" i="1"/>
  <c r="P686" i="1"/>
  <c r="S685" i="1"/>
  <c r="P685" i="1"/>
  <c r="S684" i="1"/>
  <c r="P684" i="1"/>
  <c r="S683" i="1"/>
  <c r="P683" i="1"/>
  <c r="S682" i="1"/>
  <c r="P682" i="1"/>
  <c r="S681" i="1"/>
  <c r="P681" i="1"/>
  <c r="S680" i="1"/>
  <c r="P680" i="1"/>
  <c r="S679" i="1"/>
  <c r="P679" i="1"/>
  <c r="S678" i="1"/>
  <c r="P678" i="1"/>
  <c r="S677" i="1"/>
  <c r="P677" i="1"/>
  <c r="S676" i="1"/>
  <c r="P676" i="1"/>
  <c r="S675" i="1"/>
  <c r="P675" i="1"/>
  <c r="S674" i="1"/>
  <c r="P674" i="1"/>
  <c r="S673" i="1"/>
  <c r="P673" i="1"/>
  <c r="S672" i="1"/>
  <c r="P672" i="1"/>
  <c r="S671" i="1"/>
  <c r="P671" i="1"/>
  <c r="S670" i="1"/>
  <c r="P670" i="1"/>
  <c r="S669" i="1"/>
  <c r="P669" i="1"/>
  <c r="S668" i="1"/>
  <c r="P668" i="1"/>
  <c r="S667" i="1"/>
  <c r="P667" i="1"/>
  <c r="S666" i="1"/>
  <c r="P666" i="1"/>
  <c r="S665" i="1"/>
  <c r="P665" i="1"/>
  <c r="S664" i="1"/>
  <c r="P664" i="1"/>
  <c r="S663" i="1"/>
  <c r="P663" i="1"/>
  <c r="S662" i="1"/>
  <c r="P662" i="1"/>
  <c r="S661" i="1"/>
  <c r="P661" i="1"/>
  <c r="S660" i="1"/>
  <c r="P660" i="1"/>
  <c r="S659" i="1"/>
  <c r="P659" i="1"/>
  <c r="S658" i="1"/>
  <c r="P658" i="1"/>
  <c r="S657" i="1"/>
  <c r="P657" i="1"/>
  <c r="S656" i="1"/>
  <c r="P656" i="1"/>
  <c r="S655" i="1"/>
  <c r="P655" i="1"/>
  <c r="S654" i="1"/>
  <c r="P654" i="1"/>
  <c r="S653" i="1"/>
  <c r="P653" i="1"/>
  <c r="S652" i="1"/>
  <c r="P652" i="1"/>
  <c r="S651" i="1"/>
  <c r="P651" i="1"/>
  <c r="S650" i="1"/>
  <c r="P650" i="1"/>
  <c r="S649" i="1"/>
  <c r="P649" i="1"/>
  <c r="S648" i="1"/>
  <c r="P648" i="1"/>
  <c r="S647" i="1"/>
  <c r="P647" i="1"/>
  <c r="S646" i="1"/>
  <c r="P646" i="1"/>
  <c r="S645" i="1"/>
  <c r="P645" i="1"/>
  <c r="S644" i="1"/>
  <c r="P644" i="1"/>
  <c r="S643" i="1"/>
  <c r="P643" i="1"/>
  <c r="S642" i="1"/>
  <c r="P642" i="1"/>
  <c r="S641" i="1"/>
  <c r="P641" i="1"/>
  <c r="S640" i="1"/>
  <c r="P640" i="1"/>
  <c r="S639" i="1"/>
  <c r="P639" i="1"/>
  <c r="S638" i="1"/>
  <c r="P638" i="1"/>
  <c r="S637" i="1"/>
  <c r="P637" i="1"/>
  <c r="S636" i="1"/>
  <c r="P636" i="1"/>
  <c r="S635" i="1"/>
  <c r="P635" i="1"/>
  <c r="S634" i="1"/>
  <c r="P634" i="1"/>
  <c r="S633" i="1"/>
  <c r="P633" i="1"/>
  <c r="S632" i="1"/>
  <c r="P632" i="1"/>
  <c r="S631" i="1"/>
  <c r="P631" i="1"/>
  <c r="S630" i="1"/>
  <c r="P630" i="1"/>
  <c r="S629" i="1"/>
  <c r="P629" i="1"/>
  <c r="S628" i="1"/>
  <c r="P628" i="1"/>
  <c r="S627" i="1"/>
  <c r="P627" i="1"/>
  <c r="S626" i="1"/>
  <c r="P626" i="1"/>
  <c r="S625" i="1"/>
  <c r="P625" i="1"/>
  <c r="S624" i="1"/>
  <c r="P624" i="1"/>
  <c r="S623" i="1"/>
  <c r="P623" i="1"/>
  <c r="S622" i="1"/>
  <c r="P622" i="1"/>
  <c r="S621" i="1"/>
  <c r="P621" i="1"/>
  <c r="S620" i="1"/>
  <c r="P620" i="1"/>
  <c r="S619" i="1"/>
  <c r="P619" i="1"/>
  <c r="S618" i="1"/>
  <c r="P618" i="1"/>
  <c r="S617" i="1"/>
  <c r="P617" i="1"/>
  <c r="S616" i="1"/>
  <c r="P616" i="1"/>
  <c r="S615" i="1"/>
  <c r="P615" i="1"/>
  <c r="S614" i="1"/>
  <c r="P614" i="1"/>
  <c r="S613" i="1"/>
  <c r="P613" i="1"/>
  <c r="S612" i="1"/>
  <c r="P612" i="1"/>
  <c r="S611" i="1"/>
  <c r="P611" i="1"/>
  <c r="S610" i="1"/>
  <c r="P610" i="1"/>
  <c r="S609" i="1"/>
  <c r="P609" i="1"/>
  <c r="S608" i="1"/>
  <c r="P608" i="1"/>
  <c r="S607" i="1"/>
  <c r="P607" i="1"/>
  <c r="S606" i="1"/>
  <c r="P606" i="1"/>
  <c r="S605" i="1"/>
  <c r="P605" i="1"/>
  <c r="S604" i="1"/>
  <c r="P604" i="1"/>
  <c r="S603" i="1"/>
  <c r="P603" i="1"/>
  <c r="S602" i="1"/>
  <c r="P602" i="1"/>
  <c r="S601" i="1"/>
  <c r="P601" i="1"/>
  <c r="S600" i="1"/>
  <c r="P600" i="1"/>
  <c r="S599" i="1"/>
  <c r="P599" i="1"/>
  <c r="S598" i="1"/>
  <c r="P598" i="1"/>
  <c r="S597" i="1"/>
  <c r="P597" i="1"/>
  <c r="S596" i="1"/>
  <c r="P596" i="1"/>
  <c r="S595" i="1"/>
  <c r="P595" i="1"/>
  <c r="S594" i="1"/>
  <c r="P594" i="1"/>
  <c r="S593" i="1"/>
  <c r="P593" i="1"/>
  <c r="S592" i="1"/>
  <c r="P592" i="1"/>
  <c r="S591" i="1"/>
  <c r="P591" i="1"/>
  <c r="S590" i="1"/>
  <c r="P590" i="1"/>
  <c r="S589" i="1"/>
  <c r="P589" i="1"/>
  <c r="S588" i="1"/>
  <c r="P588" i="1"/>
  <c r="S587" i="1"/>
  <c r="P587" i="1"/>
  <c r="S586" i="1"/>
  <c r="P586" i="1"/>
  <c r="S585" i="1"/>
  <c r="P585" i="1"/>
  <c r="S584" i="1"/>
  <c r="P584" i="1"/>
  <c r="S583" i="1"/>
  <c r="P583" i="1"/>
  <c r="S582" i="1"/>
  <c r="P582" i="1"/>
  <c r="S581" i="1"/>
  <c r="P581" i="1"/>
  <c r="S580" i="1"/>
  <c r="P580" i="1"/>
  <c r="S579" i="1"/>
  <c r="P579" i="1"/>
  <c r="S578" i="1"/>
  <c r="P578" i="1"/>
  <c r="S577" i="1"/>
  <c r="P577" i="1"/>
  <c r="S576" i="1"/>
  <c r="P576" i="1"/>
  <c r="S575" i="1"/>
  <c r="P575" i="1"/>
  <c r="S574" i="1"/>
  <c r="P574" i="1"/>
  <c r="S573" i="1"/>
  <c r="P573" i="1"/>
  <c r="S572" i="1"/>
  <c r="P572" i="1"/>
  <c r="S571" i="1"/>
  <c r="P571" i="1"/>
  <c r="S570" i="1"/>
  <c r="P570" i="1"/>
  <c r="S569" i="1"/>
  <c r="P569" i="1"/>
  <c r="S568" i="1"/>
  <c r="P568" i="1"/>
  <c r="S567" i="1"/>
  <c r="P567" i="1"/>
  <c r="S566" i="1"/>
  <c r="P566" i="1"/>
  <c r="S565" i="1"/>
  <c r="P565" i="1"/>
  <c r="S564" i="1"/>
  <c r="P564" i="1"/>
  <c r="S563" i="1"/>
  <c r="P563" i="1"/>
  <c r="S562" i="1"/>
  <c r="P562" i="1"/>
  <c r="S561" i="1"/>
  <c r="P561" i="1"/>
  <c r="S560" i="1"/>
  <c r="P560" i="1"/>
  <c r="S559" i="1"/>
  <c r="P559" i="1"/>
  <c r="S558" i="1"/>
  <c r="P558" i="1"/>
  <c r="S557" i="1"/>
  <c r="P557" i="1"/>
  <c r="S556" i="1"/>
  <c r="P556" i="1"/>
  <c r="S555" i="1"/>
  <c r="P555" i="1"/>
  <c r="S554" i="1"/>
  <c r="P554" i="1"/>
  <c r="S553" i="1"/>
  <c r="P553" i="1"/>
  <c r="S552" i="1"/>
  <c r="P552" i="1"/>
  <c r="S551" i="1"/>
  <c r="P551" i="1"/>
  <c r="S550" i="1"/>
  <c r="P550" i="1"/>
  <c r="S549" i="1"/>
  <c r="P549" i="1"/>
  <c r="S548" i="1"/>
  <c r="P548" i="1"/>
  <c r="S547" i="1"/>
  <c r="P547" i="1"/>
  <c r="S546" i="1"/>
  <c r="P546" i="1"/>
  <c r="S545" i="1"/>
  <c r="P545" i="1"/>
  <c r="S544" i="1"/>
  <c r="P544" i="1"/>
  <c r="S543" i="1"/>
  <c r="P543" i="1"/>
  <c r="S542" i="1"/>
  <c r="P542" i="1"/>
  <c r="S541" i="1"/>
  <c r="P541" i="1"/>
  <c r="S540" i="1"/>
  <c r="P540" i="1"/>
  <c r="S539" i="1"/>
  <c r="P539" i="1"/>
  <c r="S538" i="1"/>
  <c r="P538" i="1"/>
  <c r="S537" i="1"/>
  <c r="P537" i="1"/>
  <c r="S536" i="1"/>
  <c r="P536" i="1"/>
  <c r="S535" i="1"/>
  <c r="P535" i="1"/>
  <c r="S534" i="1"/>
  <c r="P534" i="1"/>
  <c r="S533" i="1"/>
  <c r="P533" i="1"/>
  <c r="S532" i="1"/>
  <c r="P532" i="1"/>
  <c r="S531" i="1"/>
  <c r="P531" i="1"/>
  <c r="S530" i="1"/>
  <c r="P530" i="1"/>
  <c r="S529" i="1"/>
  <c r="P529" i="1"/>
  <c r="S528" i="1"/>
  <c r="P528" i="1"/>
  <c r="S527" i="1"/>
  <c r="P527" i="1"/>
  <c r="S526" i="1"/>
  <c r="P526" i="1"/>
  <c r="S525" i="1"/>
  <c r="P525" i="1"/>
  <c r="S524" i="1"/>
  <c r="P524" i="1"/>
  <c r="S523" i="1"/>
  <c r="P523" i="1"/>
  <c r="S522" i="1"/>
  <c r="P522" i="1"/>
  <c r="S521" i="1"/>
  <c r="P521" i="1"/>
  <c r="S3578" i="1"/>
  <c r="T3578" i="1" s="1"/>
  <c r="P3579" i="1"/>
  <c r="P3580" i="1" l="1"/>
  <c r="S3579" i="1"/>
  <c r="T3579" i="1" s="1"/>
  <c r="P3581" i="1" l="1"/>
  <c r="S3580" i="1"/>
  <c r="T3580" i="1" s="1"/>
  <c r="P3582" i="1" l="1"/>
  <c r="S3581" i="1"/>
  <c r="T3581" i="1" s="1"/>
  <c r="P3583" i="1" l="1"/>
  <c r="S3582" i="1"/>
  <c r="T3582" i="1" s="1"/>
  <c r="P3584" i="1" l="1"/>
  <c r="S3583" i="1"/>
  <c r="T3583" i="1" s="1"/>
  <c r="P3585" i="1" l="1"/>
  <c r="S3584" i="1"/>
  <c r="T3584" i="1" s="1"/>
  <c r="P3586" i="1" l="1"/>
  <c r="S3585" i="1"/>
  <c r="T3585" i="1" s="1"/>
  <c r="P3587" i="1" l="1"/>
  <c r="S3586" i="1"/>
  <c r="T3586" i="1" s="1"/>
  <c r="P3588" i="1" l="1"/>
  <c r="S3587" i="1"/>
  <c r="T3587" i="1" s="1"/>
  <c r="P3589" i="1" l="1"/>
  <c r="S3588" i="1"/>
  <c r="T3588" i="1" s="1"/>
  <c r="P3590" i="1" l="1"/>
  <c r="S3589" i="1"/>
  <c r="T3589" i="1" s="1"/>
  <c r="P3591" i="1" l="1"/>
  <c r="S3590" i="1"/>
  <c r="T3590" i="1" s="1"/>
  <c r="P3592" i="1" l="1"/>
  <c r="S3591" i="1"/>
  <c r="T3591" i="1" s="1"/>
  <c r="P3593" i="1" l="1"/>
  <c r="S3592" i="1"/>
  <c r="T3592" i="1" s="1"/>
  <c r="P3594" i="1" l="1"/>
  <c r="S3593" i="1"/>
  <c r="T3593" i="1" s="1"/>
  <c r="P3595" i="1" l="1"/>
  <c r="S3594" i="1"/>
  <c r="T3594" i="1" s="1"/>
  <c r="P3596" i="1" l="1"/>
  <c r="S3595" i="1"/>
  <c r="T3595" i="1" s="1"/>
  <c r="P3597" i="1" l="1"/>
  <c r="S3596" i="1"/>
  <c r="T3596" i="1" s="1"/>
  <c r="P3598" i="1" l="1"/>
  <c r="S3597" i="1"/>
  <c r="T3597" i="1" s="1"/>
  <c r="P3599" i="1" l="1"/>
  <c r="S3598" i="1"/>
  <c r="T3598" i="1" s="1"/>
  <c r="P3600" i="1" l="1"/>
  <c r="S3599" i="1"/>
  <c r="T3599" i="1" s="1"/>
  <c r="P3601" i="1" l="1"/>
  <c r="S3600" i="1"/>
  <c r="T3600" i="1" s="1"/>
  <c r="P3602" i="1" l="1"/>
  <c r="S3601" i="1"/>
  <c r="T3601" i="1" s="1"/>
  <c r="P3603" i="1" l="1"/>
  <c r="S3602" i="1"/>
  <c r="T3602" i="1" s="1"/>
  <c r="P3604" i="1" l="1"/>
  <c r="S3603" i="1"/>
  <c r="T3603" i="1" s="1"/>
  <c r="P3605" i="1" l="1"/>
  <c r="S3604" i="1"/>
  <c r="T3604" i="1" s="1"/>
  <c r="P3606" i="1" l="1"/>
  <c r="S3605" i="1"/>
  <c r="T3605" i="1" s="1"/>
  <c r="P3607" i="1" l="1"/>
  <c r="S3606" i="1"/>
  <c r="T3606" i="1" s="1"/>
  <c r="P3608" i="1" l="1"/>
  <c r="S3607" i="1"/>
  <c r="T3607" i="1" s="1"/>
  <c r="P3609" i="1" l="1"/>
  <c r="S3608" i="1"/>
  <c r="T3608" i="1" s="1"/>
  <c r="P3610" i="1" l="1"/>
  <c r="S3609" i="1"/>
  <c r="T3609" i="1" s="1"/>
  <c r="P3611" i="1" l="1"/>
  <c r="S3610" i="1"/>
  <c r="T3610" i="1" s="1"/>
  <c r="P3612" i="1" l="1"/>
  <c r="S3611" i="1"/>
  <c r="T3611" i="1" s="1"/>
  <c r="P3613" i="1" l="1"/>
  <c r="S3612" i="1"/>
  <c r="T3612" i="1" s="1"/>
  <c r="P3614" i="1" l="1"/>
  <c r="S3613" i="1"/>
  <c r="T3613" i="1" s="1"/>
  <c r="P3615" i="1" l="1"/>
  <c r="S3614" i="1"/>
  <c r="T3614" i="1" s="1"/>
  <c r="P3616" i="1" l="1"/>
  <c r="S3615" i="1"/>
  <c r="T3615" i="1" s="1"/>
  <c r="P3617" i="1" l="1"/>
  <c r="S3616" i="1"/>
  <c r="T3616" i="1" s="1"/>
  <c r="P3618" i="1" l="1"/>
  <c r="S3617" i="1"/>
  <c r="T3617" i="1" s="1"/>
  <c r="P3619" i="1" l="1"/>
  <c r="S3618" i="1"/>
  <c r="T3618" i="1" s="1"/>
  <c r="P3620" i="1" l="1"/>
  <c r="S3619" i="1"/>
  <c r="T3619" i="1" s="1"/>
  <c r="P3621" i="1" l="1"/>
  <c r="S3620" i="1"/>
  <c r="T3620" i="1" s="1"/>
  <c r="P3622" i="1" l="1"/>
  <c r="S3621" i="1"/>
  <c r="T3621" i="1" s="1"/>
  <c r="P3623" i="1" l="1"/>
  <c r="S3622" i="1"/>
  <c r="T3622" i="1" s="1"/>
  <c r="P3624" i="1" l="1"/>
  <c r="S3623" i="1"/>
  <c r="T3623" i="1" s="1"/>
  <c r="P3625" i="1" l="1"/>
  <c r="S3624" i="1"/>
  <c r="T3624" i="1" s="1"/>
  <c r="P3626" i="1" l="1"/>
  <c r="S3625" i="1"/>
  <c r="T3625" i="1" s="1"/>
  <c r="P3627" i="1" l="1"/>
  <c r="S3626" i="1"/>
  <c r="T3626" i="1" s="1"/>
  <c r="P3628" i="1" l="1"/>
  <c r="S3627" i="1"/>
  <c r="T3627" i="1" s="1"/>
  <c r="P3629" i="1" l="1"/>
  <c r="S3628" i="1"/>
  <c r="T3628" i="1" s="1"/>
  <c r="P3630" i="1" l="1"/>
  <c r="S3629" i="1"/>
  <c r="T3629" i="1" s="1"/>
  <c r="P3631" i="1" l="1"/>
  <c r="S3630" i="1"/>
  <c r="T3630" i="1" s="1"/>
  <c r="P3632" i="1" l="1"/>
  <c r="S3631" i="1"/>
  <c r="T3631" i="1" s="1"/>
  <c r="P3633" i="1" l="1"/>
  <c r="S3632" i="1"/>
  <c r="T3632" i="1" s="1"/>
  <c r="P3634" i="1" l="1"/>
  <c r="S3633" i="1"/>
  <c r="T3633" i="1" s="1"/>
  <c r="P3635" i="1" l="1"/>
  <c r="S3634" i="1"/>
  <c r="T3634" i="1" s="1"/>
  <c r="P3636" i="1" l="1"/>
  <c r="S3635" i="1"/>
  <c r="T3635" i="1" s="1"/>
  <c r="P3637" i="1" l="1"/>
  <c r="S3636" i="1"/>
  <c r="T3636" i="1" s="1"/>
  <c r="P3638" i="1" l="1"/>
  <c r="S3637" i="1"/>
  <c r="T3637" i="1" s="1"/>
  <c r="P3639" i="1" l="1"/>
  <c r="S3638" i="1"/>
  <c r="T3638" i="1" s="1"/>
  <c r="P3640" i="1" l="1"/>
  <c r="S3639" i="1"/>
  <c r="T3639" i="1" s="1"/>
  <c r="P3641" i="1" l="1"/>
  <c r="S3640" i="1"/>
  <c r="T3640" i="1" s="1"/>
  <c r="P3642" i="1" l="1"/>
  <c r="S3641" i="1"/>
  <c r="T3641" i="1" s="1"/>
  <c r="P3643" i="1" l="1"/>
  <c r="S3642" i="1"/>
  <c r="T3642" i="1" s="1"/>
  <c r="P3644" i="1" l="1"/>
  <c r="S3643" i="1"/>
  <c r="T3643" i="1" s="1"/>
  <c r="P3645" i="1" l="1"/>
  <c r="S3644" i="1"/>
  <c r="T3644" i="1" s="1"/>
  <c r="P3646" i="1" l="1"/>
  <c r="S3645" i="1"/>
  <c r="T3645" i="1" s="1"/>
  <c r="P3647" i="1" l="1"/>
  <c r="S3646" i="1"/>
  <c r="T3646" i="1" s="1"/>
  <c r="P3648" i="1" l="1"/>
  <c r="S3647" i="1"/>
  <c r="T3647" i="1" s="1"/>
  <c r="P3649" i="1" l="1"/>
  <c r="S3648" i="1"/>
  <c r="T3648" i="1" s="1"/>
  <c r="P3650" i="1" l="1"/>
  <c r="S3649" i="1"/>
  <c r="T3649" i="1" s="1"/>
  <c r="P3651" i="1" l="1"/>
  <c r="S3650" i="1"/>
  <c r="T3650" i="1" s="1"/>
  <c r="P3652" i="1" l="1"/>
  <c r="S3651" i="1"/>
  <c r="T3651" i="1" s="1"/>
  <c r="P3653" i="1" l="1"/>
  <c r="S3652" i="1"/>
  <c r="T3652" i="1" s="1"/>
  <c r="P3654" i="1" l="1"/>
  <c r="S3653" i="1"/>
  <c r="T3653" i="1" s="1"/>
  <c r="P3655" i="1" l="1"/>
  <c r="S3654" i="1"/>
  <c r="T3654" i="1" s="1"/>
  <c r="P3656" i="1" l="1"/>
  <c r="S3655" i="1"/>
  <c r="T3655" i="1" s="1"/>
  <c r="S3656" i="1" l="1"/>
  <c r="T3656" i="1" s="1"/>
</calcChain>
</file>

<file path=xl/sharedStrings.xml><?xml version="1.0" encoding="utf-8"?>
<sst xmlns="http://schemas.openxmlformats.org/spreadsheetml/2006/main" count="7439" uniqueCount="129">
  <si>
    <t>Noeud</t>
  </si>
  <si>
    <t>Latitude</t>
  </si>
  <si>
    <t>Longitude</t>
  </si>
  <si>
    <t>Temps total</t>
  </si>
  <si>
    <t>Nb Noeuds</t>
  </si>
  <si>
    <t>Noeud1</t>
  </si>
  <si>
    <t>Noeud2</t>
  </si>
  <si>
    <t>lat1</t>
  </si>
  <si>
    <t>long1</t>
  </si>
  <si>
    <t>lat2</t>
  </si>
  <si>
    <t>long2</t>
  </si>
  <si>
    <t>Distance (KM)</t>
  </si>
  <si>
    <t>Temps Déplacement</t>
  </si>
  <si>
    <t>C0</t>
  </si>
  <si>
    <t>C1</t>
  </si>
  <si>
    <t>C2</t>
  </si>
  <si>
    <t xml:space="preserve"> à remplir </t>
  </si>
  <si>
    <t>C3</t>
  </si>
  <si>
    <t>C4</t>
  </si>
  <si>
    <t>ne pas effacer</t>
  </si>
  <si>
    <t>C5</t>
  </si>
  <si>
    <t>C6</t>
  </si>
  <si>
    <t xml:space="preserve"> le calcul se fait en exécutant le macro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</si>
  <si>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</si>
  <si>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</si>
  <si>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</si>
  <si>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</si>
  <si>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</si>
  <si>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</si>
  <si>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</si>
  <si>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</si>
  <si>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</si>
  <si>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</si>
  <si>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</si>
  <si>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</si>
  <si>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</si>
  <si>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</si>
  <si>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</si>
  <si>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</si>
  <si>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</si>
  <si>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</si>
  <si>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</si>
  <si>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</si>
  <si>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</si>
  <si>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</si>
  <si>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</si>
  <si>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</si>
  <si>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</si>
  <si>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</si>
  <si>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</si>
  <si>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</si>
  <si>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</si>
  <si>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</si>
  <si>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</si>
  <si>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</si>
  <si>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</si>
  <si>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</si>
  <si>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</si>
  <si>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</si>
  <si>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</si>
  <si>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</si>
  <si>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</si>
  <si>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</si>
  <si>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</si>
  <si>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</si>
  <si>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</si>
  <si>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</si>
  <si>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</si>
  <si>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</si>
  <si>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</si>
  <si>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</si>
  <si>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</si>
  <si>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</si>
  <si>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</si>
  <si>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</si>
  <si>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</si>
  <si>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</si>
  <si>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</si>
  <si>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</si>
  <si>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</si>
  <si>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</si>
  <si>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</si>
  <si>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</si>
  <si>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</si>
  <si>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</si>
  <si>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</si>
  <si>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</si>
  <si>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</si>
  <si>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</si>
  <si>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</si>
  <si>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</si>
  <si>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</si>
  <si>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</si>
  <si>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</si>
  <si>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</si>
  <si>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</si>
  <si>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</si>
  <si>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</si>
  <si>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</si>
  <si>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</si>
  <si>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</si>
  <si>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</si>
  <si>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Type</t>
  </si>
  <si>
    <t>Nombre</t>
  </si>
  <si>
    <t>Capacité/jour</t>
  </si>
  <si>
    <t>Coût d'usage par h</t>
  </si>
  <si>
    <t>Coût fixe</t>
  </si>
  <si>
    <t>Gestionnaire</t>
  </si>
  <si>
    <t>Usage:</t>
  </si>
  <si>
    <t>L/100</t>
  </si>
  <si>
    <t>diesel</t>
  </si>
  <si>
    <t>entretien/repairs</t>
  </si>
  <si>
    <t>salaire</t>
  </si>
  <si>
    <t>Fixe:</t>
  </si>
  <si>
    <t xml:space="preserve">payment annuel </t>
  </si>
  <si>
    <t>Livreur</t>
  </si>
  <si>
    <t>(le mettre par jour?)</t>
  </si>
  <si>
    <t>Temps de route = distance / 35 + 0,5h * nombre de ruches desservies</t>
  </si>
  <si>
    <t>KM to time</t>
  </si>
  <si>
    <t>condidérer 70 kmh avg</t>
  </si>
  <si>
    <t>km</t>
  </si>
  <si>
    <t>h</t>
  </si>
  <si>
    <t>Conversion km en h</t>
  </si>
  <si>
    <t>Prix du diesel n'a pas changé</t>
  </si>
  <si>
    <t>Pour le cout redéfini comme étant le coût d'avoir le camion car le fait de l'utiliser n'entraint epas de cout fixe binaire, mais l'avoir oui</t>
  </si>
  <si>
    <t>https://www.statista.com/statistics/195100/average-operating-truck-speed-on-selected-us-interstate-highways/</t>
  </si>
  <si>
    <t>https://www.rfanam.com.na/vehicle-registration-and-licence-fees/</t>
  </si>
  <si>
    <t>http://www.bv.transports.gouv.qc.ca/mono/0965385.pdf</t>
  </si>
  <si>
    <t>https://www.tcsfuel.com/blog/truck-weight-classification/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</si>
</sst>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Verdana"/>
      <family val="2"/>
    </font>
    <font>
      <sz val="10"/>
      <color rgb="FF000000"/>
      <name val="Liberation Sans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5" fillId="0" borderId="0" xfId="3"/>
    <xf numFmtId="3" fontId="0" fillId="0" borderId="0" xfId="0" applyNumberFormat="1"/>
    <xf numFmtId="0" fontId="0" fillId="2" borderId="0" xfId="0" applyFill="1"/>
    <xf numFmtId="2" fontId="0" fillId="2" borderId="0" xfId="0" applyNumberFormat="1" applyFill="1" applyAlignment="1">
      <alignment horizontal="center"/>
    </xf>
    <xf numFmtId="0" fontId="0" fillId="4" borderId="4" xfId="0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</cellXfs>
  <cellStyles count="4">
    <cellStyle name="Lien hypertexte" xfId="3" builtinId="8"/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v.transports.gouv.qc.ca/mono/0965385.pdf" TargetMode="External"/><Relationship Id="rId2" Type="http://schemas.openxmlformats.org/officeDocument/2006/relationships/hyperlink" Target="https://www.rfanam.com.na/vehicle-registration-and-licence-fees/" TargetMode="External"/><Relationship Id="rId1" Type="http://schemas.openxmlformats.org/officeDocument/2006/relationships/hyperlink" Target="https://www.statista.com/statistics/195100/average-operating-truck-speed-on-selected-us-interstate-highways/" TargetMode="External"/><Relationship Id="rId4" Type="http://schemas.openxmlformats.org/officeDocument/2006/relationships/hyperlink" Target="https://www.tcsfuel.com/blog/truck-weight-classificatio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685"/>
  <sheetViews>
    <sheetView topLeftCell="A13" workbookViewId="0">
      <selection activeCell="H28" sqref="H28"/>
    </sheetView>
  </sheetViews>
  <sheetFormatPr baseColWidth="10" defaultColWidth="11.42578125" defaultRowHeight="15"/>
  <cols>
    <col min="1" max="3" width="11.42578125" style="7"/>
    <col min="4" max="4" width="14.7109375" style="7" customWidth="1"/>
    <col min="5" max="8" width="11.42578125" style="7"/>
    <col min="9" max="14" width="10.85546875" style="7" customWidth="1"/>
    <col min="15" max="15" width="13.140625" style="16" bestFit="1" customWidth="1"/>
    <col min="16" max="16" width="19.140625" style="16" customWidth="1"/>
    <col min="17" max="16384" width="11.42578125" style="7"/>
  </cols>
  <sheetData>
    <row r="1" spans="1:22">
      <c r="A1" s="6" t="s">
        <v>0</v>
      </c>
      <c r="B1" s="6" t="s">
        <v>1</v>
      </c>
      <c r="C1" s="6" t="s">
        <v>2</v>
      </c>
      <c r="D1" s="7" t="s">
        <v>3</v>
      </c>
      <c r="E1" s="1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  <c r="M1" s="6"/>
      <c r="N1" s="6"/>
      <c r="O1" s="2" t="s">
        <v>11</v>
      </c>
      <c r="P1" s="16" t="s">
        <v>12</v>
      </c>
    </row>
    <row r="2" spans="1:22" ht="15.75" thickBot="1">
      <c r="A2" s="3" t="s">
        <v>13</v>
      </c>
      <c r="B2" s="15">
        <v>46.832299999999996</v>
      </c>
      <c r="C2" s="3">
        <v>-71.224699999999999</v>
      </c>
      <c r="D2" s="7">
        <v>0</v>
      </c>
      <c r="E2" s="1">
        <f>COUNT(B2:B1048576)</f>
        <v>86</v>
      </c>
      <c r="G2" s="6" t="s">
        <v>13</v>
      </c>
      <c r="H2" s="6" t="s">
        <v>14</v>
      </c>
      <c r="I2" s="6">
        <v>46.832299999999996</v>
      </c>
      <c r="J2" s="6">
        <v>-71.224699999999999</v>
      </c>
      <c r="K2" s="6">
        <v>46.814900000000002</v>
      </c>
      <c r="L2" s="6">
        <v>-71.215400000000002</v>
      </c>
      <c r="M2" s="6" t="str">
        <f>G2</f>
        <v>C0</v>
      </c>
      <c r="N2" s="6" t="str">
        <f t="shared" ref="N2" si="0">H2</f>
        <v>C1</v>
      </c>
      <c r="O2" s="5">
        <f t="shared" ref="O2" si="1">ACOS(SIN(RADIANS(I2))*SIN(RADIANS(K2))+COS(RADIANS(I2))*COS(RADIANS(K2))*COS(RADIANS(J2-L2)))*6371</f>
        <v>2.0601214278397562</v>
      </c>
      <c r="P2" s="22">
        <f>O2/Explications!$C$8</f>
        <v>6.8670714261325205E-2</v>
      </c>
      <c r="Q2" s="7" t="str">
        <f>N2</f>
        <v>C1</v>
      </c>
      <c r="R2" s="7" t="str">
        <f>M2</f>
        <v>C0</v>
      </c>
      <c r="S2" s="18">
        <f>O2</f>
        <v>2.0601214278397562</v>
      </c>
      <c r="T2" s="18">
        <f>S2/Explications!$C$8</f>
        <v>6.8670714261325205E-2</v>
      </c>
    </row>
    <row r="3" spans="1:22" ht="15.75" thickBot="1">
      <c r="A3" s="4" t="s">
        <v>14</v>
      </c>
      <c r="B3" s="8">
        <v>46.814900000000002</v>
      </c>
      <c r="C3" s="9">
        <v>-71.215400000000002</v>
      </c>
      <c r="D3" s="7">
        <v>1</v>
      </c>
      <c r="E3" s="1"/>
      <c r="G3" s="10" t="s">
        <v>13</v>
      </c>
      <c r="H3" s="10" t="s">
        <v>15</v>
      </c>
      <c r="I3" s="10">
        <v>46.832299999999996</v>
      </c>
      <c r="J3" s="10">
        <v>-71.224699999999999</v>
      </c>
      <c r="K3" s="10">
        <v>46.888800000000003</v>
      </c>
      <c r="L3" s="10">
        <v>-71.291700000000006</v>
      </c>
      <c r="M3" s="6" t="str">
        <f t="shared" ref="M3:M66" si="2">G3</f>
        <v>C0</v>
      </c>
      <c r="N3" s="6" t="str">
        <f t="shared" ref="N3:N66" si="3">H3</f>
        <v>C2</v>
      </c>
      <c r="O3" s="5">
        <f t="shared" ref="O3:O66" si="4">ACOS(SIN(RADIANS(I3))*SIN(RADIANS(K3))+COS(RADIANS(I3))*COS(RADIANS(K3))*COS(RADIANS(J3-L3)))*6371</f>
        <v>8.0882990287208152</v>
      </c>
      <c r="P3" s="22">
        <f>O3/Explications!$C$8</f>
        <v>0.26960996762402717</v>
      </c>
      <c r="Q3" s="7" t="str">
        <f>N3</f>
        <v>C2</v>
      </c>
      <c r="R3" s="7" t="str">
        <f>M3</f>
        <v>C0</v>
      </c>
      <c r="S3" s="18">
        <f>O3</f>
        <v>8.0882990287208152</v>
      </c>
      <c r="T3" s="18">
        <f>S3/Explications!$C$8</f>
        <v>0.26960996762402717</v>
      </c>
      <c r="U3" s="11"/>
      <c r="V3" s="7" t="s">
        <v>16</v>
      </c>
    </row>
    <row r="4" spans="1:22" ht="15.75" thickBot="1">
      <c r="A4" s="4" t="s">
        <v>15</v>
      </c>
      <c r="B4" s="8">
        <v>46.888800000000003</v>
      </c>
      <c r="C4" s="9">
        <v>-71.291700000000006</v>
      </c>
      <c r="D4" s="7">
        <v>1</v>
      </c>
      <c r="G4" s="10" t="s">
        <v>13</v>
      </c>
      <c r="H4" s="10" t="s">
        <v>17</v>
      </c>
      <c r="I4" s="10">
        <v>46.832299999999996</v>
      </c>
      <c r="J4" s="10">
        <v>-71.224699999999999</v>
      </c>
      <c r="K4" s="10">
        <v>46.876800000000003</v>
      </c>
      <c r="L4" s="10">
        <v>-71.270899999999997</v>
      </c>
      <c r="M4" s="6" t="str">
        <f t="shared" si="2"/>
        <v>C0</v>
      </c>
      <c r="N4" s="6" t="str">
        <f t="shared" si="3"/>
        <v>C3</v>
      </c>
      <c r="O4" s="5">
        <f t="shared" si="4"/>
        <v>6.0684629258350133</v>
      </c>
      <c r="P4" s="22">
        <f>O4/Explications!$C$8</f>
        <v>0.20228209752783377</v>
      </c>
      <c r="Q4" s="7" t="str">
        <f t="shared" ref="Q4:Q67" si="5">N4</f>
        <v>C3</v>
      </c>
      <c r="R4" s="7" t="str">
        <f t="shared" ref="R4:R67" si="6">M4</f>
        <v>C0</v>
      </c>
      <c r="S4" s="18">
        <f t="shared" ref="S4:S67" si="7">O4</f>
        <v>6.0684629258350133</v>
      </c>
      <c r="T4" s="18">
        <f>S4/Explications!$C$8</f>
        <v>0.20228209752783377</v>
      </c>
    </row>
    <row r="5" spans="1:22" ht="15.75" thickBot="1">
      <c r="A5" s="4" t="s">
        <v>17</v>
      </c>
      <c r="B5" s="8">
        <v>46.876800000000003</v>
      </c>
      <c r="C5" s="9">
        <v>-71.270899999999997</v>
      </c>
      <c r="D5" s="7">
        <v>1</v>
      </c>
      <c r="G5" s="10" t="s">
        <v>13</v>
      </c>
      <c r="H5" s="10" t="s">
        <v>18</v>
      </c>
      <c r="I5" s="10">
        <v>46.832299999999996</v>
      </c>
      <c r="J5" s="10">
        <v>-71.224699999999999</v>
      </c>
      <c r="K5" s="10">
        <v>46.908700000000003</v>
      </c>
      <c r="L5" s="10">
        <v>-71.373099999999994</v>
      </c>
      <c r="M5" s="6" t="str">
        <f t="shared" si="2"/>
        <v>C0</v>
      </c>
      <c r="N5" s="6" t="str">
        <f t="shared" si="3"/>
        <v>C4</v>
      </c>
      <c r="O5" s="5">
        <f t="shared" si="4"/>
        <v>14.12209888680823</v>
      </c>
      <c r="P5" s="22">
        <f>O5/Explications!$C$8</f>
        <v>0.47073662956027434</v>
      </c>
      <c r="Q5" s="7" t="str">
        <f t="shared" si="5"/>
        <v>C4</v>
      </c>
      <c r="R5" s="7" t="str">
        <f t="shared" si="6"/>
        <v>C0</v>
      </c>
      <c r="S5" s="18">
        <f t="shared" si="7"/>
        <v>14.12209888680823</v>
      </c>
      <c r="T5" s="18">
        <f>S5/Explications!$C$8</f>
        <v>0.47073662956027434</v>
      </c>
      <c r="U5" s="12"/>
      <c r="V5" s="7" t="s">
        <v>19</v>
      </c>
    </row>
    <row r="6" spans="1:22">
      <c r="A6" s="4" t="s">
        <v>18</v>
      </c>
      <c r="B6" s="8">
        <v>46.908700000000003</v>
      </c>
      <c r="C6" s="9">
        <v>-71.373099999999994</v>
      </c>
      <c r="D6" s="7">
        <v>1</v>
      </c>
      <c r="G6" s="10" t="s">
        <v>13</v>
      </c>
      <c r="H6" s="10" t="s">
        <v>20</v>
      </c>
      <c r="I6" s="10">
        <v>46.832299999999996</v>
      </c>
      <c r="J6" s="10">
        <v>-71.224699999999999</v>
      </c>
      <c r="K6" s="10">
        <v>46.827500000000001</v>
      </c>
      <c r="L6" s="10">
        <v>-71.367199999999997</v>
      </c>
      <c r="M6" s="6" t="str">
        <f t="shared" si="2"/>
        <v>C0</v>
      </c>
      <c r="N6" s="6" t="str">
        <f t="shared" si="3"/>
        <v>C5</v>
      </c>
      <c r="O6" s="5">
        <f t="shared" si="4"/>
        <v>10.85393879155037</v>
      </c>
      <c r="P6" s="22">
        <f>O6/Explications!$C$8</f>
        <v>0.36179795971834566</v>
      </c>
      <c r="Q6" s="7" t="str">
        <f t="shared" si="5"/>
        <v>C5</v>
      </c>
      <c r="R6" s="7" t="str">
        <f t="shared" si="6"/>
        <v>C0</v>
      </c>
      <c r="S6" s="18">
        <f t="shared" si="7"/>
        <v>10.85393879155037</v>
      </c>
      <c r="T6" s="18">
        <f>S6/Explications!$C$8</f>
        <v>0.36179795971834566</v>
      </c>
    </row>
    <row r="7" spans="1:22">
      <c r="A7" s="4" t="s">
        <v>20</v>
      </c>
      <c r="B7" s="8">
        <v>46.827500000000001</v>
      </c>
      <c r="C7" s="9">
        <v>-71.367199999999997</v>
      </c>
      <c r="D7" s="7">
        <v>2.5</v>
      </c>
      <c r="G7" s="10" t="s">
        <v>13</v>
      </c>
      <c r="H7" s="10" t="s">
        <v>21</v>
      </c>
      <c r="I7" s="10">
        <v>46.832299999999996</v>
      </c>
      <c r="J7" s="10">
        <v>-71.224699999999999</v>
      </c>
      <c r="K7" s="10">
        <v>46.8018</v>
      </c>
      <c r="L7" s="10">
        <v>-71.243099999999998</v>
      </c>
      <c r="M7" s="6" t="str">
        <f t="shared" si="2"/>
        <v>C0</v>
      </c>
      <c r="N7" s="6" t="str">
        <f t="shared" si="3"/>
        <v>C6</v>
      </c>
      <c r="O7" s="5">
        <f t="shared" si="4"/>
        <v>3.6690960418951919</v>
      </c>
      <c r="P7" s="22">
        <f>O7/Explications!$C$8</f>
        <v>0.1223032013965064</v>
      </c>
      <c r="Q7" s="7" t="str">
        <f t="shared" si="5"/>
        <v>C6</v>
      </c>
      <c r="R7" s="7" t="str">
        <f t="shared" si="6"/>
        <v>C0</v>
      </c>
      <c r="S7" s="18">
        <f t="shared" si="7"/>
        <v>3.6690960418951919</v>
      </c>
      <c r="T7" s="18">
        <f>S7/Explications!$C$8</f>
        <v>0.1223032013965064</v>
      </c>
      <c r="U7" s="10"/>
      <c r="V7" s="7" t="s">
        <v>22</v>
      </c>
    </row>
    <row r="8" spans="1:22">
      <c r="A8" s="4" t="s">
        <v>21</v>
      </c>
      <c r="B8" s="8">
        <v>46.8018</v>
      </c>
      <c r="C8" s="9">
        <v>-71.243099999999998</v>
      </c>
      <c r="D8" s="7">
        <v>1.5</v>
      </c>
      <c r="G8" s="10" t="s">
        <v>13</v>
      </c>
      <c r="H8" s="10" t="s">
        <v>23</v>
      </c>
      <c r="I8" s="10">
        <v>46.832299999999996</v>
      </c>
      <c r="J8" s="10">
        <v>-71.224699999999999</v>
      </c>
      <c r="K8" s="10">
        <v>46.794699999999999</v>
      </c>
      <c r="L8" s="10">
        <v>-71.254199999999997</v>
      </c>
      <c r="M8" s="6" t="str">
        <f t="shared" si="2"/>
        <v>C0</v>
      </c>
      <c r="N8" s="6" t="str">
        <f t="shared" si="3"/>
        <v>C7</v>
      </c>
      <c r="O8" s="5">
        <f t="shared" si="4"/>
        <v>4.7455078792027221</v>
      </c>
      <c r="P8" s="22">
        <f>O8/Explications!$C$8</f>
        <v>0.15818359597342407</v>
      </c>
      <c r="Q8" s="7" t="str">
        <f t="shared" si="5"/>
        <v>C7</v>
      </c>
      <c r="R8" s="7" t="str">
        <f t="shared" si="6"/>
        <v>C0</v>
      </c>
      <c r="S8" s="18">
        <f t="shared" si="7"/>
        <v>4.7455078792027221</v>
      </c>
      <c r="T8" s="18">
        <f>S8/Explications!$C$8</f>
        <v>0.15818359597342407</v>
      </c>
    </row>
    <row r="9" spans="1:22">
      <c r="A9" s="4" t="s">
        <v>23</v>
      </c>
      <c r="B9" s="8">
        <v>46.794699999999999</v>
      </c>
      <c r="C9" s="9">
        <v>-71.254199999999997</v>
      </c>
      <c r="D9" s="7">
        <v>1.25</v>
      </c>
      <c r="E9" s="13"/>
      <c r="G9" s="10" t="s">
        <v>13</v>
      </c>
      <c r="H9" s="10" t="s">
        <v>24</v>
      </c>
      <c r="I9" s="10">
        <v>46.832299999999996</v>
      </c>
      <c r="J9" s="10">
        <v>-71.224699999999999</v>
      </c>
      <c r="K9" s="10">
        <v>46.741</v>
      </c>
      <c r="L9" s="10">
        <v>-71.385499999999993</v>
      </c>
      <c r="M9" s="6" t="str">
        <f t="shared" si="2"/>
        <v>C0</v>
      </c>
      <c r="N9" s="6" t="str">
        <f t="shared" si="3"/>
        <v>C8</v>
      </c>
      <c r="O9" s="5">
        <f t="shared" si="4"/>
        <v>15.904463211192532</v>
      </c>
      <c r="P9" s="22">
        <f>O9/Explications!$C$8</f>
        <v>0.53014877370641778</v>
      </c>
      <c r="Q9" s="7" t="str">
        <f t="shared" si="5"/>
        <v>C8</v>
      </c>
      <c r="R9" s="7" t="str">
        <f t="shared" si="6"/>
        <v>C0</v>
      </c>
      <c r="S9" s="18">
        <f t="shared" si="7"/>
        <v>15.904463211192532</v>
      </c>
      <c r="T9" s="18">
        <f>S9/Explications!$C$8</f>
        <v>0.53014877370641778</v>
      </c>
    </row>
    <row r="10" spans="1:22">
      <c r="A10" s="4" t="s">
        <v>24</v>
      </c>
      <c r="B10" s="8">
        <v>46.741</v>
      </c>
      <c r="C10" s="9">
        <v>-71.385499999999993</v>
      </c>
      <c r="D10" s="7">
        <v>1</v>
      </c>
      <c r="G10" s="10" t="s">
        <v>13</v>
      </c>
      <c r="H10" s="10" t="s">
        <v>25</v>
      </c>
      <c r="I10" s="10">
        <v>46.832299999999996</v>
      </c>
      <c r="J10" s="10">
        <v>-71.224699999999999</v>
      </c>
      <c r="K10" s="10">
        <v>46.839399999999998</v>
      </c>
      <c r="L10" s="10">
        <v>-71.282700000000006</v>
      </c>
      <c r="M10" s="6" t="str">
        <f t="shared" si="2"/>
        <v>C0</v>
      </c>
      <c r="N10" s="6" t="str">
        <f t="shared" si="3"/>
        <v>C9</v>
      </c>
      <c r="O10" s="5">
        <f t="shared" si="4"/>
        <v>4.4819910087466193</v>
      </c>
      <c r="P10" s="22">
        <f>O10/Explications!$C$8</f>
        <v>0.14939970029155397</v>
      </c>
      <c r="Q10" s="7" t="str">
        <f t="shared" si="5"/>
        <v>C9</v>
      </c>
      <c r="R10" s="7" t="str">
        <f t="shared" si="6"/>
        <v>C0</v>
      </c>
      <c r="S10" s="18">
        <f t="shared" si="7"/>
        <v>4.4819910087466193</v>
      </c>
      <c r="T10" s="18">
        <f>S10/Explications!$C$8</f>
        <v>0.14939970029155397</v>
      </c>
    </row>
    <row r="11" spans="1:22">
      <c r="A11" s="4" t="s">
        <v>25</v>
      </c>
      <c r="B11" s="14">
        <v>46.839399999999998</v>
      </c>
      <c r="C11" s="14">
        <v>-71.282700000000006</v>
      </c>
      <c r="D11" s="7">
        <v>1.5</v>
      </c>
      <c r="G11" s="10" t="s">
        <v>13</v>
      </c>
      <c r="H11" s="10" t="s">
        <v>26</v>
      </c>
      <c r="I11" s="10">
        <v>46.832299999999996</v>
      </c>
      <c r="J11" s="10">
        <v>-71.224699999999999</v>
      </c>
      <c r="K11" s="10">
        <v>46.860799999999998</v>
      </c>
      <c r="L11" s="10">
        <v>-71.217699999999994</v>
      </c>
      <c r="M11" s="6" t="str">
        <f t="shared" si="2"/>
        <v>C0</v>
      </c>
      <c r="N11" s="6" t="str">
        <f t="shared" si="3"/>
        <v>C10</v>
      </c>
      <c r="O11" s="5">
        <f t="shared" si="4"/>
        <v>3.2134600842328207</v>
      </c>
      <c r="P11" s="22">
        <f>O11/Explications!$C$8</f>
        <v>0.10711533614109402</v>
      </c>
      <c r="Q11" s="7" t="str">
        <f t="shared" si="5"/>
        <v>C10</v>
      </c>
      <c r="R11" s="7" t="str">
        <f t="shared" si="6"/>
        <v>C0</v>
      </c>
      <c r="S11" s="18">
        <f t="shared" si="7"/>
        <v>3.2134600842328207</v>
      </c>
      <c r="T11" s="18">
        <f>S11/Explications!$C$8</f>
        <v>0.10711533614109402</v>
      </c>
    </row>
    <row r="12" spans="1:22">
      <c r="A12" s="4" t="s">
        <v>26</v>
      </c>
      <c r="B12" s="8">
        <v>46.860799999999998</v>
      </c>
      <c r="C12" s="9">
        <v>-71.217699999999994</v>
      </c>
      <c r="D12" s="7">
        <v>1.5</v>
      </c>
      <c r="G12" s="10" t="s">
        <v>13</v>
      </c>
      <c r="H12" s="10" t="s">
        <v>27</v>
      </c>
      <c r="I12" s="10">
        <v>46.832299999999996</v>
      </c>
      <c r="J12" s="10">
        <v>-71.224699999999999</v>
      </c>
      <c r="K12" s="10">
        <v>46.868299999999998</v>
      </c>
      <c r="L12" s="10">
        <v>-71.167000000000002</v>
      </c>
      <c r="M12" s="6" t="str">
        <f t="shared" si="2"/>
        <v>C0</v>
      </c>
      <c r="N12" s="6" t="str">
        <f t="shared" si="3"/>
        <v>C11</v>
      </c>
      <c r="O12" s="5">
        <f t="shared" si="4"/>
        <v>5.9395204097785674</v>
      </c>
      <c r="P12" s="22">
        <f>O12/Explications!$C$8</f>
        <v>0.19798401365928558</v>
      </c>
      <c r="Q12" s="7" t="str">
        <f t="shared" si="5"/>
        <v>C11</v>
      </c>
      <c r="R12" s="7" t="str">
        <f t="shared" si="6"/>
        <v>C0</v>
      </c>
      <c r="S12" s="18">
        <f t="shared" si="7"/>
        <v>5.9395204097785674</v>
      </c>
      <c r="T12" s="18">
        <f>S12/Explications!$C$8</f>
        <v>0.19798401365928558</v>
      </c>
    </row>
    <row r="13" spans="1:22">
      <c r="A13" s="4" t="s">
        <v>27</v>
      </c>
      <c r="B13" s="8">
        <v>46.868299999999998</v>
      </c>
      <c r="C13" s="9">
        <v>-71.167000000000002</v>
      </c>
      <c r="D13" s="7">
        <v>1</v>
      </c>
      <c r="G13" s="10" t="s">
        <v>13</v>
      </c>
      <c r="H13" s="10" t="s">
        <v>28</v>
      </c>
      <c r="I13" s="10">
        <v>46.832299999999996</v>
      </c>
      <c r="J13" s="10">
        <v>-71.224699999999999</v>
      </c>
      <c r="K13" s="10">
        <v>46.895099999999999</v>
      </c>
      <c r="L13" s="10">
        <v>-71.378600000000006</v>
      </c>
      <c r="M13" s="6" t="str">
        <f t="shared" si="2"/>
        <v>C0</v>
      </c>
      <c r="N13" s="6" t="str">
        <f t="shared" si="3"/>
        <v>C12</v>
      </c>
      <c r="O13" s="5">
        <f t="shared" si="4"/>
        <v>13.626054452506979</v>
      </c>
      <c r="P13" s="22">
        <f>O13/Explications!$C$8</f>
        <v>0.454201815083566</v>
      </c>
      <c r="Q13" s="7" t="str">
        <f t="shared" si="5"/>
        <v>C12</v>
      </c>
      <c r="R13" s="7" t="str">
        <f t="shared" si="6"/>
        <v>C0</v>
      </c>
      <c r="S13" s="18">
        <f t="shared" si="7"/>
        <v>13.626054452506979</v>
      </c>
      <c r="T13" s="18">
        <f>S13/Explications!$C$8</f>
        <v>0.454201815083566</v>
      </c>
    </row>
    <row r="14" spans="1:22">
      <c r="A14" s="4" t="s">
        <v>28</v>
      </c>
      <c r="B14" s="8">
        <v>46.895099999999999</v>
      </c>
      <c r="C14" s="9">
        <v>-71.378600000000006</v>
      </c>
      <c r="D14" s="7">
        <v>1</v>
      </c>
      <c r="E14" s="17"/>
      <c r="G14" s="10" t="s">
        <v>13</v>
      </c>
      <c r="H14" s="10" t="s">
        <v>29</v>
      </c>
      <c r="I14" s="10">
        <v>46.832299999999996</v>
      </c>
      <c r="J14" s="10">
        <v>-71.224699999999999</v>
      </c>
      <c r="K14" s="10">
        <v>46.8033</v>
      </c>
      <c r="L14" s="10">
        <v>-71.1691</v>
      </c>
      <c r="M14" s="6" t="str">
        <f t="shared" si="2"/>
        <v>C0</v>
      </c>
      <c r="N14" s="6" t="str">
        <f t="shared" si="3"/>
        <v>C13</v>
      </c>
      <c r="O14" s="5">
        <f t="shared" si="4"/>
        <v>5.3195672418680751</v>
      </c>
      <c r="P14" s="22">
        <f>O14/Explications!$C$8</f>
        <v>0.17731890806226916</v>
      </c>
      <c r="Q14" s="7" t="str">
        <f t="shared" si="5"/>
        <v>C13</v>
      </c>
      <c r="R14" s="7" t="str">
        <f t="shared" si="6"/>
        <v>C0</v>
      </c>
      <c r="S14" s="18">
        <f t="shared" si="7"/>
        <v>5.3195672418680751</v>
      </c>
      <c r="T14" s="18">
        <f>S14/Explications!$C$8</f>
        <v>0.17731890806226916</v>
      </c>
    </row>
    <row r="15" spans="1:22">
      <c r="A15" s="4" t="s">
        <v>29</v>
      </c>
      <c r="B15" s="8">
        <v>46.8033</v>
      </c>
      <c r="C15" s="9">
        <v>-71.1691</v>
      </c>
      <c r="D15" s="7">
        <v>1</v>
      </c>
      <c r="G15" s="10" t="s">
        <v>13</v>
      </c>
      <c r="H15" s="10" t="s">
        <v>30</v>
      </c>
      <c r="I15" s="10">
        <v>46.832299999999996</v>
      </c>
      <c r="J15" s="10">
        <v>-71.224699999999999</v>
      </c>
      <c r="K15" s="10">
        <v>46.8596</v>
      </c>
      <c r="L15" s="10">
        <v>-71.267200000000003</v>
      </c>
      <c r="M15" s="6" t="str">
        <f t="shared" si="2"/>
        <v>C0</v>
      </c>
      <c r="N15" s="6" t="str">
        <f t="shared" si="3"/>
        <v>C14</v>
      </c>
      <c r="O15" s="5">
        <f t="shared" si="4"/>
        <v>4.434240618004007</v>
      </c>
      <c r="P15" s="22">
        <f>O15/Explications!$C$8</f>
        <v>0.14780802060013357</v>
      </c>
      <c r="Q15" s="7" t="str">
        <f t="shared" si="5"/>
        <v>C14</v>
      </c>
      <c r="R15" s="7" t="str">
        <f t="shared" si="6"/>
        <v>C0</v>
      </c>
      <c r="S15" s="18">
        <f t="shared" si="7"/>
        <v>4.434240618004007</v>
      </c>
      <c r="T15" s="18">
        <f>S15/Explications!$C$8</f>
        <v>0.14780802060013357</v>
      </c>
    </row>
    <row r="16" spans="1:22">
      <c r="A16" s="4" t="s">
        <v>30</v>
      </c>
      <c r="B16" s="8">
        <v>46.8596</v>
      </c>
      <c r="C16" s="9">
        <v>-71.267200000000003</v>
      </c>
      <c r="D16" s="7">
        <v>2.25</v>
      </c>
      <c r="G16" s="10" t="s">
        <v>13</v>
      </c>
      <c r="H16" s="10" t="s">
        <v>31</v>
      </c>
      <c r="I16" s="10">
        <v>46.832299999999996</v>
      </c>
      <c r="J16" s="10">
        <v>-71.224699999999999</v>
      </c>
      <c r="K16" s="10">
        <v>46.813499999999998</v>
      </c>
      <c r="L16" s="10">
        <v>-71.215900000000005</v>
      </c>
      <c r="M16" s="6" t="str">
        <f t="shared" si="2"/>
        <v>C0</v>
      </c>
      <c r="N16" s="6" t="str">
        <f t="shared" si="3"/>
        <v>C15</v>
      </c>
      <c r="O16" s="5">
        <f t="shared" si="4"/>
        <v>2.1950730756930446</v>
      </c>
      <c r="P16" s="22">
        <f>O16/Explications!$C$8</f>
        <v>7.3169102523101479E-2</v>
      </c>
      <c r="Q16" s="7" t="str">
        <f t="shared" si="5"/>
        <v>C15</v>
      </c>
      <c r="R16" s="7" t="str">
        <f t="shared" si="6"/>
        <v>C0</v>
      </c>
      <c r="S16" s="18">
        <f t="shared" si="7"/>
        <v>2.1950730756930446</v>
      </c>
      <c r="T16" s="18">
        <f>S16/Explications!$C$8</f>
        <v>7.3169102523101479E-2</v>
      </c>
    </row>
    <row r="17" spans="1:20">
      <c r="A17" s="4" t="s">
        <v>31</v>
      </c>
      <c r="B17" s="8">
        <v>46.813499999999998</v>
      </c>
      <c r="C17" s="9">
        <v>-71.215900000000005</v>
      </c>
      <c r="D17" s="7">
        <v>1.5</v>
      </c>
      <c r="G17" s="10" t="s">
        <v>13</v>
      </c>
      <c r="H17" s="10" t="s">
        <v>32</v>
      </c>
      <c r="I17" s="10">
        <v>46.832299999999996</v>
      </c>
      <c r="J17" s="10">
        <v>-71.224699999999999</v>
      </c>
      <c r="K17" s="10">
        <v>46.733699999999999</v>
      </c>
      <c r="L17" s="10">
        <v>-71.270099999999999</v>
      </c>
      <c r="M17" s="6" t="str">
        <f t="shared" si="2"/>
        <v>C0</v>
      </c>
      <c r="N17" s="6" t="str">
        <f t="shared" si="3"/>
        <v>C16</v>
      </c>
      <c r="O17" s="5">
        <f t="shared" si="4"/>
        <v>11.495876955312195</v>
      </c>
      <c r="P17" s="22">
        <f>O17/Explications!$C$8</f>
        <v>0.38319589851040647</v>
      </c>
      <c r="Q17" s="7" t="str">
        <f t="shared" si="5"/>
        <v>C16</v>
      </c>
      <c r="R17" s="7" t="str">
        <f t="shared" si="6"/>
        <v>C0</v>
      </c>
      <c r="S17" s="18">
        <f t="shared" si="7"/>
        <v>11.495876955312195</v>
      </c>
      <c r="T17" s="18">
        <f>S17/Explications!$C$8</f>
        <v>0.38319589851040647</v>
      </c>
    </row>
    <row r="18" spans="1:20">
      <c r="A18" s="4" t="s">
        <v>32</v>
      </c>
      <c r="B18" s="8">
        <v>46.733699999999999</v>
      </c>
      <c r="C18" s="9">
        <v>-71.270099999999999</v>
      </c>
      <c r="D18" s="7">
        <v>1</v>
      </c>
      <c r="G18" s="10" t="s">
        <v>13</v>
      </c>
      <c r="H18" s="10" t="s">
        <v>33</v>
      </c>
      <c r="I18" s="10">
        <v>46.832299999999996</v>
      </c>
      <c r="J18" s="10">
        <v>-71.224699999999999</v>
      </c>
      <c r="K18" s="10">
        <v>46.8035</v>
      </c>
      <c r="L18" s="10">
        <v>-71.3553</v>
      </c>
      <c r="M18" s="6" t="str">
        <f t="shared" si="2"/>
        <v>C0</v>
      </c>
      <c r="N18" s="6" t="str">
        <f t="shared" si="3"/>
        <v>C17</v>
      </c>
      <c r="O18" s="5">
        <f t="shared" si="4"/>
        <v>10.440967093261007</v>
      </c>
      <c r="P18" s="22">
        <f>O18/Explications!$C$8</f>
        <v>0.34803223644203357</v>
      </c>
      <c r="Q18" s="7" t="str">
        <f t="shared" si="5"/>
        <v>C17</v>
      </c>
      <c r="R18" s="7" t="str">
        <f t="shared" si="6"/>
        <v>C0</v>
      </c>
      <c r="S18" s="18">
        <f t="shared" si="7"/>
        <v>10.440967093261007</v>
      </c>
      <c r="T18" s="18">
        <f>S18/Explications!$C$8</f>
        <v>0.34803223644203357</v>
      </c>
    </row>
    <row r="19" spans="1:20">
      <c r="A19" s="4" t="s">
        <v>33</v>
      </c>
      <c r="B19" s="8">
        <v>46.8035</v>
      </c>
      <c r="C19" s="9">
        <v>-71.3553</v>
      </c>
      <c r="D19" s="7">
        <v>1</v>
      </c>
      <c r="G19" s="10" t="s">
        <v>13</v>
      </c>
      <c r="H19" s="10" t="s">
        <v>34</v>
      </c>
      <c r="I19" s="10">
        <v>46.832299999999996</v>
      </c>
      <c r="J19" s="10">
        <v>-71.224699999999999</v>
      </c>
      <c r="K19" s="10">
        <v>46.730200000000004</v>
      </c>
      <c r="L19" s="10">
        <v>-71.274100000000004</v>
      </c>
      <c r="M19" s="6" t="str">
        <f t="shared" si="2"/>
        <v>C0</v>
      </c>
      <c r="N19" s="6" t="str">
        <f t="shared" si="3"/>
        <v>C18</v>
      </c>
      <c r="O19" s="5">
        <f t="shared" si="4"/>
        <v>11.959927995687263</v>
      </c>
      <c r="P19" s="22">
        <f>O19/Explications!$C$8</f>
        <v>0.39866426652290876</v>
      </c>
      <c r="Q19" s="7" t="str">
        <f t="shared" si="5"/>
        <v>C18</v>
      </c>
      <c r="R19" s="7" t="str">
        <f t="shared" si="6"/>
        <v>C0</v>
      </c>
      <c r="S19" s="18">
        <f t="shared" si="7"/>
        <v>11.959927995687263</v>
      </c>
      <c r="T19" s="18">
        <f>S19/Explications!$C$8</f>
        <v>0.39866426652290876</v>
      </c>
    </row>
    <row r="20" spans="1:20">
      <c r="A20" s="4" t="s">
        <v>34</v>
      </c>
      <c r="B20" s="8">
        <v>46.730200000000004</v>
      </c>
      <c r="C20" s="9">
        <v>-71.274100000000004</v>
      </c>
      <c r="D20" s="7">
        <v>1</v>
      </c>
      <c r="G20" s="10" t="s">
        <v>13</v>
      </c>
      <c r="H20" s="10" t="s">
        <v>35</v>
      </c>
      <c r="I20" s="10">
        <v>46.832299999999996</v>
      </c>
      <c r="J20" s="10">
        <v>-71.224699999999999</v>
      </c>
      <c r="K20" s="10">
        <v>46.785600000000002</v>
      </c>
      <c r="L20" s="10">
        <v>-71.245500000000007</v>
      </c>
      <c r="M20" s="6" t="str">
        <f t="shared" si="2"/>
        <v>C0</v>
      </c>
      <c r="N20" s="6" t="str">
        <f t="shared" si="3"/>
        <v>C19</v>
      </c>
      <c r="O20" s="5">
        <f t="shared" si="4"/>
        <v>5.4287267919504387</v>
      </c>
      <c r="P20" s="22">
        <f>O20/Explications!$C$8</f>
        <v>0.18095755973168129</v>
      </c>
      <c r="Q20" s="7" t="str">
        <f t="shared" si="5"/>
        <v>C19</v>
      </c>
      <c r="R20" s="7" t="str">
        <f t="shared" si="6"/>
        <v>C0</v>
      </c>
      <c r="S20" s="18">
        <f t="shared" si="7"/>
        <v>5.4287267919504387</v>
      </c>
      <c r="T20" s="18">
        <f>S20/Explications!$C$8</f>
        <v>0.18095755973168129</v>
      </c>
    </row>
    <row r="21" spans="1:20">
      <c r="A21" s="4" t="s">
        <v>35</v>
      </c>
      <c r="B21" s="8">
        <v>46.785600000000002</v>
      </c>
      <c r="C21" s="9">
        <v>-71.245500000000007</v>
      </c>
      <c r="D21" s="7">
        <v>1.5</v>
      </c>
      <c r="G21" s="10" t="s">
        <v>13</v>
      </c>
      <c r="H21" s="10" t="s">
        <v>36</v>
      </c>
      <c r="I21" s="10">
        <v>46.832299999999996</v>
      </c>
      <c r="J21" s="10">
        <v>-71.224699999999999</v>
      </c>
      <c r="K21" s="10">
        <v>46.8215</v>
      </c>
      <c r="L21" s="10">
        <v>-71.355400000000003</v>
      </c>
      <c r="M21" s="6" t="str">
        <f t="shared" si="2"/>
        <v>C0</v>
      </c>
      <c r="N21" s="6" t="str">
        <f t="shared" si="3"/>
        <v>C20</v>
      </c>
      <c r="O21" s="5">
        <f t="shared" si="4"/>
        <v>10.015922618943792</v>
      </c>
      <c r="P21" s="22">
        <f>O21/Explications!$C$8</f>
        <v>0.33386408729812639</v>
      </c>
      <c r="Q21" s="7" t="str">
        <f t="shared" si="5"/>
        <v>C20</v>
      </c>
      <c r="R21" s="7" t="str">
        <f t="shared" si="6"/>
        <v>C0</v>
      </c>
      <c r="S21" s="18">
        <f t="shared" si="7"/>
        <v>10.015922618943792</v>
      </c>
      <c r="T21" s="18">
        <f>S21/Explications!$C$8</f>
        <v>0.33386408729812639</v>
      </c>
    </row>
    <row r="22" spans="1:20">
      <c r="A22" s="4" t="s">
        <v>36</v>
      </c>
      <c r="B22" s="8">
        <v>46.8215</v>
      </c>
      <c r="C22" s="9">
        <v>-71.355400000000003</v>
      </c>
      <c r="D22" s="7">
        <v>1.5</v>
      </c>
      <c r="G22" s="10" t="s">
        <v>13</v>
      </c>
      <c r="H22" s="10" t="s">
        <v>37</v>
      </c>
      <c r="I22" s="10">
        <v>46.832299999999996</v>
      </c>
      <c r="J22" s="10">
        <v>-71.224699999999999</v>
      </c>
      <c r="K22" s="10">
        <v>46.8093</v>
      </c>
      <c r="L22" s="10">
        <v>-71.2273</v>
      </c>
      <c r="M22" s="6" t="str">
        <f t="shared" si="2"/>
        <v>C0</v>
      </c>
      <c r="N22" s="6" t="str">
        <f t="shared" si="3"/>
        <v>C21</v>
      </c>
      <c r="O22" s="5">
        <f t="shared" si="4"/>
        <v>2.5651233649181333</v>
      </c>
      <c r="P22" s="22">
        <f>O22/Explications!$C$8</f>
        <v>8.5504112163937773E-2</v>
      </c>
      <c r="Q22" s="7" t="str">
        <f t="shared" si="5"/>
        <v>C21</v>
      </c>
      <c r="R22" s="7" t="str">
        <f t="shared" si="6"/>
        <v>C0</v>
      </c>
      <c r="S22" s="18">
        <f t="shared" si="7"/>
        <v>2.5651233649181333</v>
      </c>
      <c r="T22" s="18">
        <f>S22/Explications!$C$8</f>
        <v>8.5504112163937773E-2</v>
      </c>
    </row>
    <row r="23" spans="1:20">
      <c r="A23" s="4" t="s">
        <v>37</v>
      </c>
      <c r="B23" s="8">
        <v>46.8093</v>
      </c>
      <c r="C23" s="9">
        <v>-71.2273</v>
      </c>
      <c r="D23" s="7">
        <v>1</v>
      </c>
      <c r="G23" s="10" t="s">
        <v>13</v>
      </c>
      <c r="H23" s="10" t="s">
        <v>38</v>
      </c>
      <c r="I23" s="10">
        <v>46.832299999999996</v>
      </c>
      <c r="J23" s="10">
        <v>-71.224699999999999</v>
      </c>
      <c r="K23" s="10">
        <v>46.781300000000002</v>
      </c>
      <c r="L23" s="10">
        <v>-71.301000000000002</v>
      </c>
      <c r="M23" s="6" t="str">
        <f t="shared" si="2"/>
        <v>C0</v>
      </c>
      <c r="N23" s="6" t="str">
        <f t="shared" si="3"/>
        <v>C22</v>
      </c>
      <c r="O23" s="5">
        <f t="shared" si="4"/>
        <v>8.1167581640025865</v>
      </c>
      <c r="P23" s="22">
        <f>O23/Explications!$C$8</f>
        <v>0.27055860546675287</v>
      </c>
      <c r="Q23" s="7" t="str">
        <f t="shared" si="5"/>
        <v>C22</v>
      </c>
      <c r="R23" s="7" t="str">
        <f t="shared" si="6"/>
        <v>C0</v>
      </c>
      <c r="S23" s="18">
        <f t="shared" si="7"/>
        <v>8.1167581640025865</v>
      </c>
      <c r="T23" s="18">
        <f>S23/Explications!$C$8</f>
        <v>0.27055860546675287</v>
      </c>
    </row>
    <row r="24" spans="1:20">
      <c r="A24" s="4" t="s">
        <v>38</v>
      </c>
      <c r="B24" s="8">
        <v>46.781300000000002</v>
      </c>
      <c r="C24" s="9">
        <v>-71.301000000000002</v>
      </c>
      <c r="D24" s="7">
        <v>1</v>
      </c>
      <c r="G24" s="10" t="s">
        <v>13</v>
      </c>
      <c r="H24" s="10" t="s">
        <v>39</v>
      </c>
      <c r="I24" s="10">
        <v>46.832299999999996</v>
      </c>
      <c r="J24" s="10">
        <v>-71.224699999999999</v>
      </c>
      <c r="K24" s="10">
        <v>46.844900000000003</v>
      </c>
      <c r="L24" s="10">
        <v>-71.251400000000004</v>
      </c>
      <c r="M24" s="6" t="str">
        <f t="shared" si="2"/>
        <v>C0</v>
      </c>
      <c r="N24" s="6" t="str">
        <f t="shared" si="3"/>
        <v>C23</v>
      </c>
      <c r="O24" s="5">
        <f t="shared" si="4"/>
        <v>2.4672856840551218</v>
      </c>
      <c r="P24" s="22">
        <f>O24/Explications!$C$8</f>
        <v>8.2242856135170725E-2</v>
      </c>
      <c r="Q24" s="7" t="str">
        <f t="shared" si="5"/>
        <v>C23</v>
      </c>
      <c r="R24" s="7" t="str">
        <f t="shared" si="6"/>
        <v>C0</v>
      </c>
      <c r="S24" s="18">
        <f t="shared" si="7"/>
        <v>2.4672856840551218</v>
      </c>
      <c r="T24" s="18">
        <f>S24/Explications!$C$8</f>
        <v>8.2242856135170725E-2</v>
      </c>
    </row>
    <row r="25" spans="1:20">
      <c r="A25" s="4" t="s">
        <v>39</v>
      </c>
      <c r="B25" s="8">
        <v>46.844900000000003</v>
      </c>
      <c r="C25" s="9">
        <v>-71.251400000000004</v>
      </c>
      <c r="D25" s="7">
        <v>1.5</v>
      </c>
      <c r="G25" s="10" t="s">
        <v>13</v>
      </c>
      <c r="H25" s="10" t="s">
        <v>40</v>
      </c>
      <c r="I25" s="10">
        <v>46.832299999999996</v>
      </c>
      <c r="J25" s="10">
        <v>-71.224699999999999</v>
      </c>
      <c r="K25" s="10">
        <v>46.805500000000002</v>
      </c>
      <c r="L25" s="10">
        <v>-71.2196</v>
      </c>
      <c r="M25" s="6" t="str">
        <f t="shared" si="2"/>
        <v>C0</v>
      </c>
      <c r="N25" s="6" t="str">
        <f t="shared" si="3"/>
        <v>C24</v>
      </c>
      <c r="O25" s="5">
        <f t="shared" si="4"/>
        <v>3.005185294331012</v>
      </c>
      <c r="P25" s="22">
        <f>O25/Explications!$C$8</f>
        <v>0.10017284314436707</v>
      </c>
      <c r="Q25" s="7" t="str">
        <f t="shared" si="5"/>
        <v>C24</v>
      </c>
      <c r="R25" s="7" t="str">
        <f t="shared" si="6"/>
        <v>C0</v>
      </c>
      <c r="S25" s="18">
        <f t="shared" si="7"/>
        <v>3.005185294331012</v>
      </c>
      <c r="T25" s="18">
        <f>S25/Explications!$C$8</f>
        <v>0.10017284314436707</v>
      </c>
    </row>
    <row r="26" spans="1:20">
      <c r="A26" s="4" t="s">
        <v>40</v>
      </c>
      <c r="B26" s="8">
        <v>46.805500000000002</v>
      </c>
      <c r="C26" s="9">
        <v>-71.2196</v>
      </c>
      <c r="D26" s="7">
        <v>1.5</v>
      </c>
      <c r="G26" s="10" t="s">
        <v>13</v>
      </c>
      <c r="H26" s="10" t="s">
        <v>41</v>
      </c>
      <c r="I26" s="10">
        <v>46.832299999999996</v>
      </c>
      <c r="J26" s="10">
        <v>-71.224699999999999</v>
      </c>
      <c r="K26" s="10">
        <v>46.734900000000003</v>
      </c>
      <c r="L26" s="10">
        <v>-71.266199999999998</v>
      </c>
      <c r="M26" s="6" t="str">
        <f t="shared" si="2"/>
        <v>C0</v>
      </c>
      <c r="N26" s="6" t="str">
        <f t="shared" si="3"/>
        <v>C25</v>
      </c>
      <c r="O26" s="5">
        <f t="shared" si="4"/>
        <v>11.281932627234585</v>
      </c>
      <c r="P26" s="22">
        <f>O26/Explications!$C$8</f>
        <v>0.3760644209078195</v>
      </c>
      <c r="Q26" s="7" t="str">
        <f t="shared" si="5"/>
        <v>C25</v>
      </c>
      <c r="R26" s="7" t="str">
        <f t="shared" si="6"/>
        <v>C0</v>
      </c>
      <c r="S26" s="18">
        <f t="shared" si="7"/>
        <v>11.281932627234585</v>
      </c>
      <c r="T26" s="18">
        <f>S26/Explications!$C$8</f>
        <v>0.3760644209078195</v>
      </c>
    </row>
    <row r="27" spans="1:20">
      <c r="A27" s="4" t="s">
        <v>41</v>
      </c>
      <c r="B27" s="8">
        <v>46.734900000000003</v>
      </c>
      <c r="C27" s="9">
        <v>-71.266199999999998</v>
      </c>
      <c r="D27" s="7">
        <v>1</v>
      </c>
      <c r="G27" s="10" t="s">
        <v>13</v>
      </c>
      <c r="H27" s="10" t="s">
        <v>42</v>
      </c>
      <c r="I27" s="10">
        <v>46.832299999999996</v>
      </c>
      <c r="J27" s="10">
        <v>-71.224699999999999</v>
      </c>
      <c r="K27" s="10">
        <v>46.817700000000002</v>
      </c>
      <c r="L27" s="10">
        <v>-71.214100000000002</v>
      </c>
      <c r="M27" s="6" t="str">
        <f t="shared" si="2"/>
        <v>C0</v>
      </c>
      <c r="N27" s="6" t="str">
        <f t="shared" si="3"/>
        <v>C26</v>
      </c>
      <c r="O27" s="5">
        <f t="shared" si="4"/>
        <v>1.8127279820690585</v>
      </c>
      <c r="P27" s="22">
        <f>O27/Explications!$C$8</f>
        <v>6.042426606896862E-2</v>
      </c>
      <c r="Q27" s="7" t="str">
        <f t="shared" si="5"/>
        <v>C26</v>
      </c>
      <c r="R27" s="7" t="str">
        <f t="shared" si="6"/>
        <v>C0</v>
      </c>
      <c r="S27" s="18">
        <f t="shared" si="7"/>
        <v>1.8127279820690585</v>
      </c>
      <c r="T27" s="18">
        <f>S27/Explications!$C$8</f>
        <v>6.042426606896862E-2</v>
      </c>
    </row>
    <row r="28" spans="1:20">
      <c r="A28" s="4" t="s">
        <v>42</v>
      </c>
      <c r="B28" s="8">
        <v>46.817700000000002</v>
      </c>
      <c r="C28" s="9">
        <v>-71.214100000000002</v>
      </c>
      <c r="D28" s="7">
        <v>1.5</v>
      </c>
      <c r="G28" s="10" t="s">
        <v>13</v>
      </c>
      <c r="H28" s="10" t="s">
        <v>43</v>
      </c>
      <c r="I28" s="10">
        <v>46.832299999999996</v>
      </c>
      <c r="J28" s="10">
        <v>-71.224699999999999</v>
      </c>
      <c r="K28" s="10">
        <v>46.603000000000002</v>
      </c>
      <c r="L28" s="10">
        <v>-71.490600000000001</v>
      </c>
      <c r="M28" s="6" t="str">
        <f t="shared" si="2"/>
        <v>C0</v>
      </c>
      <c r="N28" s="6" t="str">
        <f t="shared" si="3"/>
        <v>C27</v>
      </c>
      <c r="O28" s="5">
        <f t="shared" si="4"/>
        <v>32.572971213172785</v>
      </c>
      <c r="P28" s="22">
        <f>O28/Explications!$C$8</f>
        <v>1.0857657071057596</v>
      </c>
      <c r="Q28" s="7" t="str">
        <f t="shared" si="5"/>
        <v>C27</v>
      </c>
      <c r="R28" s="7" t="str">
        <f t="shared" si="6"/>
        <v>C0</v>
      </c>
      <c r="S28" s="18">
        <f t="shared" si="7"/>
        <v>32.572971213172785</v>
      </c>
      <c r="T28" s="18">
        <f>S28/Explications!$C$8</f>
        <v>1.0857657071057596</v>
      </c>
    </row>
    <row r="29" spans="1:20">
      <c r="A29" s="4" t="s">
        <v>43</v>
      </c>
      <c r="B29" s="8">
        <v>46.603000000000002</v>
      </c>
      <c r="C29" s="9">
        <v>-71.490600000000001</v>
      </c>
      <c r="D29" s="7">
        <v>2</v>
      </c>
      <c r="G29" s="10" t="s">
        <v>13</v>
      </c>
      <c r="H29" s="10" t="s">
        <v>44</v>
      </c>
      <c r="I29" s="10">
        <v>46.832299999999996</v>
      </c>
      <c r="J29" s="10">
        <v>-71.224699999999999</v>
      </c>
      <c r="K29" s="10">
        <v>47.000500000000002</v>
      </c>
      <c r="L29" s="10">
        <v>-71.388400000000004</v>
      </c>
      <c r="M29" s="6" t="str">
        <f t="shared" si="2"/>
        <v>C0</v>
      </c>
      <c r="N29" s="6" t="str">
        <f t="shared" si="3"/>
        <v>C28</v>
      </c>
      <c r="O29" s="5">
        <f t="shared" si="4"/>
        <v>22.458731000121954</v>
      </c>
      <c r="P29" s="22">
        <f>O29/Explications!$C$8</f>
        <v>0.74862436667073184</v>
      </c>
      <c r="Q29" s="7" t="str">
        <f t="shared" si="5"/>
        <v>C28</v>
      </c>
      <c r="R29" s="7" t="str">
        <f t="shared" si="6"/>
        <v>C0</v>
      </c>
      <c r="S29" s="18">
        <f t="shared" si="7"/>
        <v>22.458731000121954</v>
      </c>
      <c r="T29" s="18">
        <f>S29/Explications!$C$8</f>
        <v>0.74862436667073184</v>
      </c>
    </row>
    <row r="30" spans="1:20">
      <c r="A30" s="4" t="s">
        <v>44</v>
      </c>
      <c r="B30" s="15">
        <v>47.000500000000002</v>
      </c>
      <c r="C30" s="3">
        <v>-71.388400000000004</v>
      </c>
      <c r="D30" s="7">
        <v>1</v>
      </c>
      <c r="G30" s="10" t="s">
        <v>13</v>
      </c>
      <c r="H30" s="10" t="s">
        <v>45</v>
      </c>
      <c r="I30" s="10">
        <v>46.832299999999996</v>
      </c>
      <c r="J30" s="10">
        <v>-71.224699999999999</v>
      </c>
      <c r="K30" s="10">
        <v>46.839100000000002</v>
      </c>
      <c r="L30" s="10">
        <v>-71.245699999999999</v>
      </c>
      <c r="M30" s="6" t="str">
        <f t="shared" si="2"/>
        <v>C0</v>
      </c>
      <c r="N30" s="6" t="str">
        <f t="shared" si="3"/>
        <v>C29</v>
      </c>
      <c r="O30" s="5">
        <f t="shared" si="4"/>
        <v>1.7673364491378682</v>
      </c>
      <c r="P30" s="22">
        <f>O30/Explications!$C$8</f>
        <v>5.8911214971262275E-2</v>
      </c>
      <c r="Q30" s="7" t="str">
        <f t="shared" si="5"/>
        <v>C29</v>
      </c>
      <c r="R30" s="7" t="str">
        <f t="shared" si="6"/>
        <v>C0</v>
      </c>
      <c r="S30" s="18">
        <f t="shared" si="7"/>
        <v>1.7673364491378682</v>
      </c>
      <c r="T30" s="18">
        <f>S30/Explications!$C$8</f>
        <v>5.8911214971262275E-2</v>
      </c>
    </row>
    <row r="31" spans="1:20">
      <c r="A31" s="4" t="s">
        <v>45</v>
      </c>
      <c r="B31" s="15">
        <v>46.839100000000002</v>
      </c>
      <c r="C31" s="3">
        <v>-71.245699999999999</v>
      </c>
      <c r="D31" s="7">
        <v>1.25</v>
      </c>
      <c r="G31" s="10" t="s">
        <v>13</v>
      </c>
      <c r="H31" s="10" t="s">
        <v>46</v>
      </c>
      <c r="I31" s="10">
        <v>46.832299999999996</v>
      </c>
      <c r="J31" s="10">
        <v>-71.224699999999999</v>
      </c>
      <c r="K31" s="10">
        <v>46.865699999999997</v>
      </c>
      <c r="L31" s="10">
        <v>-71.27</v>
      </c>
      <c r="M31" s="6" t="str">
        <f t="shared" si="2"/>
        <v>C0</v>
      </c>
      <c r="N31" s="6" t="str">
        <f t="shared" si="3"/>
        <v>C30</v>
      </c>
      <c r="O31" s="5">
        <f t="shared" si="4"/>
        <v>5.0656917655951421</v>
      </c>
      <c r="P31" s="22">
        <f>O31/Explications!$C$8</f>
        <v>0.16885639218650475</v>
      </c>
      <c r="Q31" s="7" t="str">
        <f t="shared" si="5"/>
        <v>C30</v>
      </c>
      <c r="R31" s="7" t="str">
        <f t="shared" si="6"/>
        <v>C0</v>
      </c>
      <c r="S31" s="18">
        <f t="shared" si="7"/>
        <v>5.0656917655951421</v>
      </c>
      <c r="T31" s="18">
        <f>S31/Explications!$C$8</f>
        <v>0.16885639218650475</v>
      </c>
    </row>
    <row r="32" spans="1:20">
      <c r="A32" s="4" t="s">
        <v>46</v>
      </c>
      <c r="B32" s="15">
        <v>46.865699999999997</v>
      </c>
      <c r="C32" s="3">
        <v>-71.27</v>
      </c>
      <c r="D32" s="7">
        <v>1</v>
      </c>
      <c r="G32" s="10" t="s">
        <v>13</v>
      </c>
      <c r="H32" s="10" t="s">
        <v>47</v>
      </c>
      <c r="I32" s="10">
        <v>46.832299999999996</v>
      </c>
      <c r="J32" s="10">
        <v>-71.224699999999999</v>
      </c>
      <c r="K32" s="10">
        <v>46.805500000000002</v>
      </c>
      <c r="L32" s="10">
        <v>-71.217299999999994</v>
      </c>
      <c r="M32" s="6" t="str">
        <f t="shared" si="2"/>
        <v>C0</v>
      </c>
      <c r="N32" s="6" t="str">
        <f t="shared" si="3"/>
        <v>C31</v>
      </c>
      <c r="O32" s="5">
        <f t="shared" si="4"/>
        <v>3.0327542580730498</v>
      </c>
      <c r="P32" s="22">
        <f>O32/Explications!$C$8</f>
        <v>0.101091808602435</v>
      </c>
      <c r="Q32" s="7" t="str">
        <f t="shared" si="5"/>
        <v>C31</v>
      </c>
      <c r="R32" s="7" t="str">
        <f t="shared" si="6"/>
        <v>C0</v>
      </c>
      <c r="S32" s="18">
        <f t="shared" si="7"/>
        <v>3.0327542580730498</v>
      </c>
      <c r="T32" s="18">
        <f>S32/Explications!$C$8</f>
        <v>0.101091808602435</v>
      </c>
    </row>
    <row r="33" spans="1:20">
      <c r="A33" s="4" t="s">
        <v>47</v>
      </c>
      <c r="B33" s="15">
        <v>46.805500000000002</v>
      </c>
      <c r="C33" s="3">
        <v>-71.217299999999994</v>
      </c>
      <c r="D33" s="7">
        <v>1.25</v>
      </c>
      <c r="G33" s="10" t="s">
        <v>13</v>
      </c>
      <c r="H33" s="10" t="s">
        <v>48</v>
      </c>
      <c r="I33" s="10">
        <v>46.832299999999996</v>
      </c>
      <c r="J33" s="10">
        <v>-71.224699999999999</v>
      </c>
      <c r="K33" s="10">
        <v>46.792299999999997</v>
      </c>
      <c r="L33" s="10">
        <v>-71.172899999999998</v>
      </c>
      <c r="M33" s="6" t="str">
        <f t="shared" si="2"/>
        <v>C0</v>
      </c>
      <c r="N33" s="6" t="str">
        <f t="shared" si="3"/>
        <v>C32</v>
      </c>
      <c r="O33" s="5">
        <f t="shared" si="4"/>
        <v>5.9432661959956894</v>
      </c>
      <c r="P33" s="22">
        <f>O33/Explications!$C$8</f>
        <v>0.19810887319985632</v>
      </c>
      <c r="Q33" s="7" t="str">
        <f t="shared" si="5"/>
        <v>C32</v>
      </c>
      <c r="R33" s="7" t="str">
        <f t="shared" si="6"/>
        <v>C0</v>
      </c>
      <c r="S33" s="18">
        <f t="shared" si="7"/>
        <v>5.9432661959956894</v>
      </c>
      <c r="T33" s="18">
        <f>S33/Explications!$C$8</f>
        <v>0.19810887319985632</v>
      </c>
    </row>
    <row r="34" spans="1:20">
      <c r="A34" s="4" t="s">
        <v>48</v>
      </c>
      <c r="B34" s="15">
        <v>46.792299999999997</v>
      </c>
      <c r="C34" s="3">
        <v>-71.172899999999998</v>
      </c>
      <c r="D34" s="7">
        <v>1</v>
      </c>
      <c r="G34" s="10" t="s">
        <v>13</v>
      </c>
      <c r="H34" s="10" t="s">
        <v>49</v>
      </c>
      <c r="I34" s="10">
        <v>46.832299999999996</v>
      </c>
      <c r="J34" s="10">
        <v>-71.224699999999999</v>
      </c>
      <c r="K34" s="10">
        <v>46.7883</v>
      </c>
      <c r="L34" s="10">
        <v>-71.131200000000007</v>
      </c>
      <c r="M34" s="6" t="str">
        <f t="shared" si="2"/>
        <v>C0</v>
      </c>
      <c r="N34" s="6" t="str">
        <f t="shared" si="3"/>
        <v>C33</v>
      </c>
      <c r="O34" s="5">
        <f t="shared" si="4"/>
        <v>8.6354082802932091</v>
      </c>
      <c r="P34" s="22">
        <f>O34/Explications!$C$8</f>
        <v>0.28784694267644029</v>
      </c>
      <c r="Q34" s="7" t="str">
        <f t="shared" si="5"/>
        <v>C33</v>
      </c>
      <c r="R34" s="7" t="str">
        <f t="shared" si="6"/>
        <v>C0</v>
      </c>
      <c r="S34" s="18">
        <f t="shared" si="7"/>
        <v>8.6354082802932091</v>
      </c>
      <c r="T34" s="18">
        <f>S34/Explications!$C$8</f>
        <v>0.28784694267644029</v>
      </c>
    </row>
    <row r="35" spans="1:20">
      <c r="A35" s="4" t="s">
        <v>49</v>
      </c>
      <c r="B35" s="15">
        <v>46.7883</v>
      </c>
      <c r="C35" s="3">
        <v>-71.131200000000007</v>
      </c>
      <c r="D35" s="7">
        <v>1.5</v>
      </c>
      <c r="G35" s="10" t="s">
        <v>13</v>
      </c>
      <c r="H35" s="10" t="s">
        <v>50</v>
      </c>
      <c r="I35" s="10">
        <v>46.832299999999996</v>
      </c>
      <c r="J35" s="10">
        <v>-71.224699999999999</v>
      </c>
      <c r="K35" s="10">
        <v>46.8611</v>
      </c>
      <c r="L35" s="10">
        <v>-71.268799999999999</v>
      </c>
      <c r="M35" s="6" t="str">
        <f t="shared" si="2"/>
        <v>C0</v>
      </c>
      <c r="N35" s="6" t="str">
        <f t="shared" si="3"/>
        <v>C34</v>
      </c>
      <c r="O35" s="5">
        <f t="shared" si="4"/>
        <v>4.6372485797043028</v>
      </c>
      <c r="P35" s="22">
        <f>O35/Explications!$C$8</f>
        <v>0.15457495265681009</v>
      </c>
      <c r="Q35" s="7" t="str">
        <f t="shared" si="5"/>
        <v>C34</v>
      </c>
      <c r="R35" s="7" t="str">
        <f t="shared" si="6"/>
        <v>C0</v>
      </c>
      <c r="S35" s="18">
        <f t="shared" si="7"/>
        <v>4.6372485797043028</v>
      </c>
      <c r="T35" s="18">
        <f>S35/Explications!$C$8</f>
        <v>0.15457495265681009</v>
      </c>
    </row>
    <row r="36" spans="1:20">
      <c r="A36" s="4" t="s">
        <v>50</v>
      </c>
      <c r="B36" s="15">
        <v>46.8611</v>
      </c>
      <c r="C36" s="3">
        <v>-71.268799999999999</v>
      </c>
      <c r="D36" s="7">
        <v>1</v>
      </c>
      <c r="G36" s="10" t="s">
        <v>13</v>
      </c>
      <c r="H36" s="10" t="s">
        <v>51</v>
      </c>
      <c r="I36" s="10">
        <v>46.832299999999996</v>
      </c>
      <c r="J36" s="10">
        <v>-71.224699999999999</v>
      </c>
      <c r="K36" s="10">
        <v>46.869700000000002</v>
      </c>
      <c r="L36" s="10">
        <v>-71.205200000000005</v>
      </c>
      <c r="M36" s="6" t="str">
        <f t="shared" si="2"/>
        <v>C0</v>
      </c>
      <c r="N36" s="6" t="str">
        <f t="shared" si="3"/>
        <v>C35</v>
      </c>
      <c r="O36" s="5">
        <f t="shared" si="4"/>
        <v>4.4151655574551834</v>
      </c>
      <c r="P36" s="22">
        <f>O36/Explications!$C$8</f>
        <v>0.14717218524850612</v>
      </c>
      <c r="Q36" s="7" t="str">
        <f t="shared" si="5"/>
        <v>C35</v>
      </c>
      <c r="R36" s="7" t="str">
        <f t="shared" si="6"/>
        <v>C0</v>
      </c>
      <c r="S36" s="18">
        <f t="shared" si="7"/>
        <v>4.4151655574551834</v>
      </c>
      <c r="T36" s="18">
        <f>S36/Explications!$C$8</f>
        <v>0.14717218524850612</v>
      </c>
    </row>
    <row r="37" spans="1:20">
      <c r="A37" s="4" t="s">
        <v>51</v>
      </c>
      <c r="B37" s="15">
        <v>46.869700000000002</v>
      </c>
      <c r="C37" s="3">
        <v>-71.205200000000005</v>
      </c>
      <c r="D37" s="7">
        <v>1.5</v>
      </c>
      <c r="G37" s="10" t="s">
        <v>13</v>
      </c>
      <c r="H37" s="10" t="s">
        <v>52</v>
      </c>
      <c r="I37" s="10">
        <v>46.832299999999996</v>
      </c>
      <c r="J37" s="10">
        <v>-71.224699999999999</v>
      </c>
      <c r="K37" s="10">
        <v>46.774099999999997</v>
      </c>
      <c r="L37" s="10">
        <v>-71.174000000000007</v>
      </c>
      <c r="M37" s="6" t="str">
        <f t="shared" si="2"/>
        <v>C0</v>
      </c>
      <c r="N37" s="6" t="str">
        <f t="shared" si="3"/>
        <v>C36</v>
      </c>
      <c r="O37" s="5">
        <f t="shared" si="4"/>
        <v>7.5347507252974761</v>
      </c>
      <c r="P37" s="22">
        <f>O37/Explications!$C$8</f>
        <v>0.25115835750991589</v>
      </c>
      <c r="Q37" s="7" t="str">
        <f t="shared" si="5"/>
        <v>C36</v>
      </c>
      <c r="R37" s="7" t="str">
        <f t="shared" si="6"/>
        <v>C0</v>
      </c>
      <c r="S37" s="18">
        <f t="shared" si="7"/>
        <v>7.5347507252974761</v>
      </c>
      <c r="T37" s="18">
        <f>S37/Explications!$C$8</f>
        <v>0.25115835750991589</v>
      </c>
    </row>
    <row r="38" spans="1:20">
      <c r="A38" s="4" t="s">
        <v>52</v>
      </c>
      <c r="B38" s="15">
        <v>46.774099999999997</v>
      </c>
      <c r="C38" s="3">
        <v>-71.174000000000007</v>
      </c>
      <c r="D38" s="7">
        <v>1</v>
      </c>
      <c r="G38" s="10" t="s">
        <v>13</v>
      </c>
      <c r="H38" s="10" t="s">
        <v>53</v>
      </c>
      <c r="I38" s="10">
        <v>46.832299999999996</v>
      </c>
      <c r="J38" s="10">
        <v>-71.224699999999999</v>
      </c>
      <c r="K38" s="10">
        <v>46.808500000000002</v>
      </c>
      <c r="L38" s="10">
        <v>-71.326599999999999</v>
      </c>
      <c r="M38" s="6" t="str">
        <f t="shared" si="2"/>
        <v>C0</v>
      </c>
      <c r="N38" s="6" t="str">
        <f t="shared" si="3"/>
        <v>C37</v>
      </c>
      <c r="O38" s="5">
        <f t="shared" si="4"/>
        <v>8.1927032003520583</v>
      </c>
      <c r="P38" s="22">
        <f>O38/Explications!$C$8</f>
        <v>0.27309010667840194</v>
      </c>
      <c r="Q38" s="7" t="str">
        <f t="shared" si="5"/>
        <v>C37</v>
      </c>
      <c r="R38" s="7" t="str">
        <f t="shared" si="6"/>
        <v>C0</v>
      </c>
      <c r="S38" s="18">
        <f t="shared" si="7"/>
        <v>8.1927032003520583</v>
      </c>
      <c r="T38" s="18">
        <f>S38/Explications!$C$8</f>
        <v>0.27309010667840194</v>
      </c>
    </row>
    <row r="39" spans="1:20">
      <c r="A39" s="4" t="s">
        <v>53</v>
      </c>
      <c r="B39" s="15">
        <v>46.808500000000002</v>
      </c>
      <c r="C39" s="3">
        <v>-71.326599999999999</v>
      </c>
      <c r="D39" s="7">
        <v>1</v>
      </c>
      <c r="G39" s="10" t="s">
        <v>13</v>
      </c>
      <c r="H39" s="10" t="s">
        <v>54</v>
      </c>
      <c r="I39" s="10">
        <v>46.832299999999996</v>
      </c>
      <c r="J39" s="10">
        <v>-71.224699999999999</v>
      </c>
      <c r="K39" s="10">
        <v>46.797499999999999</v>
      </c>
      <c r="L39" s="10">
        <v>-71.306100000000001</v>
      </c>
      <c r="M39" s="6" t="str">
        <f t="shared" si="2"/>
        <v>C0</v>
      </c>
      <c r="N39" s="6" t="str">
        <f t="shared" si="3"/>
        <v>C38</v>
      </c>
      <c r="O39" s="5">
        <f t="shared" si="4"/>
        <v>7.3036327866874569</v>
      </c>
      <c r="P39" s="22">
        <f>O39/Explications!$C$8</f>
        <v>0.24345442622291522</v>
      </c>
      <c r="Q39" s="7" t="str">
        <f t="shared" si="5"/>
        <v>C38</v>
      </c>
      <c r="R39" s="7" t="str">
        <f t="shared" si="6"/>
        <v>C0</v>
      </c>
      <c r="S39" s="18">
        <f t="shared" si="7"/>
        <v>7.3036327866874569</v>
      </c>
      <c r="T39" s="18">
        <f>S39/Explications!$C$8</f>
        <v>0.24345442622291522</v>
      </c>
    </row>
    <row r="40" spans="1:20">
      <c r="A40" s="4" t="s">
        <v>54</v>
      </c>
      <c r="B40" s="15">
        <v>46.797499999999999</v>
      </c>
      <c r="C40" s="3">
        <v>-71.306100000000001</v>
      </c>
      <c r="D40" s="7">
        <v>1</v>
      </c>
      <c r="G40" s="10" t="s">
        <v>13</v>
      </c>
      <c r="H40" s="10" t="s">
        <v>55</v>
      </c>
      <c r="I40" s="10">
        <v>46.832299999999996</v>
      </c>
      <c r="J40" s="10">
        <v>-71.224699999999999</v>
      </c>
      <c r="K40" s="10">
        <v>46.8155</v>
      </c>
      <c r="L40" s="10">
        <v>-71.268199999999993</v>
      </c>
      <c r="M40" s="6" t="str">
        <f t="shared" si="2"/>
        <v>C0</v>
      </c>
      <c r="N40" s="6" t="str">
        <f t="shared" si="3"/>
        <v>C39</v>
      </c>
      <c r="O40" s="5">
        <f t="shared" si="4"/>
        <v>3.8004752532455592</v>
      </c>
      <c r="P40" s="22">
        <f>O40/Explications!$C$8</f>
        <v>0.12668250844151865</v>
      </c>
      <c r="Q40" s="7" t="str">
        <f t="shared" si="5"/>
        <v>C39</v>
      </c>
      <c r="R40" s="7" t="str">
        <f t="shared" si="6"/>
        <v>C0</v>
      </c>
      <c r="S40" s="18">
        <f t="shared" si="7"/>
        <v>3.8004752532455592</v>
      </c>
      <c r="T40" s="18">
        <f>S40/Explications!$C$8</f>
        <v>0.12668250844151865</v>
      </c>
    </row>
    <row r="41" spans="1:20">
      <c r="A41" s="4" t="s">
        <v>55</v>
      </c>
      <c r="B41" s="15">
        <v>46.8155</v>
      </c>
      <c r="C41" s="3">
        <v>-71.268199999999993</v>
      </c>
      <c r="D41" s="7">
        <v>1</v>
      </c>
      <c r="G41" s="10" t="s">
        <v>13</v>
      </c>
      <c r="H41" s="10" t="s">
        <v>56</v>
      </c>
      <c r="I41" s="10">
        <v>46.832299999999996</v>
      </c>
      <c r="J41" s="10">
        <v>-71.224699999999999</v>
      </c>
      <c r="K41" s="10">
        <v>46.866700000000002</v>
      </c>
      <c r="L41" s="10">
        <v>-71.215900000000005</v>
      </c>
      <c r="M41" s="6" t="str">
        <f t="shared" si="2"/>
        <v>C0</v>
      </c>
      <c r="N41" s="6" t="str">
        <f t="shared" si="3"/>
        <v>C40</v>
      </c>
      <c r="O41" s="5">
        <f t="shared" si="4"/>
        <v>3.8832063725975887</v>
      </c>
      <c r="P41" s="22">
        <f>O41/Explications!$C$8</f>
        <v>0.12944021241991963</v>
      </c>
      <c r="Q41" s="7" t="str">
        <f t="shared" si="5"/>
        <v>C40</v>
      </c>
      <c r="R41" s="7" t="str">
        <f t="shared" si="6"/>
        <v>C0</v>
      </c>
      <c r="S41" s="18">
        <f t="shared" si="7"/>
        <v>3.8832063725975887</v>
      </c>
      <c r="T41" s="18">
        <f>S41/Explications!$C$8</f>
        <v>0.12944021241991963</v>
      </c>
    </row>
    <row r="42" spans="1:20">
      <c r="A42" s="4" t="s">
        <v>56</v>
      </c>
      <c r="B42" s="15">
        <v>46.866700000000002</v>
      </c>
      <c r="C42" s="3">
        <v>-71.215900000000005</v>
      </c>
      <c r="D42" s="7">
        <v>1</v>
      </c>
      <c r="G42" s="10" t="s">
        <v>13</v>
      </c>
      <c r="H42" s="10" t="s">
        <v>57</v>
      </c>
      <c r="I42" s="10">
        <v>46.832299999999996</v>
      </c>
      <c r="J42" s="10">
        <v>-71.224699999999999</v>
      </c>
      <c r="K42" s="10">
        <v>46.762099999999997</v>
      </c>
      <c r="L42" s="10">
        <v>-71.235399999999998</v>
      </c>
      <c r="M42" s="6" t="str">
        <f t="shared" si="2"/>
        <v>C0</v>
      </c>
      <c r="N42" s="6" t="str">
        <f t="shared" si="3"/>
        <v>C41</v>
      </c>
      <c r="O42" s="5">
        <f t="shared" si="4"/>
        <v>7.8482637300536684</v>
      </c>
      <c r="P42" s="22">
        <f>O42/Explications!$C$8</f>
        <v>0.26160879100178897</v>
      </c>
      <c r="Q42" s="7" t="str">
        <f t="shared" si="5"/>
        <v>C41</v>
      </c>
      <c r="R42" s="7" t="str">
        <f t="shared" si="6"/>
        <v>C0</v>
      </c>
      <c r="S42" s="18">
        <f t="shared" si="7"/>
        <v>7.8482637300536684</v>
      </c>
      <c r="T42" s="18">
        <f>S42/Explications!$C$8</f>
        <v>0.26160879100178897</v>
      </c>
    </row>
    <row r="43" spans="1:20">
      <c r="A43" s="4" t="s">
        <v>57</v>
      </c>
      <c r="B43" s="15">
        <v>46.762099999999997</v>
      </c>
      <c r="C43" s="3">
        <v>-71.235399999999998</v>
      </c>
      <c r="D43" s="7">
        <v>1</v>
      </c>
      <c r="G43" s="10" t="s">
        <v>13</v>
      </c>
      <c r="H43" s="10" t="s">
        <v>58</v>
      </c>
      <c r="I43" s="10">
        <v>46.832299999999996</v>
      </c>
      <c r="J43" s="10">
        <v>-71.224699999999999</v>
      </c>
      <c r="K43" s="10">
        <v>46.8157</v>
      </c>
      <c r="L43" s="10">
        <v>-71.2042</v>
      </c>
      <c r="M43" s="6" t="str">
        <f t="shared" si="2"/>
        <v>C0</v>
      </c>
      <c r="N43" s="6" t="str">
        <f t="shared" si="3"/>
        <v>C42</v>
      </c>
      <c r="O43" s="5">
        <f t="shared" si="4"/>
        <v>2.4165792941172484</v>
      </c>
      <c r="P43" s="22">
        <f>O43/Explications!$C$8</f>
        <v>8.0552643137241614E-2</v>
      </c>
      <c r="Q43" s="7" t="str">
        <f t="shared" si="5"/>
        <v>C42</v>
      </c>
      <c r="R43" s="7" t="str">
        <f t="shared" si="6"/>
        <v>C0</v>
      </c>
      <c r="S43" s="18">
        <f t="shared" si="7"/>
        <v>2.4165792941172484</v>
      </c>
      <c r="T43" s="18">
        <f>S43/Explications!$C$8</f>
        <v>8.0552643137241614E-2</v>
      </c>
    </row>
    <row r="44" spans="1:20">
      <c r="A44" s="4" t="s">
        <v>58</v>
      </c>
      <c r="B44" s="15">
        <v>46.8157</v>
      </c>
      <c r="C44" s="3">
        <v>-71.2042</v>
      </c>
      <c r="D44" s="7">
        <v>1.5</v>
      </c>
      <c r="G44" s="10" t="s">
        <v>13</v>
      </c>
      <c r="H44" s="10" t="s">
        <v>59</v>
      </c>
      <c r="I44" s="10">
        <v>46.832299999999996</v>
      </c>
      <c r="J44" s="10">
        <v>-71.224699999999999</v>
      </c>
      <c r="K44" s="10">
        <v>46.707000000000001</v>
      </c>
      <c r="L44" s="10">
        <v>-71.217100000000002</v>
      </c>
      <c r="M44" s="6" t="str">
        <f t="shared" si="2"/>
        <v>C0</v>
      </c>
      <c r="N44" s="6" t="str">
        <f t="shared" si="3"/>
        <v>C43</v>
      </c>
      <c r="O44" s="5">
        <f t="shared" si="4"/>
        <v>13.944742508365726</v>
      </c>
      <c r="P44" s="22">
        <f>O44/Explications!$C$8</f>
        <v>0.46482475027885756</v>
      </c>
      <c r="Q44" s="7" t="str">
        <f t="shared" si="5"/>
        <v>C43</v>
      </c>
      <c r="R44" s="7" t="str">
        <f t="shared" si="6"/>
        <v>C0</v>
      </c>
      <c r="S44" s="18">
        <f t="shared" si="7"/>
        <v>13.944742508365726</v>
      </c>
      <c r="T44" s="18">
        <f>S44/Explications!$C$8</f>
        <v>0.46482475027885756</v>
      </c>
    </row>
    <row r="45" spans="1:20">
      <c r="A45" s="4" t="s">
        <v>59</v>
      </c>
      <c r="B45" s="15">
        <v>46.707000000000001</v>
      </c>
      <c r="C45" s="3">
        <v>-71.217100000000002</v>
      </c>
      <c r="D45" s="7">
        <v>2.5</v>
      </c>
      <c r="G45" s="10" t="s">
        <v>13</v>
      </c>
      <c r="H45" s="10" t="s">
        <v>60</v>
      </c>
      <c r="I45" s="10">
        <v>46.832299999999996</v>
      </c>
      <c r="J45" s="10">
        <v>-71.224699999999999</v>
      </c>
      <c r="K45" s="10">
        <v>46.802900000000001</v>
      </c>
      <c r="L45" s="10">
        <v>-71.228899999999996</v>
      </c>
      <c r="M45" s="6" t="str">
        <f t="shared" si="2"/>
        <v>C0</v>
      </c>
      <c r="N45" s="6" t="str">
        <f t="shared" si="3"/>
        <v>C44</v>
      </c>
      <c r="O45" s="5">
        <f t="shared" si="4"/>
        <v>3.2847154090702588</v>
      </c>
      <c r="P45" s="22">
        <f>O45/Explications!$C$8</f>
        <v>0.10949051363567529</v>
      </c>
      <c r="Q45" s="7" t="str">
        <f t="shared" si="5"/>
        <v>C44</v>
      </c>
      <c r="R45" s="7" t="str">
        <f t="shared" si="6"/>
        <v>C0</v>
      </c>
      <c r="S45" s="18">
        <f t="shared" si="7"/>
        <v>3.2847154090702588</v>
      </c>
      <c r="T45" s="18">
        <f>S45/Explications!$C$8</f>
        <v>0.10949051363567529</v>
      </c>
    </row>
    <row r="46" spans="1:20">
      <c r="A46" s="4" t="s">
        <v>60</v>
      </c>
      <c r="B46" s="15">
        <v>46.802900000000001</v>
      </c>
      <c r="C46" s="3">
        <v>-71.228899999999996</v>
      </c>
      <c r="D46" s="7">
        <v>1</v>
      </c>
      <c r="G46" s="10" t="s">
        <v>13</v>
      </c>
      <c r="H46" s="10" t="s">
        <v>61</v>
      </c>
      <c r="I46" s="10">
        <v>46.832299999999996</v>
      </c>
      <c r="J46" s="10">
        <v>-71.224699999999999</v>
      </c>
      <c r="K46" s="10">
        <v>46.796900000000001</v>
      </c>
      <c r="L46" s="10">
        <v>-71.3078</v>
      </c>
      <c r="M46" s="6" t="str">
        <f t="shared" si="2"/>
        <v>C0</v>
      </c>
      <c r="N46" s="6" t="str">
        <f t="shared" si="3"/>
        <v>C45</v>
      </c>
      <c r="O46" s="5">
        <f t="shared" si="4"/>
        <v>7.4487361271715891</v>
      </c>
      <c r="P46" s="22">
        <f>O46/Explications!$C$8</f>
        <v>0.24829120423905296</v>
      </c>
      <c r="Q46" s="7" t="str">
        <f t="shared" si="5"/>
        <v>C45</v>
      </c>
      <c r="R46" s="7" t="str">
        <f t="shared" si="6"/>
        <v>C0</v>
      </c>
      <c r="S46" s="18">
        <f t="shared" si="7"/>
        <v>7.4487361271715891</v>
      </c>
      <c r="T46" s="18">
        <f>S46/Explications!$C$8</f>
        <v>0.24829120423905296</v>
      </c>
    </row>
    <row r="47" spans="1:20">
      <c r="A47" s="4" t="s">
        <v>61</v>
      </c>
      <c r="B47" s="15">
        <v>46.796900000000001</v>
      </c>
      <c r="C47" s="3">
        <v>-71.3078</v>
      </c>
      <c r="D47" s="7">
        <v>1</v>
      </c>
      <c r="G47" s="10" t="s">
        <v>13</v>
      </c>
      <c r="H47" s="10" t="s">
        <v>62</v>
      </c>
      <c r="I47" s="10">
        <v>46.832299999999996</v>
      </c>
      <c r="J47" s="10">
        <v>-71.224699999999999</v>
      </c>
      <c r="K47" s="10">
        <v>46.803600000000003</v>
      </c>
      <c r="L47" s="10">
        <v>-71.231099999999998</v>
      </c>
      <c r="M47" s="6" t="str">
        <f t="shared" si="2"/>
        <v>C0</v>
      </c>
      <c r="N47" s="6" t="str">
        <f t="shared" si="3"/>
        <v>C46</v>
      </c>
      <c r="O47" s="5">
        <f t="shared" si="4"/>
        <v>3.2282383374286949</v>
      </c>
      <c r="P47" s="22">
        <f>O47/Explications!$C$8</f>
        <v>0.1076079445809565</v>
      </c>
      <c r="Q47" s="7" t="str">
        <f t="shared" si="5"/>
        <v>C46</v>
      </c>
      <c r="R47" s="7" t="str">
        <f t="shared" si="6"/>
        <v>C0</v>
      </c>
      <c r="S47" s="18">
        <f t="shared" si="7"/>
        <v>3.2282383374286949</v>
      </c>
      <c r="T47" s="18">
        <f>S47/Explications!$C$8</f>
        <v>0.1076079445809565</v>
      </c>
    </row>
    <row r="48" spans="1:20">
      <c r="A48" s="4" t="s">
        <v>62</v>
      </c>
      <c r="B48" s="15">
        <v>46.803600000000003</v>
      </c>
      <c r="C48" s="3">
        <v>-71.231099999999998</v>
      </c>
      <c r="D48" s="7">
        <v>1</v>
      </c>
      <c r="G48" s="10" t="s">
        <v>13</v>
      </c>
      <c r="H48" s="10" t="s">
        <v>63</v>
      </c>
      <c r="I48" s="10">
        <v>46.832299999999996</v>
      </c>
      <c r="J48" s="10">
        <v>-71.224699999999999</v>
      </c>
      <c r="K48" s="10">
        <v>46.802399999999999</v>
      </c>
      <c r="L48" s="10">
        <v>-71.269800000000004</v>
      </c>
      <c r="M48" s="6" t="str">
        <f t="shared" si="2"/>
        <v>C0</v>
      </c>
      <c r="N48" s="6" t="str">
        <f t="shared" si="3"/>
        <v>C47</v>
      </c>
      <c r="O48" s="5">
        <f t="shared" si="4"/>
        <v>4.7782025604036313</v>
      </c>
      <c r="P48" s="22">
        <f>O48/Explications!$C$8</f>
        <v>0.15927341868012104</v>
      </c>
      <c r="Q48" s="7" t="str">
        <f t="shared" si="5"/>
        <v>C47</v>
      </c>
      <c r="R48" s="7" t="str">
        <f t="shared" si="6"/>
        <v>C0</v>
      </c>
      <c r="S48" s="18">
        <f t="shared" si="7"/>
        <v>4.7782025604036313</v>
      </c>
      <c r="T48" s="18">
        <f>S48/Explications!$C$8</f>
        <v>0.15927341868012104</v>
      </c>
    </row>
    <row r="49" spans="1:20">
      <c r="A49" s="4" t="s">
        <v>63</v>
      </c>
      <c r="B49" s="15">
        <v>46.802399999999999</v>
      </c>
      <c r="C49" s="3">
        <v>-71.269800000000004</v>
      </c>
      <c r="D49" s="7">
        <v>1</v>
      </c>
      <c r="G49" s="10" t="s">
        <v>13</v>
      </c>
      <c r="H49" s="10" t="s">
        <v>64</v>
      </c>
      <c r="I49" s="10">
        <v>46.832299999999996</v>
      </c>
      <c r="J49" s="10">
        <v>-71.224699999999999</v>
      </c>
      <c r="K49" s="10">
        <v>46.826799999999999</v>
      </c>
      <c r="L49" s="10">
        <v>-71.224199999999996</v>
      </c>
      <c r="M49" s="6" t="str">
        <f t="shared" si="2"/>
        <v>C0</v>
      </c>
      <c r="N49" s="6" t="str">
        <f t="shared" si="3"/>
        <v>C48</v>
      </c>
      <c r="O49" s="5">
        <f t="shared" si="4"/>
        <v>0.61275389277469006</v>
      </c>
      <c r="P49" s="22">
        <f>O49/Explications!$C$8</f>
        <v>2.0425129759156335E-2</v>
      </c>
      <c r="Q49" s="7" t="str">
        <f t="shared" si="5"/>
        <v>C48</v>
      </c>
      <c r="R49" s="7" t="str">
        <f t="shared" si="6"/>
        <v>C0</v>
      </c>
      <c r="S49" s="18">
        <f t="shared" si="7"/>
        <v>0.61275389277469006</v>
      </c>
      <c r="T49" s="18">
        <f>S49/Explications!$C$8</f>
        <v>2.0425129759156335E-2</v>
      </c>
    </row>
    <row r="50" spans="1:20">
      <c r="A50" s="4" t="s">
        <v>64</v>
      </c>
      <c r="B50" s="15">
        <v>46.826799999999999</v>
      </c>
      <c r="C50" s="3">
        <v>-71.224199999999996</v>
      </c>
      <c r="D50" s="7">
        <v>1</v>
      </c>
      <c r="G50" s="10" t="s">
        <v>13</v>
      </c>
      <c r="H50" s="10" t="s">
        <v>65</v>
      </c>
      <c r="I50" s="10">
        <v>46.832299999999996</v>
      </c>
      <c r="J50" s="10">
        <v>-71.224699999999999</v>
      </c>
      <c r="K50" s="10">
        <v>46.864100000000001</v>
      </c>
      <c r="L50" s="10">
        <v>-71.255499999999998</v>
      </c>
      <c r="M50" s="6" t="str">
        <f t="shared" si="2"/>
        <v>C0</v>
      </c>
      <c r="N50" s="6" t="str">
        <f t="shared" si="3"/>
        <v>C49</v>
      </c>
      <c r="O50" s="5">
        <f t="shared" si="4"/>
        <v>4.2414425791281971</v>
      </c>
      <c r="P50" s="22">
        <f>O50/Explications!$C$8</f>
        <v>0.14138141930427323</v>
      </c>
      <c r="Q50" s="7" t="str">
        <f t="shared" si="5"/>
        <v>C49</v>
      </c>
      <c r="R50" s="7" t="str">
        <f t="shared" si="6"/>
        <v>C0</v>
      </c>
      <c r="S50" s="18">
        <f t="shared" si="7"/>
        <v>4.2414425791281971</v>
      </c>
      <c r="T50" s="18">
        <f>S50/Explications!$C$8</f>
        <v>0.14138141930427323</v>
      </c>
    </row>
    <row r="51" spans="1:20">
      <c r="A51" s="4" t="s">
        <v>65</v>
      </c>
      <c r="B51" s="15">
        <v>46.864100000000001</v>
      </c>
      <c r="C51" s="3">
        <v>-71.255499999999998</v>
      </c>
      <c r="D51" s="7">
        <v>1</v>
      </c>
      <c r="G51" s="10" t="s">
        <v>13</v>
      </c>
      <c r="H51" s="10" t="s">
        <v>66</v>
      </c>
      <c r="I51" s="10">
        <v>46.832299999999996</v>
      </c>
      <c r="J51" s="10">
        <v>-71.224699999999999</v>
      </c>
      <c r="K51" s="10">
        <v>46.843800000000002</v>
      </c>
      <c r="L51" s="10">
        <v>-71.247299999999996</v>
      </c>
      <c r="M51" s="6" t="str">
        <f t="shared" si="2"/>
        <v>C0</v>
      </c>
      <c r="N51" s="6" t="str">
        <f t="shared" si="3"/>
        <v>C50</v>
      </c>
      <c r="O51" s="5">
        <f t="shared" si="4"/>
        <v>2.1425044713296275</v>
      </c>
      <c r="P51" s="22">
        <f>O51/Explications!$C$8</f>
        <v>7.1416815710987583E-2</v>
      </c>
      <c r="Q51" s="7" t="str">
        <f t="shared" si="5"/>
        <v>C50</v>
      </c>
      <c r="R51" s="7" t="str">
        <f t="shared" si="6"/>
        <v>C0</v>
      </c>
      <c r="S51" s="18">
        <f t="shared" si="7"/>
        <v>2.1425044713296275</v>
      </c>
      <c r="T51" s="18">
        <f>S51/Explications!$C$8</f>
        <v>7.1416815710987583E-2</v>
      </c>
    </row>
    <row r="52" spans="1:20">
      <c r="A52" s="4" t="s">
        <v>66</v>
      </c>
      <c r="B52" s="15">
        <v>46.843800000000002</v>
      </c>
      <c r="C52" s="3">
        <v>-71.247299999999996</v>
      </c>
      <c r="D52" s="7">
        <v>1</v>
      </c>
      <c r="G52" s="10" t="s">
        <v>13</v>
      </c>
      <c r="H52" s="10" t="s">
        <v>67</v>
      </c>
      <c r="I52" s="10">
        <v>46.832299999999996</v>
      </c>
      <c r="J52" s="10">
        <v>-71.224699999999999</v>
      </c>
      <c r="K52" s="10">
        <v>46.765599999999999</v>
      </c>
      <c r="L52" s="10">
        <v>-71.312100000000001</v>
      </c>
      <c r="M52" s="6" t="str">
        <f t="shared" si="2"/>
        <v>C0</v>
      </c>
      <c r="N52" s="6" t="str">
        <f t="shared" si="3"/>
        <v>C51</v>
      </c>
      <c r="O52" s="5">
        <f t="shared" si="4"/>
        <v>9.9633302000644655</v>
      </c>
      <c r="P52" s="22">
        <f>O52/Explications!$C$8</f>
        <v>0.33211100666881549</v>
      </c>
      <c r="Q52" s="7" t="str">
        <f t="shared" si="5"/>
        <v>C51</v>
      </c>
      <c r="R52" s="7" t="str">
        <f t="shared" si="6"/>
        <v>C0</v>
      </c>
      <c r="S52" s="18">
        <f t="shared" si="7"/>
        <v>9.9633302000644655</v>
      </c>
      <c r="T52" s="18">
        <f>S52/Explications!$C$8</f>
        <v>0.33211100666881549</v>
      </c>
    </row>
    <row r="53" spans="1:20">
      <c r="A53" s="4" t="s">
        <v>67</v>
      </c>
      <c r="B53" s="15">
        <v>46.765599999999999</v>
      </c>
      <c r="C53" s="3">
        <v>-71.312100000000001</v>
      </c>
      <c r="D53" s="7">
        <v>1</v>
      </c>
      <c r="G53" s="10" t="s">
        <v>13</v>
      </c>
      <c r="H53" s="10" t="s">
        <v>68</v>
      </c>
      <c r="I53" s="10">
        <v>46.832299999999996</v>
      </c>
      <c r="J53" s="10">
        <v>-71.224699999999999</v>
      </c>
      <c r="K53" s="10">
        <v>46.787599999999998</v>
      </c>
      <c r="L53" s="10">
        <v>-71.288600000000002</v>
      </c>
      <c r="M53" s="6" t="str">
        <f t="shared" si="2"/>
        <v>C0</v>
      </c>
      <c r="N53" s="6" t="str">
        <f t="shared" si="3"/>
        <v>C52</v>
      </c>
      <c r="O53" s="5">
        <f t="shared" si="4"/>
        <v>6.9537233163554708</v>
      </c>
      <c r="P53" s="22">
        <f>O53/Explications!$C$8</f>
        <v>0.23179077721184901</v>
      </c>
      <c r="Q53" s="7" t="str">
        <f t="shared" si="5"/>
        <v>C52</v>
      </c>
      <c r="R53" s="7" t="str">
        <f t="shared" si="6"/>
        <v>C0</v>
      </c>
      <c r="S53" s="18">
        <f t="shared" si="7"/>
        <v>6.9537233163554708</v>
      </c>
      <c r="T53" s="18">
        <f>S53/Explications!$C$8</f>
        <v>0.23179077721184901</v>
      </c>
    </row>
    <row r="54" spans="1:20">
      <c r="A54" s="4" t="s">
        <v>68</v>
      </c>
      <c r="B54" s="15">
        <v>46.787599999999998</v>
      </c>
      <c r="C54" s="3">
        <v>-71.288600000000002</v>
      </c>
      <c r="D54" s="7">
        <v>1</v>
      </c>
      <c r="G54" s="10" t="s">
        <v>13</v>
      </c>
      <c r="H54" s="10" t="s">
        <v>69</v>
      </c>
      <c r="I54" s="10">
        <v>46.832299999999996</v>
      </c>
      <c r="J54" s="10">
        <v>-71.224699999999999</v>
      </c>
      <c r="K54" s="10">
        <v>46.764600000000002</v>
      </c>
      <c r="L54" s="10">
        <v>-71.308300000000003</v>
      </c>
      <c r="M54" s="6" t="str">
        <f t="shared" si="2"/>
        <v>C0</v>
      </c>
      <c r="N54" s="6" t="str">
        <f t="shared" si="3"/>
        <v>C53</v>
      </c>
      <c r="O54" s="5">
        <f t="shared" si="4"/>
        <v>9.8572508764135325</v>
      </c>
      <c r="P54" s="22">
        <f>O54/Explications!$C$8</f>
        <v>0.3285750292137844</v>
      </c>
      <c r="Q54" s="7" t="str">
        <f t="shared" si="5"/>
        <v>C53</v>
      </c>
      <c r="R54" s="7" t="str">
        <f t="shared" si="6"/>
        <v>C0</v>
      </c>
      <c r="S54" s="18">
        <f t="shared" si="7"/>
        <v>9.8572508764135325</v>
      </c>
      <c r="T54" s="18">
        <f>S54/Explications!$C$8</f>
        <v>0.3285750292137844</v>
      </c>
    </row>
    <row r="55" spans="1:20">
      <c r="A55" s="4" t="s">
        <v>69</v>
      </c>
      <c r="B55" s="15">
        <v>46.764600000000002</v>
      </c>
      <c r="C55" s="3">
        <v>-71.308300000000003</v>
      </c>
      <c r="D55" s="7">
        <v>1</v>
      </c>
      <c r="G55" s="10" t="s">
        <v>13</v>
      </c>
      <c r="H55" s="10" t="s">
        <v>70</v>
      </c>
      <c r="I55" s="10">
        <v>46.832299999999996</v>
      </c>
      <c r="J55" s="10">
        <v>-71.224699999999999</v>
      </c>
      <c r="K55" s="10">
        <v>46.849699999999999</v>
      </c>
      <c r="L55" s="10">
        <v>-71.097399999999993</v>
      </c>
      <c r="M55" s="6" t="str">
        <f t="shared" si="2"/>
        <v>C0</v>
      </c>
      <c r="N55" s="6" t="str">
        <f t="shared" si="3"/>
        <v>C54</v>
      </c>
      <c r="O55" s="5">
        <f t="shared" si="4"/>
        <v>9.8738721544175458</v>
      </c>
      <c r="P55" s="22">
        <f>O55/Explications!$C$8</f>
        <v>0.32912907181391821</v>
      </c>
      <c r="Q55" s="7" t="str">
        <f t="shared" si="5"/>
        <v>C54</v>
      </c>
      <c r="R55" s="7" t="str">
        <f t="shared" si="6"/>
        <v>C0</v>
      </c>
      <c r="S55" s="18">
        <f t="shared" si="7"/>
        <v>9.8738721544175458</v>
      </c>
      <c r="T55" s="18">
        <f>S55/Explications!$C$8</f>
        <v>0.32912907181391821</v>
      </c>
    </row>
    <row r="56" spans="1:20">
      <c r="A56" s="4" t="s">
        <v>70</v>
      </c>
      <c r="B56" s="15">
        <v>46.849699999999999</v>
      </c>
      <c r="C56" s="3">
        <v>-71.097399999999993</v>
      </c>
      <c r="D56" s="7">
        <v>1.5</v>
      </c>
      <c r="G56" s="10" t="s">
        <v>13</v>
      </c>
      <c r="H56" s="10" t="s">
        <v>71</v>
      </c>
      <c r="I56" s="10">
        <v>46.832299999999996</v>
      </c>
      <c r="J56" s="10">
        <v>-71.224699999999999</v>
      </c>
      <c r="K56" s="10">
        <v>46.788899999999998</v>
      </c>
      <c r="L56" s="10">
        <v>-71.321399999999997</v>
      </c>
      <c r="M56" s="6" t="str">
        <f t="shared" si="2"/>
        <v>C0</v>
      </c>
      <c r="N56" s="6" t="str">
        <f t="shared" si="3"/>
        <v>C55</v>
      </c>
      <c r="O56" s="5">
        <f t="shared" si="4"/>
        <v>8.8003625502525793</v>
      </c>
      <c r="P56" s="22">
        <f>O56/Explications!$C$8</f>
        <v>0.29334541834175265</v>
      </c>
      <c r="Q56" s="7" t="str">
        <f t="shared" si="5"/>
        <v>C55</v>
      </c>
      <c r="R56" s="7" t="str">
        <f t="shared" si="6"/>
        <v>C0</v>
      </c>
      <c r="S56" s="18">
        <f t="shared" si="7"/>
        <v>8.8003625502525793</v>
      </c>
      <c r="T56" s="18">
        <f>S56/Explications!$C$8</f>
        <v>0.29334541834175265</v>
      </c>
    </row>
    <row r="57" spans="1:20">
      <c r="A57" s="4" t="s">
        <v>71</v>
      </c>
      <c r="B57" s="15">
        <v>46.788899999999998</v>
      </c>
      <c r="C57" s="3">
        <v>-71.321399999999997</v>
      </c>
      <c r="D57" s="7">
        <v>1.5</v>
      </c>
      <c r="G57" s="10" t="s">
        <v>13</v>
      </c>
      <c r="H57" s="10" t="s">
        <v>72</v>
      </c>
      <c r="I57" s="10">
        <v>46.832299999999996</v>
      </c>
      <c r="J57" s="10">
        <v>-71.224699999999999</v>
      </c>
      <c r="K57" s="10">
        <v>46.795400000000001</v>
      </c>
      <c r="L57" s="10">
        <v>-71.232600000000005</v>
      </c>
      <c r="M57" s="6" t="str">
        <f t="shared" si="2"/>
        <v>C0</v>
      </c>
      <c r="N57" s="6" t="str">
        <f t="shared" si="3"/>
        <v>C56</v>
      </c>
      <c r="O57" s="5">
        <f t="shared" si="4"/>
        <v>4.1469007982634167</v>
      </c>
      <c r="P57" s="22">
        <f>O57/Explications!$C$8</f>
        <v>0.13823002660878056</v>
      </c>
      <c r="Q57" s="7" t="str">
        <f t="shared" si="5"/>
        <v>C56</v>
      </c>
      <c r="R57" s="7" t="str">
        <f t="shared" si="6"/>
        <v>C0</v>
      </c>
      <c r="S57" s="18">
        <f t="shared" si="7"/>
        <v>4.1469007982634167</v>
      </c>
      <c r="T57" s="18">
        <f>S57/Explications!$C$8</f>
        <v>0.13823002660878056</v>
      </c>
    </row>
    <row r="58" spans="1:20">
      <c r="A58" s="4" t="s">
        <v>72</v>
      </c>
      <c r="B58" s="15">
        <v>46.795400000000001</v>
      </c>
      <c r="C58" s="3">
        <v>-71.232600000000005</v>
      </c>
      <c r="D58" s="7">
        <v>1.75</v>
      </c>
      <c r="G58" s="10" t="s">
        <v>13</v>
      </c>
      <c r="H58" s="10" t="s">
        <v>73</v>
      </c>
      <c r="I58" s="10">
        <v>46.832299999999996</v>
      </c>
      <c r="J58" s="10">
        <v>-71.224699999999999</v>
      </c>
      <c r="K58" s="10">
        <v>46.801200000000001</v>
      </c>
      <c r="L58" s="10">
        <v>-71.224999999999994</v>
      </c>
      <c r="M58" s="6" t="str">
        <f t="shared" si="2"/>
        <v>C0</v>
      </c>
      <c r="N58" s="6" t="str">
        <f t="shared" si="3"/>
        <v>C57</v>
      </c>
      <c r="O58" s="5">
        <f t="shared" si="4"/>
        <v>3.4582375651043149</v>
      </c>
      <c r="P58" s="22">
        <f>O58/Explications!$C$8</f>
        <v>0.11527458550347716</v>
      </c>
      <c r="Q58" s="7" t="str">
        <f t="shared" si="5"/>
        <v>C57</v>
      </c>
      <c r="R58" s="7" t="str">
        <f t="shared" si="6"/>
        <v>C0</v>
      </c>
      <c r="S58" s="18">
        <f t="shared" si="7"/>
        <v>3.4582375651043149</v>
      </c>
      <c r="T58" s="18">
        <f>S58/Explications!$C$8</f>
        <v>0.11527458550347716</v>
      </c>
    </row>
    <row r="59" spans="1:20">
      <c r="A59" s="4" t="s">
        <v>73</v>
      </c>
      <c r="B59" s="15">
        <v>46.801200000000001</v>
      </c>
      <c r="C59" s="3">
        <v>-71.224999999999994</v>
      </c>
      <c r="D59" s="7">
        <v>1.5</v>
      </c>
      <c r="G59" s="10" t="s">
        <v>13</v>
      </c>
      <c r="H59" s="10" t="s">
        <v>74</v>
      </c>
      <c r="I59" s="10">
        <v>46.832299999999996</v>
      </c>
      <c r="J59" s="10">
        <v>-71.224699999999999</v>
      </c>
      <c r="K59" s="10">
        <v>46.773200000000003</v>
      </c>
      <c r="L59" s="10">
        <v>-71.275899999999993</v>
      </c>
      <c r="M59" s="6" t="str">
        <f t="shared" si="2"/>
        <v>C0</v>
      </c>
      <c r="N59" s="6" t="str">
        <f t="shared" si="3"/>
        <v>C58</v>
      </c>
      <c r="O59" s="5">
        <f t="shared" si="4"/>
        <v>7.640234979530339</v>
      </c>
      <c r="P59" s="22">
        <f>O59/Explications!$C$8</f>
        <v>0.25467449931767799</v>
      </c>
      <c r="Q59" s="7" t="str">
        <f t="shared" si="5"/>
        <v>C58</v>
      </c>
      <c r="R59" s="7" t="str">
        <f t="shared" si="6"/>
        <v>C0</v>
      </c>
      <c r="S59" s="18">
        <f t="shared" si="7"/>
        <v>7.640234979530339</v>
      </c>
      <c r="T59" s="18">
        <f>S59/Explications!$C$8</f>
        <v>0.25467449931767799</v>
      </c>
    </row>
    <row r="60" spans="1:20">
      <c r="A60" s="4" t="s">
        <v>74</v>
      </c>
      <c r="B60" s="15">
        <v>46.773200000000003</v>
      </c>
      <c r="C60" s="3">
        <v>-71.275899999999993</v>
      </c>
      <c r="D60" s="7">
        <v>2.5</v>
      </c>
      <c r="G60" s="10" t="s">
        <v>13</v>
      </c>
      <c r="H60" s="10" t="s">
        <v>75</v>
      </c>
      <c r="I60" s="10">
        <v>46.832299999999996</v>
      </c>
      <c r="J60" s="10">
        <v>-71.224699999999999</v>
      </c>
      <c r="K60" s="10">
        <v>46.814399999999999</v>
      </c>
      <c r="L60" s="10">
        <v>-71.225700000000003</v>
      </c>
      <c r="M60" s="6" t="str">
        <f t="shared" si="2"/>
        <v>C0</v>
      </c>
      <c r="N60" s="6" t="str">
        <f t="shared" si="3"/>
        <v>C59</v>
      </c>
      <c r="O60" s="5">
        <f t="shared" si="4"/>
        <v>1.9918428770052461</v>
      </c>
      <c r="P60" s="22">
        <f>O60/Explications!$C$8</f>
        <v>6.6394762566841542E-2</v>
      </c>
      <c r="Q60" s="7" t="str">
        <f t="shared" si="5"/>
        <v>C59</v>
      </c>
      <c r="R60" s="7" t="str">
        <f t="shared" si="6"/>
        <v>C0</v>
      </c>
      <c r="S60" s="18">
        <f t="shared" si="7"/>
        <v>1.9918428770052461</v>
      </c>
      <c r="T60" s="18">
        <f>S60/Explications!$C$8</f>
        <v>6.6394762566841542E-2</v>
      </c>
    </row>
    <row r="61" spans="1:20">
      <c r="A61" s="4" t="s">
        <v>75</v>
      </c>
      <c r="B61" s="15">
        <v>46.814399999999999</v>
      </c>
      <c r="C61" s="3">
        <v>-71.225700000000003</v>
      </c>
      <c r="D61" s="7">
        <v>1</v>
      </c>
      <c r="G61" s="10" t="s">
        <v>13</v>
      </c>
      <c r="H61" s="10" t="s">
        <v>76</v>
      </c>
      <c r="I61" s="10">
        <v>46.832299999999996</v>
      </c>
      <c r="J61" s="10">
        <v>-71.224699999999999</v>
      </c>
      <c r="K61" s="10">
        <v>46.772500000000001</v>
      </c>
      <c r="L61" s="10">
        <v>-71.276300000000006</v>
      </c>
      <c r="M61" s="6" t="str">
        <f t="shared" si="2"/>
        <v>C0</v>
      </c>
      <c r="N61" s="6" t="str">
        <f t="shared" si="3"/>
        <v>C60</v>
      </c>
      <c r="O61" s="5">
        <f t="shared" si="4"/>
        <v>7.7227389280800747</v>
      </c>
      <c r="P61" s="22">
        <f>O61/Explications!$C$8</f>
        <v>0.25742463093600249</v>
      </c>
      <c r="Q61" s="7" t="str">
        <f t="shared" si="5"/>
        <v>C60</v>
      </c>
      <c r="R61" s="7" t="str">
        <f t="shared" si="6"/>
        <v>C0</v>
      </c>
      <c r="S61" s="18">
        <f t="shared" si="7"/>
        <v>7.7227389280800747</v>
      </c>
      <c r="T61" s="18">
        <f>S61/Explications!$C$8</f>
        <v>0.25742463093600249</v>
      </c>
    </row>
    <row r="62" spans="1:20">
      <c r="A62" s="4" t="s">
        <v>76</v>
      </c>
      <c r="B62" s="15">
        <v>46.772500000000001</v>
      </c>
      <c r="C62" s="3">
        <v>-71.276300000000006</v>
      </c>
      <c r="D62" s="7">
        <v>1.5</v>
      </c>
      <c r="G62" s="10" t="s">
        <v>13</v>
      </c>
      <c r="H62" s="10" t="s">
        <v>77</v>
      </c>
      <c r="I62" s="10">
        <v>46.832299999999996</v>
      </c>
      <c r="J62" s="10">
        <v>-71.224699999999999</v>
      </c>
      <c r="K62" s="10">
        <v>46.810899999999997</v>
      </c>
      <c r="L62" s="10">
        <v>-71.215599999999995</v>
      </c>
      <c r="M62" s="6" t="str">
        <f t="shared" si="2"/>
        <v>C0</v>
      </c>
      <c r="N62" s="6" t="str">
        <f t="shared" si="3"/>
        <v>C61</v>
      </c>
      <c r="O62" s="5">
        <f t="shared" si="4"/>
        <v>2.4782602794487953</v>
      </c>
      <c r="P62" s="22">
        <f>O62/Explications!$C$8</f>
        <v>8.2608675981626509E-2</v>
      </c>
      <c r="Q62" s="7" t="str">
        <f t="shared" si="5"/>
        <v>C61</v>
      </c>
      <c r="R62" s="7" t="str">
        <f t="shared" si="6"/>
        <v>C0</v>
      </c>
      <c r="S62" s="18">
        <f t="shared" si="7"/>
        <v>2.4782602794487953</v>
      </c>
      <c r="T62" s="18">
        <f>S62/Explications!$C$8</f>
        <v>8.2608675981626509E-2</v>
      </c>
    </row>
    <row r="63" spans="1:20">
      <c r="A63" s="4" t="s">
        <v>77</v>
      </c>
      <c r="B63" s="15">
        <v>46.810899999999997</v>
      </c>
      <c r="C63" s="3">
        <v>-71.215599999999995</v>
      </c>
      <c r="D63" s="7">
        <v>1</v>
      </c>
      <c r="G63" s="10" t="s">
        <v>13</v>
      </c>
      <c r="H63" s="10" t="s">
        <v>78</v>
      </c>
      <c r="I63" s="10">
        <v>46.832299999999996</v>
      </c>
      <c r="J63" s="10">
        <v>-71.224699999999999</v>
      </c>
      <c r="K63" s="10">
        <v>46.795200000000001</v>
      </c>
      <c r="L63" s="10">
        <v>-71.245099999999994</v>
      </c>
      <c r="M63" s="6" t="str">
        <f t="shared" si="2"/>
        <v>C0</v>
      </c>
      <c r="N63" s="6" t="str">
        <f t="shared" si="3"/>
        <v>C62</v>
      </c>
      <c r="O63" s="5">
        <f t="shared" si="4"/>
        <v>4.4077602231619109</v>
      </c>
      <c r="P63" s="22">
        <f>O63/Explications!$C$8</f>
        <v>0.14692534077206371</v>
      </c>
      <c r="Q63" s="7" t="str">
        <f t="shared" si="5"/>
        <v>C62</v>
      </c>
      <c r="R63" s="7" t="str">
        <f t="shared" si="6"/>
        <v>C0</v>
      </c>
      <c r="S63" s="18">
        <f t="shared" si="7"/>
        <v>4.4077602231619109</v>
      </c>
      <c r="T63" s="18">
        <f>S63/Explications!$C$8</f>
        <v>0.14692534077206371</v>
      </c>
    </row>
    <row r="64" spans="1:20">
      <c r="A64" s="4" t="s">
        <v>78</v>
      </c>
      <c r="B64" s="15">
        <v>46.795200000000001</v>
      </c>
      <c r="C64" s="3">
        <v>-71.245099999999994</v>
      </c>
      <c r="D64" s="7">
        <v>1</v>
      </c>
      <c r="G64" s="10" t="s">
        <v>13</v>
      </c>
      <c r="H64" s="10" t="s">
        <v>79</v>
      </c>
      <c r="I64" s="10">
        <v>46.832299999999996</v>
      </c>
      <c r="J64" s="10">
        <v>-71.224699999999999</v>
      </c>
      <c r="K64" s="10">
        <v>46.822000000000003</v>
      </c>
      <c r="L64" s="10">
        <v>-71.345699999999994</v>
      </c>
      <c r="M64" s="6" t="str">
        <f t="shared" si="2"/>
        <v>C0</v>
      </c>
      <c r="N64" s="6" t="str">
        <f t="shared" si="3"/>
        <v>C63</v>
      </c>
      <c r="O64" s="5">
        <f t="shared" si="4"/>
        <v>9.2766207562924876</v>
      </c>
      <c r="P64" s="22">
        <f>O64/Explications!$C$8</f>
        <v>0.30922069187641626</v>
      </c>
      <c r="Q64" s="7" t="str">
        <f t="shared" si="5"/>
        <v>C63</v>
      </c>
      <c r="R64" s="7" t="str">
        <f t="shared" si="6"/>
        <v>C0</v>
      </c>
      <c r="S64" s="18">
        <f t="shared" si="7"/>
        <v>9.2766207562924876</v>
      </c>
      <c r="T64" s="18">
        <f>S64/Explications!$C$8</f>
        <v>0.30922069187641626</v>
      </c>
    </row>
    <row r="65" spans="1:20">
      <c r="A65" s="4" t="s">
        <v>79</v>
      </c>
      <c r="B65" s="15">
        <v>46.822000000000003</v>
      </c>
      <c r="C65" s="3">
        <v>-71.345699999999994</v>
      </c>
      <c r="D65" s="7">
        <v>1</v>
      </c>
      <c r="G65" s="10" t="s">
        <v>13</v>
      </c>
      <c r="H65" s="10" t="s">
        <v>80</v>
      </c>
      <c r="I65" s="10">
        <v>46.832299999999996</v>
      </c>
      <c r="J65" s="10">
        <v>-71.224699999999999</v>
      </c>
      <c r="K65" s="10">
        <v>46.779400000000003</v>
      </c>
      <c r="L65" s="10">
        <v>-71.350399999999993</v>
      </c>
      <c r="M65" s="6" t="str">
        <f t="shared" si="2"/>
        <v>C0</v>
      </c>
      <c r="N65" s="6" t="str">
        <f t="shared" si="3"/>
        <v>C64</v>
      </c>
      <c r="O65" s="5">
        <f t="shared" si="4"/>
        <v>11.230676886807093</v>
      </c>
      <c r="P65" s="22">
        <f>O65/Explications!$C$8</f>
        <v>0.37435589622690307</v>
      </c>
      <c r="Q65" s="7" t="str">
        <f t="shared" si="5"/>
        <v>C64</v>
      </c>
      <c r="R65" s="7" t="str">
        <f t="shared" si="6"/>
        <v>C0</v>
      </c>
      <c r="S65" s="18">
        <f t="shared" si="7"/>
        <v>11.230676886807093</v>
      </c>
      <c r="T65" s="18">
        <f>S65/Explications!$C$8</f>
        <v>0.37435589622690307</v>
      </c>
    </row>
    <row r="66" spans="1:20">
      <c r="A66" s="4" t="s">
        <v>80</v>
      </c>
      <c r="B66" s="15">
        <v>46.779400000000003</v>
      </c>
      <c r="C66" s="3">
        <v>-71.350399999999993</v>
      </c>
      <c r="D66" s="7">
        <v>1</v>
      </c>
      <c r="G66" s="10" t="s">
        <v>13</v>
      </c>
      <c r="H66" s="10" t="s">
        <v>81</v>
      </c>
      <c r="I66" s="10">
        <v>46.832299999999996</v>
      </c>
      <c r="J66" s="10">
        <v>-71.224699999999999</v>
      </c>
      <c r="K66" s="10">
        <v>46.772300000000001</v>
      </c>
      <c r="L66" s="10">
        <v>-71.279799999999994</v>
      </c>
      <c r="M66" s="6" t="str">
        <f t="shared" si="2"/>
        <v>C0</v>
      </c>
      <c r="N66" s="6" t="str">
        <f t="shared" si="3"/>
        <v>C65</v>
      </c>
      <c r="O66" s="5">
        <f t="shared" si="4"/>
        <v>7.8803919152363067</v>
      </c>
      <c r="P66" s="22">
        <f>O66/Explications!$C$8</f>
        <v>0.26267973050787691</v>
      </c>
      <c r="Q66" s="7" t="str">
        <f t="shared" si="5"/>
        <v>C65</v>
      </c>
      <c r="R66" s="7" t="str">
        <f t="shared" si="6"/>
        <v>C0</v>
      </c>
      <c r="S66" s="18">
        <f t="shared" si="7"/>
        <v>7.8803919152363067</v>
      </c>
      <c r="T66" s="18">
        <f>S66/Explications!$C$8</f>
        <v>0.26267973050787691</v>
      </c>
    </row>
    <row r="67" spans="1:20">
      <c r="A67" s="4" t="s">
        <v>81</v>
      </c>
      <c r="B67" s="15">
        <v>46.772300000000001</v>
      </c>
      <c r="C67" s="3">
        <v>-71.279799999999994</v>
      </c>
      <c r="D67" s="7">
        <v>2</v>
      </c>
      <c r="G67" s="10" t="s">
        <v>13</v>
      </c>
      <c r="H67" s="10" t="s">
        <v>82</v>
      </c>
      <c r="I67" s="10">
        <v>46.832299999999996</v>
      </c>
      <c r="J67" s="10">
        <v>-71.224699999999999</v>
      </c>
      <c r="K67" s="10">
        <v>46.814900000000002</v>
      </c>
      <c r="L67" s="10">
        <v>-71.225200000000001</v>
      </c>
      <c r="M67" s="6" t="str">
        <f t="shared" ref="M67:M130" si="8">G67</f>
        <v>C0</v>
      </c>
      <c r="N67" s="6" t="str">
        <f t="shared" ref="N67:N130" si="9">H67</f>
        <v>C66</v>
      </c>
      <c r="O67" s="5">
        <f t="shared" ref="O67:O130" si="10">ACOS(SIN(RADIANS(I67))*SIN(RADIANS(K67))+COS(RADIANS(I67))*COS(RADIANS(K67))*COS(RADIANS(J67-L67)))*6371</f>
        <v>1.9351656876975252</v>
      </c>
      <c r="P67" s="22">
        <f>O67/Explications!$C$8</f>
        <v>6.4505522923250833E-2</v>
      </c>
      <c r="Q67" s="7" t="str">
        <f t="shared" si="5"/>
        <v>C66</v>
      </c>
      <c r="R67" s="7" t="str">
        <f t="shared" si="6"/>
        <v>C0</v>
      </c>
      <c r="S67" s="18">
        <f t="shared" si="7"/>
        <v>1.9351656876975252</v>
      </c>
      <c r="T67" s="18">
        <f>S67/Explications!$C$8</f>
        <v>6.4505522923250833E-2</v>
      </c>
    </row>
    <row r="68" spans="1:20">
      <c r="A68" s="4" t="s">
        <v>82</v>
      </c>
      <c r="B68" s="15">
        <v>46.814900000000002</v>
      </c>
      <c r="C68" s="3">
        <v>-71.225200000000001</v>
      </c>
      <c r="D68" s="7">
        <v>1</v>
      </c>
      <c r="G68" s="10" t="s">
        <v>13</v>
      </c>
      <c r="H68" s="10" t="s">
        <v>83</v>
      </c>
      <c r="I68" s="10">
        <v>46.832299999999996</v>
      </c>
      <c r="J68" s="10">
        <v>-71.224699999999999</v>
      </c>
      <c r="K68" s="10">
        <v>46.814700000000002</v>
      </c>
      <c r="L68" s="10">
        <v>-71.207300000000004</v>
      </c>
      <c r="M68" s="6" t="str">
        <f t="shared" si="8"/>
        <v>C0</v>
      </c>
      <c r="N68" s="6" t="str">
        <f t="shared" si="9"/>
        <v>C67</v>
      </c>
      <c r="O68" s="5">
        <f t="shared" si="10"/>
        <v>2.3627570159833713</v>
      </c>
      <c r="P68" s="22">
        <f>O68/Explications!$C$8</f>
        <v>7.8758567199445711E-2</v>
      </c>
      <c r="Q68" s="7" t="str">
        <f t="shared" ref="Q68:Q131" si="11">N68</f>
        <v>C67</v>
      </c>
      <c r="R68" s="7" t="str">
        <f t="shared" ref="R68:R131" si="12">M68</f>
        <v>C0</v>
      </c>
      <c r="S68" s="18">
        <f t="shared" ref="S68:S131" si="13">O68</f>
        <v>2.3627570159833713</v>
      </c>
      <c r="T68" s="18">
        <f>S68/Explications!$C$8</f>
        <v>7.8758567199445711E-2</v>
      </c>
    </row>
    <row r="69" spans="1:20">
      <c r="A69" s="4" t="s">
        <v>83</v>
      </c>
      <c r="B69" s="15">
        <v>46.814700000000002</v>
      </c>
      <c r="C69" s="3">
        <v>-71.207300000000004</v>
      </c>
      <c r="D69" s="7">
        <v>1.5</v>
      </c>
      <c r="G69" s="10" t="s">
        <v>13</v>
      </c>
      <c r="H69" s="10" t="s">
        <v>84</v>
      </c>
      <c r="I69" s="10">
        <v>46.832299999999996</v>
      </c>
      <c r="J69" s="10">
        <v>-71.224699999999999</v>
      </c>
      <c r="K69" s="10">
        <v>46.815600000000003</v>
      </c>
      <c r="L69" s="10">
        <v>-71.2029</v>
      </c>
      <c r="M69" s="6" t="str">
        <f t="shared" si="8"/>
        <v>C0</v>
      </c>
      <c r="N69" s="6" t="str">
        <f t="shared" si="9"/>
        <v>C68</v>
      </c>
      <c r="O69" s="5">
        <f t="shared" si="10"/>
        <v>2.4898514409621502</v>
      </c>
      <c r="P69" s="22">
        <f>O69/Explications!$C$8</f>
        <v>8.2995048032071667E-2</v>
      </c>
      <c r="Q69" s="7" t="str">
        <f t="shared" si="11"/>
        <v>C68</v>
      </c>
      <c r="R69" s="7" t="str">
        <f t="shared" si="12"/>
        <v>C0</v>
      </c>
      <c r="S69" s="18">
        <f t="shared" si="13"/>
        <v>2.4898514409621502</v>
      </c>
      <c r="T69" s="18">
        <f>S69/Explications!$C$8</f>
        <v>8.2995048032071667E-2</v>
      </c>
    </row>
    <row r="70" spans="1:20">
      <c r="A70" s="4" t="s">
        <v>84</v>
      </c>
      <c r="B70" s="15">
        <v>46.815600000000003</v>
      </c>
      <c r="C70" s="3">
        <v>-71.2029</v>
      </c>
      <c r="D70" s="7">
        <v>1.25</v>
      </c>
      <c r="G70" s="10" t="s">
        <v>13</v>
      </c>
      <c r="H70" s="10" t="s">
        <v>85</v>
      </c>
      <c r="I70" s="10">
        <v>46.832299999999996</v>
      </c>
      <c r="J70" s="10">
        <v>-71.224699999999999</v>
      </c>
      <c r="K70" s="10">
        <v>46.821899999999999</v>
      </c>
      <c r="L70" s="10">
        <v>-71.249899999999997</v>
      </c>
      <c r="M70" s="6" t="str">
        <f t="shared" si="8"/>
        <v>C0</v>
      </c>
      <c r="N70" s="6" t="str">
        <f t="shared" si="9"/>
        <v>C69</v>
      </c>
      <c r="O70" s="5">
        <f t="shared" si="10"/>
        <v>2.2389782190119294</v>
      </c>
      <c r="P70" s="22">
        <f>O70/Explications!$C$8</f>
        <v>7.4632607300397641E-2</v>
      </c>
      <c r="Q70" s="7" t="str">
        <f t="shared" si="11"/>
        <v>C69</v>
      </c>
      <c r="R70" s="7" t="str">
        <f t="shared" si="12"/>
        <v>C0</v>
      </c>
      <c r="S70" s="18">
        <f t="shared" si="13"/>
        <v>2.2389782190119294</v>
      </c>
      <c r="T70" s="18">
        <f>S70/Explications!$C$8</f>
        <v>7.4632607300397641E-2</v>
      </c>
    </row>
    <row r="71" spans="1:20">
      <c r="A71" s="4" t="s">
        <v>85</v>
      </c>
      <c r="B71" s="15">
        <v>46.821899999999999</v>
      </c>
      <c r="C71" s="3">
        <v>-71.249899999999997</v>
      </c>
      <c r="D71" s="7">
        <v>1.5</v>
      </c>
      <c r="G71" s="10" t="s">
        <v>13</v>
      </c>
      <c r="H71" s="10" t="s">
        <v>86</v>
      </c>
      <c r="I71" s="10">
        <v>46.832299999999996</v>
      </c>
      <c r="J71" s="10">
        <v>-71.224699999999999</v>
      </c>
      <c r="K71" s="10">
        <v>46.8872</v>
      </c>
      <c r="L71" s="10">
        <v>-71.27</v>
      </c>
      <c r="M71" s="6" t="str">
        <f t="shared" si="8"/>
        <v>C0</v>
      </c>
      <c r="N71" s="6" t="str">
        <f t="shared" si="9"/>
        <v>C70</v>
      </c>
      <c r="O71" s="5">
        <f t="shared" si="10"/>
        <v>7.0092444367949636</v>
      </c>
      <c r="P71" s="22">
        <f>O71/Explications!$C$8</f>
        <v>0.23364148122649878</v>
      </c>
      <c r="Q71" s="7" t="str">
        <f t="shared" si="11"/>
        <v>C70</v>
      </c>
      <c r="R71" s="7" t="str">
        <f t="shared" si="12"/>
        <v>C0</v>
      </c>
      <c r="S71" s="18">
        <f t="shared" si="13"/>
        <v>7.0092444367949636</v>
      </c>
      <c r="T71" s="18">
        <f>S71/Explications!$C$8</f>
        <v>0.23364148122649878</v>
      </c>
    </row>
    <row r="72" spans="1:20">
      <c r="A72" s="4" t="s">
        <v>86</v>
      </c>
      <c r="B72" s="15">
        <v>46.8872</v>
      </c>
      <c r="C72" s="3">
        <v>-71.27</v>
      </c>
      <c r="D72" s="7">
        <v>1</v>
      </c>
      <c r="G72" s="10" t="s">
        <v>13</v>
      </c>
      <c r="H72" s="10" t="s">
        <v>87</v>
      </c>
      <c r="I72" s="10">
        <v>46.832299999999996</v>
      </c>
      <c r="J72" s="10">
        <v>-71.224699999999999</v>
      </c>
      <c r="K72" s="10">
        <v>46.816299999999998</v>
      </c>
      <c r="L72" s="10">
        <v>-71.210300000000004</v>
      </c>
      <c r="M72" s="6" t="str">
        <f t="shared" si="8"/>
        <v>C0</v>
      </c>
      <c r="N72" s="6" t="str">
        <f t="shared" si="9"/>
        <v>C71</v>
      </c>
      <c r="O72" s="5">
        <f t="shared" si="10"/>
        <v>2.0894059488883041</v>
      </c>
      <c r="P72" s="22">
        <f>O72/Explications!$C$8</f>
        <v>6.9646864962943464E-2</v>
      </c>
      <c r="Q72" s="7" t="str">
        <f t="shared" si="11"/>
        <v>C71</v>
      </c>
      <c r="R72" s="7" t="str">
        <f t="shared" si="12"/>
        <v>C0</v>
      </c>
      <c r="S72" s="18">
        <f t="shared" si="13"/>
        <v>2.0894059488883041</v>
      </c>
      <c r="T72" s="18">
        <f>S72/Explications!$C$8</f>
        <v>6.9646864962943464E-2</v>
      </c>
    </row>
    <row r="73" spans="1:20">
      <c r="A73" s="4" t="s">
        <v>87</v>
      </c>
      <c r="B73" s="15">
        <v>46.816299999999998</v>
      </c>
      <c r="C73" s="3">
        <v>-71.210300000000004</v>
      </c>
      <c r="D73" s="7">
        <v>1.5</v>
      </c>
      <c r="G73" s="10" t="s">
        <v>13</v>
      </c>
      <c r="H73" s="10" t="s">
        <v>88</v>
      </c>
      <c r="I73" s="10">
        <v>46.832299999999996</v>
      </c>
      <c r="J73" s="10">
        <v>-71.224699999999999</v>
      </c>
      <c r="K73" s="10">
        <v>46.807000000000002</v>
      </c>
      <c r="L73" s="10">
        <v>-71.3566</v>
      </c>
      <c r="M73" s="6" t="str">
        <f t="shared" si="8"/>
        <v>C0</v>
      </c>
      <c r="N73" s="6" t="str">
        <f t="shared" si="9"/>
        <v>C72</v>
      </c>
      <c r="O73" s="5">
        <f t="shared" si="10"/>
        <v>10.423144151623809</v>
      </c>
      <c r="P73" s="22">
        <f>O73/Explications!$C$8</f>
        <v>0.34743813838746029</v>
      </c>
      <c r="Q73" s="7" t="str">
        <f t="shared" si="11"/>
        <v>C72</v>
      </c>
      <c r="R73" s="7" t="str">
        <f t="shared" si="12"/>
        <v>C0</v>
      </c>
      <c r="S73" s="18">
        <f t="shared" si="13"/>
        <v>10.423144151623809</v>
      </c>
      <c r="T73" s="18">
        <f>S73/Explications!$C$8</f>
        <v>0.34743813838746029</v>
      </c>
    </row>
    <row r="74" spans="1:20">
      <c r="A74" s="4" t="s">
        <v>88</v>
      </c>
      <c r="B74" s="15">
        <v>46.807000000000002</v>
      </c>
      <c r="C74" s="3">
        <v>-71.3566</v>
      </c>
      <c r="D74" s="7">
        <v>1.5</v>
      </c>
      <c r="G74" s="10" t="s">
        <v>13</v>
      </c>
      <c r="H74" s="10" t="s">
        <v>89</v>
      </c>
      <c r="I74" s="10">
        <v>46.832299999999996</v>
      </c>
      <c r="J74" s="10">
        <v>-71.224699999999999</v>
      </c>
      <c r="K74" s="10">
        <v>46.822899999999997</v>
      </c>
      <c r="L74" s="10">
        <v>-71.341899999999995</v>
      </c>
      <c r="M74" s="6" t="str">
        <f t="shared" si="8"/>
        <v>C0</v>
      </c>
      <c r="N74" s="6" t="str">
        <f t="shared" si="9"/>
        <v>C73</v>
      </c>
      <c r="O74" s="5">
        <f t="shared" si="10"/>
        <v>8.9775254174011128</v>
      </c>
      <c r="P74" s="22">
        <f>O74/Explications!$C$8</f>
        <v>0.29925084724670376</v>
      </c>
      <c r="Q74" s="7" t="str">
        <f t="shared" si="11"/>
        <v>C73</v>
      </c>
      <c r="R74" s="7" t="str">
        <f t="shared" si="12"/>
        <v>C0</v>
      </c>
      <c r="S74" s="18">
        <f t="shared" si="13"/>
        <v>8.9775254174011128</v>
      </c>
      <c r="T74" s="18">
        <f>S74/Explications!$C$8</f>
        <v>0.29925084724670376</v>
      </c>
    </row>
    <row r="75" spans="1:20">
      <c r="A75" s="4" t="s">
        <v>89</v>
      </c>
      <c r="B75" s="15">
        <v>46.822899999999997</v>
      </c>
      <c r="C75" s="3">
        <v>-71.341899999999995</v>
      </c>
      <c r="D75" s="7">
        <v>1.5</v>
      </c>
      <c r="G75" s="10" t="s">
        <v>13</v>
      </c>
      <c r="H75" s="10" t="s">
        <v>90</v>
      </c>
      <c r="I75" s="10">
        <v>46.832299999999996</v>
      </c>
      <c r="J75" s="10">
        <v>-71.224699999999999</v>
      </c>
      <c r="K75" s="10">
        <v>46.730699999999999</v>
      </c>
      <c r="L75" s="10">
        <v>-71.261099999999999</v>
      </c>
      <c r="M75" s="6" t="str">
        <f t="shared" si="8"/>
        <v>C0</v>
      </c>
      <c r="N75" s="6" t="str">
        <f t="shared" si="9"/>
        <v>C74</v>
      </c>
      <c r="O75" s="5">
        <f t="shared" si="10"/>
        <v>11.632429023565431</v>
      </c>
      <c r="P75" s="22">
        <f>O75/Explications!$C$8</f>
        <v>0.38774763411884766</v>
      </c>
      <c r="Q75" s="7" t="str">
        <f t="shared" si="11"/>
        <v>C74</v>
      </c>
      <c r="R75" s="7" t="str">
        <f t="shared" si="12"/>
        <v>C0</v>
      </c>
      <c r="S75" s="18">
        <f t="shared" si="13"/>
        <v>11.632429023565431</v>
      </c>
      <c r="T75" s="18">
        <f>S75/Explications!$C$8</f>
        <v>0.38774763411884766</v>
      </c>
    </row>
    <row r="76" spans="1:20">
      <c r="A76" s="4" t="s">
        <v>90</v>
      </c>
      <c r="B76" s="15">
        <v>46.730699999999999</v>
      </c>
      <c r="C76" s="3">
        <v>-71.261099999999999</v>
      </c>
      <c r="D76" s="7">
        <v>1</v>
      </c>
      <c r="G76" s="10" t="s">
        <v>13</v>
      </c>
      <c r="H76" s="10" t="s">
        <v>91</v>
      </c>
      <c r="I76" s="10">
        <v>46.832299999999996</v>
      </c>
      <c r="J76" s="10">
        <v>-71.224699999999999</v>
      </c>
      <c r="K76" s="10">
        <v>46.840600000000002</v>
      </c>
      <c r="L76" s="10">
        <v>-71.289100000000005</v>
      </c>
      <c r="M76" s="6" t="str">
        <f t="shared" si="8"/>
        <v>C0</v>
      </c>
      <c r="N76" s="6" t="str">
        <f t="shared" si="9"/>
        <v>C75</v>
      </c>
      <c r="O76" s="5">
        <f t="shared" si="10"/>
        <v>4.9848690663414912</v>
      </c>
      <c r="P76" s="22">
        <f>O76/Explications!$C$8</f>
        <v>0.16616230221138303</v>
      </c>
      <c r="Q76" s="7" t="str">
        <f t="shared" si="11"/>
        <v>C75</v>
      </c>
      <c r="R76" s="7" t="str">
        <f t="shared" si="12"/>
        <v>C0</v>
      </c>
      <c r="S76" s="18">
        <f t="shared" si="13"/>
        <v>4.9848690663414912</v>
      </c>
      <c r="T76" s="18">
        <f>S76/Explications!$C$8</f>
        <v>0.16616230221138303</v>
      </c>
    </row>
    <row r="77" spans="1:20">
      <c r="A77" s="4" t="s">
        <v>91</v>
      </c>
      <c r="B77" s="15">
        <v>46.840600000000002</v>
      </c>
      <c r="C77" s="3">
        <v>-71.289100000000005</v>
      </c>
      <c r="D77" s="7">
        <v>1</v>
      </c>
      <c r="G77" s="10" t="s">
        <v>13</v>
      </c>
      <c r="H77" s="10" t="s">
        <v>92</v>
      </c>
      <c r="I77" s="10">
        <v>46.832299999999996</v>
      </c>
      <c r="J77" s="10">
        <v>-71.224699999999999</v>
      </c>
      <c r="K77" s="10">
        <v>46.840600000000002</v>
      </c>
      <c r="L77" s="10">
        <v>-71.281599999999997</v>
      </c>
      <c r="M77" s="6" t="str">
        <f t="shared" si="8"/>
        <v>C0</v>
      </c>
      <c r="N77" s="6" t="str">
        <f t="shared" si="9"/>
        <v>C76</v>
      </c>
      <c r="O77" s="5">
        <f t="shared" si="10"/>
        <v>4.4254935189919351</v>
      </c>
      <c r="P77" s="22">
        <f>O77/Explications!$C$8</f>
        <v>0.14751645063306451</v>
      </c>
      <c r="Q77" s="7" t="str">
        <f t="shared" si="11"/>
        <v>C76</v>
      </c>
      <c r="R77" s="7" t="str">
        <f t="shared" si="12"/>
        <v>C0</v>
      </c>
      <c r="S77" s="18">
        <f t="shared" si="13"/>
        <v>4.4254935189919351</v>
      </c>
      <c r="T77" s="18">
        <f>S77/Explications!$C$8</f>
        <v>0.14751645063306451</v>
      </c>
    </row>
    <row r="78" spans="1:20">
      <c r="A78" s="4" t="s">
        <v>92</v>
      </c>
      <c r="B78" s="15">
        <v>46.840600000000002</v>
      </c>
      <c r="C78" s="3">
        <v>-71.281599999999997</v>
      </c>
      <c r="D78" s="7">
        <v>1</v>
      </c>
      <c r="G78" s="10" t="s">
        <v>13</v>
      </c>
      <c r="H78" s="10" t="s">
        <v>93</v>
      </c>
      <c r="I78" s="10">
        <v>46.832299999999996</v>
      </c>
      <c r="J78" s="10">
        <v>-71.224699999999999</v>
      </c>
      <c r="K78" s="10">
        <v>46.839399999999998</v>
      </c>
      <c r="L78" s="10">
        <v>-71.282600000000002</v>
      </c>
      <c r="M78" s="6" t="str">
        <f t="shared" si="8"/>
        <v>C0</v>
      </c>
      <c r="N78" s="6" t="str">
        <f t="shared" si="9"/>
        <v>C77</v>
      </c>
      <c r="O78" s="5">
        <f t="shared" si="10"/>
        <v>4.4745034045321255</v>
      </c>
      <c r="P78" s="22">
        <f>O78/Explications!$C$8</f>
        <v>0.14915011348440418</v>
      </c>
      <c r="Q78" s="7" t="str">
        <f t="shared" si="11"/>
        <v>C77</v>
      </c>
      <c r="R78" s="7" t="str">
        <f t="shared" si="12"/>
        <v>C0</v>
      </c>
      <c r="S78" s="18">
        <f t="shared" si="13"/>
        <v>4.4745034045321255</v>
      </c>
      <c r="T78" s="18">
        <f>S78/Explications!$C$8</f>
        <v>0.14915011348440418</v>
      </c>
    </row>
    <row r="79" spans="1:20">
      <c r="A79" s="4" t="s">
        <v>93</v>
      </c>
      <c r="B79" s="15">
        <v>46.839399999999998</v>
      </c>
      <c r="C79" s="3">
        <v>-71.282600000000002</v>
      </c>
      <c r="D79" s="7">
        <v>1</v>
      </c>
      <c r="G79" s="10" t="s">
        <v>13</v>
      </c>
      <c r="H79" s="10" t="s">
        <v>94</v>
      </c>
      <c r="I79" s="10">
        <v>46.832299999999996</v>
      </c>
      <c r="J79" s="10">
        <v>-71.224699999999999</v>
      </c>
      <c r="K79" s="10">
        <v>46.788499999999999</v>
      </c>
      <c r="L79" s="10">
        <v>-71.282399999999996</v>
      </c>
      <c r="M79" s="6" t="str">
        <f t="shared" si="8"/>
        <v>C0</v>
      </c>
      <c r="N79" s="6" t="str">
        <f t="shared" si="9"/>
        <v>C78</v>
      </c>
      <c r="O79" s="5">
        <f t="shared" si="10"/>
        <v>6.5576330600979507</v>
      </c>
      <c r="P79" s="22">
        <f>O79/Explications!$C$8</f>
        <v>0.21858776866993168</v>
      </c>
      <c r="Q79" s="7" t="str">
        <f t="shared" si="11"/>
        <v>C78</v>
      </c>
      <c r="R79" s="7" t="str">
        <f t="shared" si="12"/>
        <v>C0</v>
      </c>
      <c r="S79" s="18">
        <f t="shared" si="13"/>
        <v>6.5576330600979507</v>
      </c>
      <c r="T79" s="18">
        <f>S79/Explications!$C$8</f>
        <v>0.21858776866993168</v>
      </c>
    </row>
    <row r="80" spans="1:20">
      <c r="A80" s="4" t="s">
        <v>94</v>
      </c>
      <c r="B80" s="15">
        <v>46.788499999999999</v>
      </c>
      <c r="C80" s="3">
        <v>-71.282399999999996</v>
      </c>
      <c r="D80" s="7">
        <v>1</v>
      </c>
      <c r="G80" s="10" t="s">
        <v>13</v>
      </c>
      <c r="H80" s="10" t="s">
        <v>95</v>
      </c>
      <c r="I80" s="10">
        <v>46.832299999999996</v>
      </c>
      <c r="J80" s="10">
        <v>-71.224699999999999</v>
      </c>
      <c r="K80" s="10">
        <v>46.840699999999998</v>
      </c>
      <c r="L80" s="10">
        <v>-71.325400000000002</v>
      </c>
      <c r="M80" s="6" t="str">
        <f t="shared" si="8"/>
        <v>C0</v>
      </c>
      <c r="N80" s="6" t="str">
        <f t="shared" si="9"/>
        <v>C79</v>
      </c>
      <c r="O80" s="5">
        <f t="shared" si="10"/>
        <v>7.7166347365204526</v>
      </c>
      <c r="P80" s="22">
        <f>O80/Explications!$C$8</f>
        <v>0.25722115788401506</v>
      </c>
      <c r="Q80" s="7" t="str">
        <f t="shared" si="11"/>
        <v>C79</v>
      </c>
      <c r="R80" s="7" t="str">
        <f t="shared" si="12"/>
        <v>C0</v>
      </c>
      <c r="S80" s="18">
        <f t="shared" si="13"/>
        <v>7.7166347365204526</v>
      </c>
      <c r="T80" s="18">
        <f>S80/Explications!$C$8</f>
        <v>0.25722115788401506</v>
      </c>
    </row>
    <row r="81" spans="1:20">
      <c r="A81" s="4" t="s">
        <v>95</v>
      </c>
      <c r="B81" s="15">
        <v>46.840699999999998</v>
      </c>
      <c r="C81" s="3">
        <v>-71.325400000000002</v>
      </c>
      <c r="D81" s="7">
        <v>1.5</v>
      </c>
      <c r="G81" s="10" t="s">
        <v>13</v>
      </c>
      <c r="H81" s="10" t="s">
        <v>96</v>
      </c>
      <c r="I81" s="10">
        <v>46.832299999999996</v>
      </c>
      <c r="J81" s="10">
        <v>-71.224699999999999</v>
      </c>
      <c r="K81" s="10">
        <v>46.798400000000001</v>
      </c>
      <c r="L81" s="10">
        <v>-71.183199999999999</v>
      </c>
      <c r="M81" s="6" t="str">
        <f t="shared" si="8"/>
        <v>C0</v>
      </c>
      <c r="N81" s="6" t="str">
        <f t="shared" si="9"/>
        <v>C80</v>
      </c>
      <c r="O81" s="5">
        <f t="shared" si="10"/>
        <v>4.9175368955878929</v>
      </c>
      <c r="P81" s="22">
        <f>O81/Explications!$C$8</f>
        <v>0.16391789651959643</v>
      </c>
      <c r="Q81" s="7" t="str">
        <f t="shared" si="11"/>
        <v>C80</v>
      </c>
      <c r="R81" s="7" t="str">
        <f t="shared" si="12"/>
        <v>C0</v>
      </c>
      <c r="S81" s="18">
        <f t="shared" si="13"/>
        <v>4.9175368955878929</v>
      </c>
      <c r="T81" s="18">
        <f>S81/Explications!$C$8</f>
        <v>0.16391789651959643</v>
      </c>
    </row>
    <row r="82" spans="1:20">
      <c r="A82" s="4" t="s">
        <v>96</v>
      </c>
      <c r="B82" s="15">
        <v>46.798400000000001</v>
      </c>
      <c r="C82" s="3">
        <v>-71.183199999999999</v>
      </c>
      <c r="D82" s="7">
        <v>1</v>
      </c>
      <c r="G82" s="10" t="s">
        <v>13</v>
      </c>
      <c r="H82" s="10" t="s">
        <v>97</v>
      </c>
      <c r="I82" s="10">
        <v>46.832299999999996</v>
      </c>
      <c r="J82" s="10">
        <v>-71.224699999999999</v>
      </c>
      <c r="K82" s="10">
        <v>46.724800000000002</v>
      </c>
      <c r="L82" s="10">
        <v>-71.2988</v>
      </c>
      <c r="M82" s="6" t="str">
        <f t="shared" si="8"/>
        <v>C0</v>
      </c>
      <c r="N82" s="6" t="str">
        <f t="shared" si="9"/>
        <v>C81</v>
      </c>
      <c r="O82" s="5">
        <f t="shared" si="10"/>
        <v>13.218321252861893</v>
      </c>
      <c r="P82" s="22">
        <f>O82/Explications!$C$8</f>
        <v>0.44061070842872974</v>
      </c>
      <c r="Q82" s="7" t="str">
        <f t="shared" si="11"/>
        <v>C81</v>
      </c>
      <c r="R82" s="7" t="str">
        <f t="shared" si="12"/>
        <v>C0</v>
      </c>
      <c r="S82" s="18">
        <f t="shared" si="13"/>
        <v>13.218321252861893</v>
      </c>
      <c r="T82" s="18">
        <f>S82/Explications!$C$8</f>
        <v>0.44061070842872974</v>
      </c>
    </row>
    <row r="83" spans="1:20">
      <c r="A83" s="4" t="s">
        <v>97</v>
      </c>
      <c r="B83" s="15">
        <v>46.724800000000002</v>
      </c>
      <c r="C83" s="3">
        <v>-71.2988</v>
      </c>
      <c r="D83" s="7">
        <v>1.25</v>
      </c>
      <c r="G83" s="10" t="s">
        <v>13</v>
      </c>
      <c r="H83" s="10" t="s">
        <v>98</v>
      </c>
      <c r="I83" s="10">
        <v>46.832299999999996</v>
      </c>
      <c r="J83" s="10">
        <v>-71.224699999999999</v>
      </c>
      <c r="K83" s="10">
        <v>46.795499999999997</v>
      </c>
      <c r="L83" s="10">
        <v>-71.242900000000006</v>
      </c>
      <c r="M83" s="6" t="str">
        <f t="shared" si="8"/>
        <v>C0</v>
      </c>
      <c r="N83" s="6" t="str">
        <f t="shared" si="9"/>
        <v>C82</v>
      </c>
      <c r="O83" s="5">
        <f t="shared" si="10"/>
        <v>4.3200057742002631</v>
      </c>
      <c r="P83" s="22">
        <f>O83/Explications!$C$8</f>
        <v>0.14400019247334211</v>
      </c>
      <c r="Q83" s="7" t="str">
        <f t="shared" si="11"/>
        <v>C82</v>
      </c>
      <c r="R83" s="7" t="str">
        <f t="shared" si="12"/>
        <v>C0</v>
      </c>
      <c r="S83" s="18">
        <f t="shared" si="13"/>
        <v>4.3200057742002631</v>
      </c>
      <c r="T83" s="18">
        <f>S83/Explications!$C$8</f>
        <v>0.14400019247334211</v>
      </c>
    </row>
    <row r="84" spans="1:20">
      <c r="A84" s="4" t="s">
        <v>98</v>
      </c>
      <c r="B84" s="15">
        <v>46.795499999999997</v>
      </c>
      <c r="C84" s="3">
        <v>-71.242900000000006</v>
      </c>
      <c r="D84" s="7">
        <v>1.5</v>
      </c>
      <c r="G84" s="10" t="s">
        <v>13</v>
      </c>
      <c r="H84" s="10" t="s">
        <v>99</v>
      </c>
      <c r="I84" s="10">
        <v>46.832299999999996</v>
      </c>
      <c r="J84" s="10">
        <v>-71.224699999999999</v>
      </c>
      <c r="K84" s="10">
        <v>46.8157</v>
      </c>
      <c r="L84" s="10">
        <v>-71.201899999999995</v>
      </c>
      <c r="M84" s="6" t="str">
        <f t="shared" si="8"/>
        <v>C0</v>
      </c>
      <c r="N84" s="6" t="str">
        <f t="shared" si="9"/>
        <v>C83</v>
      </c>
      <c r="O84" s="5">
        <f t="shared" si="10"/>
        <v>2.5330540214240935</v>
      </c>
      <c r="P84" s="22">
        <f>O84/Explications!$C$8</f>
        <v>8.4435134047469787E-2</v>
      </c>
      <c r="Q84" s="7" t="str">
        <f t="shared" si="11"/>
        <v>C83</v>
      </c>
      <c r="R84" s="7" t="str">
        <f t="shared" si="12"/>
        <v>C0</v>
      </c>
      <c r="S84" s="18">
        <f t="shared" si="13"/>
        <v>2.5330540214240935</v>
      </c>
      <c r="T84" s="18">
        <f>S84/Explications!$C$8</f>
        <v>8.4435134047469787E-2</v>
      </c>
    </row>
    <row r="85" spans="1:20">
      <c r="A85" s="4" t="s">
        <v>99</v>
      </c>
      <c r="B85" s="15">
        <v>46.8157</v>
      </c>
      <c r="C85" s="3">
        <v>-71.201899999999995</v>
      </c>
      <c r="D85" s="7">
        <v>1.25</v>
      </c>
      <c r="G85" s="10" t="s">
        <v>13</v>
      </c>
      <c r="H85" s="10" t="s">
        <v>100</v>
      </c>
      <c r="I85" s="10">
        <v>46.832299999999996</v>
      </c>
      <c r="J85" s="10">
        <v>-71.224699999999999</v>
      </c>
      <c r="K85" s="10">
        <v>46.837600000000002</v>
      </c>
      <c r="L85" s="10">
        <v>-71.196299999999994</v>
      </c>
      <c r="M85" s="6" t="str">
        <f t="shared" si="8"/>
        <v>C0</v>
      </c>
      <c r="N85" s="6" t="str">
        <f t="shared" si="9"/>
        <v>C84</v>
      </c>
      <c r="O85" s="5">
        <f t="shared" si="10"/>
        <v>2.2392925298770123</v>
      </c>
      <c r="P85" s="22">
        <f>O85/Explications!$C$8</f>
        <v>7.464308432923375E-2</v>
      </c>
      <c r="Q85" s="7" t="str">
        <f t="shared" si="11"/>
        <v>C84</v>
      </c>
      <c r="R85" s="7" t="str">
        <f t="shared" si="12"/>
        <v>C0</v>
      </c>
      <c r="S85" s="18">
        <f t="shared" si="13"/>
        <v>2.2392925298770123</v>
      </c>
      <c r="T85" s="18">
        <f>S85/Explications!$C$8</f>
        <v>7.464308432923375E-2</v>
      </c>
    </row>
    <row r="86" spans="1:20">
      <c r="A86" s="4" t="s">
        <v>100</v>
      </c>
      <c r="B86" s="15">
        <v>46.837600000000002</v>
      </c>
      <c r="C86" s="3">
        <v>-71.196299999999994</v>
      </c>
      <c r="D86" s="7">
        <v>1.5</v>
      </c>
      <c r="G86" s="10" t="s">
        <v>13</v>
      </c>
      <c r="H86" s="10" t="s">
        <v>101</v>
      </c>
      <c r="I86" s="10">
        <v>46.832299999999996</v>
      </c>
      <c r="J86" s="10">
        <v>-71.224699999999999</v>
      </c>
      <c r="K86" s="10">
        <v>46.7988</v>
      </c>
      <c r="L86" s="10">
        <v>-71.318200000000004</v>
      </c>
      <c r="M86" s="6" t="str">
        <f t="shared" si="8"/>
        <v>C0</v>
      </c>
      <c r="N86" s="6" t="str">
        <f t="shared" si="9"/>
        <v>C85</v>
      </c>
      <c r="O86" s="5">
        <f t="shared" si="10"/>
        <v>8.0311230536375291</v>
      </c>
      <c r="P86" s="22">
        <f>O86/Explications!$C$8</f>
        <v>0.26770410178791765</v>
      </c>
      <c r="Q86" s="7" t="str">
        <f t="shared" si="11"/>
        <v>C85</v>
      </c>
      <c r="R86" s="7" t="str">
        <f t="shared" si="12"/>
        <v>C0</v>
      </c>
      <c r="S86" s="18">
        <f t="shared" si="13"/>
        <v>8.0311230536375291</v>
      </c>
      <c r="T86" s="18">
        <f>S86/Explications!$C$8</f>
        <v>0.26770410178791765</v>
      </c>
    </row>
    <row r="87" spans="1:20">
      <c r="A87" s="4" t="s">
        <v>101</v>
      </c>
      <c r="B87" s="15">
        <v>46.7988</v>
      </c>
      <c r="C87" s="3">
        <v>-71.318200000000004</v>
      </c>
      <c r="D87" s="7">
        <v>1</v>
      </c>
      <c r="G87" s="10" t="s">
        <v>14</v>
      </c>
      <c r="H87" s="10" t="s">
        <v>15</v>
      </c>
      <c r="I87" s="10">
        <v>46.814900000000002</v>
      </c>
      <c r="J87" s="10">
        <v>-71.215400000000002</v>
      </c>
      <c r="K87" s="10">
        <v>46.888800000000003</v>
      </c>
      <c r="L87" s="10">
        <v>-71.291700000000006</v>
      </c>
      <c r="M87" s="6" t="str">
        <f t="shared" si="8"/>
        <v>C1</v>
      </c>
      <c r="N87" s="6" t="str">
        <f t="shared" si="9"/>
        <v>C2</v>
      </c>
      <c r="O87" s="5">
        <f t="shared" si="10"/>
        <v>10.059314039478611</v>
      </c>
      <c r="P87" s="22">
        <f>O87/Explications!$C$8</f>
        <v>0.33531046798262037</v>
      </c>
      <c r="Q87" s="7" t="str">
        <f t="shared" si="11"/>
        <v>C2</v>
      </c>
      <c r="R87" s="7" t="str">
        <f t="shared" si="12"/>
        <v>C1</v>
      </c>
      <c r="S87" s="18">
        <f t="shared" si="13"/>
        <v>10.059314039478611</v>
      </c>
      <c r="T87" s="18">
        <f>S87/Explications!$C$8</f>
        <v>0.33531046798262037</v>
      </c>
    </row>
    <row r="88" spans="1:20">
      <c r="G88" s="10" t="s">
        <v>14</v>
      </c>
      <c r="H88" s="10" t="s">
        <v>17</v>
      </c>
      <c r="I88" s="10">
        <v>46.814900000000002</v>
      </c>
      <c r="J88" s="10">
        <v>-71.215400000000002</v>
      </c>
      <c r="K88" s="10">
        <v>46.876800000000003</v>
      </c>
      <c r="L88" s="10">
        <v>-71.270899999999997</v>
      </c>
      <c r="M88" s="6" t="str">
        <f t="shared" si="8"/>
        <v>C1</v>
      </c>
      <c r="N88" s="6" t="str">
        <f t="shared" si="9"/>
        <v>C3</v>
      </c>
      <c r="O88" s="5">
        <f t="shared" si="10"/>
        <v>8.0741370060099129</v>
      </c>
      <c r="P88" s="22">
        <f>O88/Explications!$C$8</f>
        <v>0.2691379002003304</v>
      </c>
      <c r="Q88" s="7" t="str">
        <f t="shared" si="11"/>
        <v>C3</v>
      </c>
      <c r="R88" s="7" t="str">
        <f t="shared" si="12"/>
        <v>C1</v>
      </c>
      <c r="S88" s="18">
        <f t="shared" si="13"/>
        <v>8.0741370060099129</v>
      </c>
      <c r="T88" s="18">
        <f>S88/Explications!$C$8</f>
        <v>0.2691379002003304</v>
      </c>
    </row>
    <row r="89" spans="1:20">
      <c r="G89" s="10" t="s">
        <v>14</v>
      </c>
      <c r="H89" s="10" t="s">
        <v>18</v>
      </c>
      <c r="I89" s="10">
        <v>46.814900000000002</v>
      </c>
      <c r="J89" s="10">
        <v>-71.215400000000002</v>
      </c>
      <c r="K89" s="10">
        <v>46.908700000000003</v>
      </c>
      <c r="L89" s="10">
        <v>-71.373099999999994</v>
      </c>
      <c r="M89" s="6" t="str">
        <f t="shared" si="8"/>
        <v>C1</v>
      </c>
      <c r="N89" s="6" t="str">
        <f t="shared" si="9"/>
        <v>C4</v>
      </c>
      <c r="O89" s="5">
        <f t="shared" si="10"/>
        <v>15.891743881545075</v>
      </c>
      <c r="P89" s="22">
        <f>O89/Explications!$C$8</f>
        <v>0.52972479605150247</v>
      </c>
      <c r="Q89" s="7" t="str">
        <f t="shared" si="11"/>
        <v>C4</v>
      </c>
      <c r="R89" s="7" t="str">
        <f t="shared" si="12"/>
        <v>C1</v>
      </c>
      <c r="S89" s="18">
        <f t="shared" si="13"/>
        <v>15.891743881545075</v>
      </c>
      <c r="T89" s="18">
        <f>S89/Explications!$C$8</f>
        <v>0.52972479605150247</v>
      </c>
    </row>
    <row r="90" spans="1:20">
      <c r="G90" s="10" t="s">
        <v>14</v>
      </c>
      <c r="H90" s="10" t="s">
        <v>20</v>
      </c>
      <c r="I90" s="10">
        <v>46.814900000000002</v>
      </c>
      <c r="J90" s="10">
        <v>-71.215400000000002</v>
      </c>
      <c r="K90" s="10">
        <v>46.827500000000001</v>
      </c>
      <c r="L90" s="10">
        <v>-71.367199999999997</v>
      </c>
      <c r="M90" s="6" t="str">
        <f t="shared" si="8"/>
        <v>C1</v>
      </c>
      <c r="N90" s="6" t="str">
        <f t="shared" si="9"/>
        <v>C5</v>
      </c>
      <c r="O90" s="5">
        <f t="shared" si="10"/>
        <v>11.634846888422029</v>
      </c>
      <c r="P90" s="22">
        <f>O90/Explications!$C$8</f>
        <v>0.38782822961406765</v>
      </c>
      <c r="Q90" s="7" t="str">
        <f t="shared" si="11"/>
        <v>C5</v>
      </c>
      <c r="R90" s="7" t="str">
        <f t="shared" si="12"/>
        <v>C1</v>
      </c>
      <c r="S90" s="18">
        <f t="shared" si="13"/>
        <v>11.634846888422029</v>
      </c>
      <c r="T90" s="18">
        <f>S90/Explications!$C$8</f>
        <v>0.38782822961406765</v>
      </c>
    </row>
    <row r="91" spans="1:20">
      <c r="G91" s="10" t="s">
        <v>14</v>
      </c>
      <c r="H91" s="10" t="s">
        <v>21</v>
      </c>
      <c r="I91" s="10">
        <v>46.814900000000002</v>
      </c>
      <c r="J91" s="10">
        <v>-71.215400000000002</v>
      </c>
      <c r="K91" s="10">
        <v>46.8018</v>
      </c>
      <c r="L91" s="10">
        <v>-71.243099999999998</v>
      </c>
      <c r="M91" s="6" t="str">
        <f t="shared" si="8"/>
        <v>C1</v>
      </c>
      <c r="N91" s="6" t="str">
        <f t="shared" si="9"/>
        <v>C6</v>
      </c>
      <c r="O91" s="5">
        <f t="shared" si="10"/>
        <v>2.5624438907491216</v>
      </c>
      <c r="P91" s="22">
        <f>O91/Explications!$C$8</f>
        <v>8.5414796358304054E-2</v>
      </c>
      <c r="Q91" s="7" t="str">
        <f t="shared" si="11"/>
        <v>C6</v>
      </c>
      <c r="R91" s="7" t="str">
        <f t="shared" si="12"/>
        <v>C1</v>
      </c>
      <c r="S91" s="18">
        <f t="shared" si="13"/>
        <v>2.5624438907491216</v>
      </c>
      <c r="T91" s="18">
        <f>S91/Explications!$C$8</f>
        <v>8.5414796358304054E-2</v>
      </c>
    </row>
    <row r="92" spans="1:20">
      <c r="G92" s="10" t="s">
        <v>14</v>
      </c>
      <c r="H92" s="10" t="s">
        <v>23</v>
      </c>
      <c r="I92" s="10">
        <v>46.814900000000002</v>
      </c>
      <c r="J92" s="10">
        <v>-71.215400000000002</v>
      </c>
      <c r="K92" s="10">
        <v>46.794699999999999</v>
      </c>
      <c r="L92" s="10">
        <v>-71.254199999999997</v>
      </c>
      <c r="M92" s="6" t="str">
        <f t="shared" si="8"/>
        <v>C1</v>
      </c>
      <c r="N92" s="6" t="str">
        <f t="shared" si="9"/>
        <v>C7</v>
      </c>
      <c r="O92" s="5">
        <f t="shared" si="10"/>
        <v>3.7102639691363573</v>
      </c>
      <c r="P92" s="22">
        <f>O92/Explications!$C$8</f>
        <v>0.12367546563787858</v>
      </c>
      <c r="Q92" s="7" t="str">
        <f t="shared" si="11"/>
        <v>C7</v>
      </c>
      <c r="R92" s="7" t="str">
        <f t="shared" si="12"/>
        <v>C1</v>
      </c>
      <c r="S92" s="18">
        <f t="shared" si="13"/>
        <v>3.7102639691363573</v>
      </c>
      <c r="T92" s="18">
        <f>S92/Explications!$C$8</f>
        <v>0.12367546563787858</v>
      </c>
    </row>
    <row r="93" spans="1:20">
      <c r="G93" s="10" t="s">
        <v>14</v>
      </c>
      <c r="H93" s="10" t="s">
        <v>24</v>
      </c>
      <c r="I93" s="10">
        <v>46.814900000000002</v>
      </c>
      <c r="J93" s="10">
        <v>-71.215400000000002</v>
      </c>
      <c r="K93" s="10">
        <v>46.741</v>
      </c>
      <c r="L93" s="10">
        <v>-71.385499999999993</v>
      </c>
      <c r="M93" s="6" t="str">
        <f t="shared" si="8"/>
        <v>C1</v>
      </c>
      <c r="N93" s="6" t="str">
        <f t="shared" si="9"/>
        <v>C8</v>
      </c>
      <c r="O93" s="5">
        <f t="shared" si="10"/>
        <v>15.339630944964627</v>
      </c>
      <c r="P93" s="22">
        <f>O93/Explications!$C$8</f>
        <v>0.51132103149882091</v>
      </c>
      <c r="Q93" s="7" t="str">
        <f t="shared" si="11"/>
        <v>C8</v>
      </c>
      <c r="R93" s="7" t="str">
        <f t="shared" si="12"/>
        <v>C1</v>
      </c>
      <c r="S93" s="18">
        <f t="shared" si="13"/>
        <v>15.339630944964627</v>
      </c>
      <c r="T93" s="18">
        <f>S93/Explications!$C$8</f>
        <v>0.51132103149882091</v>
      </c>
    </row>
    <row r="94" spans="1:20">
      <c r="G94" s="10" t="s">
        <v>14</v>
      </c>
      <c r="H94" s="10" t="s">
        <v>25</v>
      </c>
      <c r="I94" s="10">
        <v>46.814900000000002</v>
      </c>
      <c r="J94" s="10">
        <v>-71.215400000000002</v>
      </c>
      <c r="K94" s="10">
        <v>46.839399999999998</v>
      </c>
      <c r="L94" s="10">
        <v>-71.282700000000006</v>
      </c>
      <c r="M94" s="6" t="str">
        <f t="shared" si="8"/>
        <v>C1</v>
      </c>
      <c r="N94" s="6" t="str">
        <f t="shared" si="9"/>
        <v>C9</v>
      </c>
      <c r="O94" s="5">
        <f t="shared" si="10"/>
        <v>5.7998090098026687</v>
      </c>
      <c r="P94" s="22">
        <f>O94/Explications!$C$8</f>
        <v>0.19332696699342228</v>
      </c>
      <c r="Q94" s="7" t="str">
        <f t="shared" si="11"/>
        <v>C9</v>
      </c>
      <c r="R94" s="7" t="str">
        <f t="shared" si="12"/>
        <v>C1</v>
      </c>
      <c r="S94" s="18">
        <f t="shared" si="13"/>
        <v>5.7998090098026687</v>
      </c>
      <c r="T94" s="18">
        <f>S94/Explications!$C$8</f>
        <v>0.19332696699342228</v>
      </c>
    </row>
    <row r="95" spans="1:20">
      <c r="G95" s="10" t="s">
        <v>14</v>
      </c>
      <c r="H95" s="10" t="s">
        <v>26</v>
      </c>
      <c r="I95" s="10">
        <v>46.814900000000002</v>
      </c>
      <c r="J95" s="10">
        <v>-71.215400000000002</v>
      </c>
      <c r="K95" s="10">
        <v>46.860799999999998</v>
      </c>
      <c r="L95" s="10">
        <v>-71.217699999999994</v>
      </c>
      <c r="M95" s="6" t="str">
        <f t="shared" si="8"/>
        <v>C1</v>
      </c>
      <c r="N95" s="6" t="str">
        <f t="shared" si="9"/>
        <v>C10</v>
      </c>
      <c r="O95" s="5">
        <f t="shared" si="10"/>
        <v>5.1068446762808355</v>
      </c>
      <c r="P95" s="22">
        <f>O95/Explications!$C$8</f>
        <v>0.17022815587602785</v>
      </c>
      <c r="Q95" s="7" t="str">
        <f t="shared" si="11"/>
        <v>C10</v>
      </c>
      <c r="R95" s="7" t="str">
        <f t="shared" si="12"/>
        <v>C1</v>
      </c>
      <c r="S95" s="18">
        <f t="shared" si="13"/>
        <v>5.1068446762808355</v>
      </c>
      <c r="T95" s="18">
        <f>S95/Explications!$C$8</f>
        <v>0.17022815587602785</v>
      </c>
    </row>
    <row r="96" spans="1:20">
      <c r="G96" s="10" t="s">
        <v>14</v>
      </c>
      <c r="H96" s="10" t="s">
        <v>27</v>
      </c>
      <c r="I96" s="10">
        <v>46.814900000000002</v>
      </c>
      <c r="J96" s="10">
        <v>-71.215400000000002</v>
      </c>
      <c r="K96" s="10">
        <v>46.868299999999998</v>
      </c>
      <c r="L96" s="10">
        <v>-71.167000000000002</v>
      </c>
      <c r="M96" s="6" t="str">
        <f t="shared" si="8"/>
        <v>C1</v>
      </c>
      <c r="N96" s="6" t="str">
        <f t="shared" si="9"/>
        <v>C11</v>
      </c>
      <c r="O96" s="5">
        <f t="shared" si="10"/>
        <v>6.9863666560954751</v>
      </c>
      <c r="P96" s="22">
        <f>O96/Explications!$C$8</f>
        <v>0.23287888853651584</v>
      </c>
      <c r="Q96" s="7" t="str">
        <f t="shared" si="11"/>
        <v>C11</v>
      </c>
      <c r="R96" s="7" t="str">
        <f t="shared" si="12"/>
        <v>C1</v>
      </c>
      <c r="S96" s="18">
        <f t="shared" si="13"/>
        <v>6.9863666560954751</v>
      </c>
      <c r="T96" s="18">
        <f>S96/Explications!$C$8</f>
        <v>0.23287888853651584</v>
      </c>
    </row>
    <row r="97" spans="7:20">
      <c r="G97" s="10" t="s">
        <v>14</v>
      </c>
      <c r="H97" s="10" t="s">
        <v>28</v>
      </c>
      <c r="I97" s="10">
        <v>46.814900000000002</v>
      </c>
      <c r="J97" s="10">
        <v>-71.215400000000002</v>
      </c>
      <c r="K97" s="10">
        <v>46.895099999999999</v>
      </c>
      <c r="L97" s="10">
        <v>-71.378600000000006</v>
      </c>
      <c r="M97" s="6" t="str">
        <f t="shared" si="8"/>
        <v>C1</v>
      </c>
      <c r="N97" s="6" t="str">
        <f t="shared" si="9"/>
        <v>C12</v>
      </c>
      <c r="O97" s="5">
        <f t="shared" si="10"/>
        <v>15.281695850767436</v>
      </c>
      <c r="P97" s="22">
        <f>O97/Explications!$C$8</f>
        <v>0.50938986169224787</v>
      </c>
      <c r="Q97" s="7" t="str">
        <f t="shared" si="11"/>
        <v>C12</v>
      </c>
      <c r="R97" s="7" t="str">
        <f t="shared" si="12"/>
        <v>C1</v>
      </c>
      <c r="S97" s="18">
        <f t="shared" si="13"/>
        <v>15.281695850767436</v>
      </c>
      <c r="T97" s="18">
        <f>S97/Explications!$C$8</f>
        <v>0.50938986169224787</v>
      </c>
    </row>
    <row r="98" spans="7:20">
      <c r="G98" s="10" t="s">
        <v>14</v>
      </c>
      <c r="H98" s="10" t="s">
        <v>29</v>
      </c>
      <c r="I98" s="10">
        <v>46.814900000000002</v>
      </c>
      <c r="J98" s="10">
        <v>-71.215400000000002</v>
      </c>
      <c r="K98" s="10">
        <v>46.8033</v>
      </c>
      <c r="L98" s="10">
        <v>-71.1691</v>
      </c>
      <c r="M98" s="6" t="str">
        <f t="shared" si="8"/>
        <v>C1</v>
      </c>
      <c r="N98" s="6" t="str">
        <f t="shared" si="9"/>
        <v>C13</v>
      </c>
      <c r="O98" s="5">
        <f t="shared" si="10"/>
        <v>3.7523361156975628</v>
      </c>
      <c r="P98" s="22">
        <f>O98/Explications!$C$8</f>
        <v>0.12507787052325209</v>
      </c>
      <c r="Q98" s="7" t="str">
        <f t="shared" si="11"/>
        <v>C13</v>
      </c>
      <c r="R98" s="7" t="str">
        <f t="shared" si="12"/>
        <v>C1</v>
      </c>
      <c r="S98" s="18">
        <f t="shared" si="13"/>
        <v>3.7523361156975628</v>
      </c>
      <c r="T98" s="18">
        <f>S98/Explications!$C$8</f>
        <v>0.12507787052325209</v>
      </c>
    </row>
    <row r="99" spans="7:20">
      <c r="G99" s="10" t="s">
        <v>14</v>
      </c>
      <c r="H99" s="10" t="s">
        <v>30</v>
      </c>
      <c r="I99" s="10">
        <v>46.814900000000002</v>
      </c>
      <c r="J99" s="10">
        <v>-71.215400000000002</v>
      </c>
      <c r="K99" s="10">
        <v>46.8596</v>
      </c>
      <c r="L99" s="10">
        <v>-71.267200000000003</v>
      </c>
      <c r="M99" s="6" t="str">
        <f t="shared" si="8"/>
        <v>C1</v>
      </c>
      <c r="N99" s="6" t="str">
        <f t="shared" si="9"/>
        <v>C14</v>
      </c>
      <c r="O99" s="5">
        <f t="shared" si="10"/>
        <v>6.3427205147438004</v>
      </c>
      <c r="P99" s="22">
        <f>O99/Explications!$C$8</f>
        <v>0.21142401715812667</v>
      </c>
      <c r="Q99" s="7" t="str">
        <f t="shared" si="11"/>
        <v>C14</v>
      </c>
      <c r="R99" s="7" t="str">
        <f t="shared" si="12"/>
        <v>C1</v>
      </c>
      <c r="S99" s="18">
        <f t="shared" si="13"/>
        <v>6.3427205147438004</v>
      </c>
      <c r="T99" s="18">
        <f>S99/Explications!$C$8</f>
        <v>0.21142401715812667</v>
      </c>
    </row>
    <row r="100" spans="7:20">
      <c r="G100" s="10" t="s">
        <v>14</v>
      </c>
      <c r="H100" s="10" t="s">
        <v>31</v>
      </c>
      <c r="I100" s="10">
        <v>46.814900000000002</v>
      </c>
      <c r="J100" s="10">
        <v>-71.215400000000002</v>
      </c>
      <c r="K100" s="10">
        <v>46.813499999999998</v>
      </c>
      <c r="L100" s="10">
        <v>-71.215900000000005</v>
      </c>
      <c r="M100" s="6" t="str">
        <f t="shared" si="8"/>
        <v>C1</v>
      </c>
      <c r="N100" s="6" t="str">
        <f t="shared" si="9"/>
        <v>C15</v>
      </c>
      <c r="O100" s="5">
        <f t="shared" si="10"/>
        <v>0.16025533844984619</v>
      </c>
      <c r="P100" s="22">
        <f>O100/Explications!$C$8</f>
        <v>5.3418446149948728E-3</v>
      </c>
      <c r="Q100" s="7" t="str">
        <f t="shared" si="11"/>
        <v>C15</v>
      </c>
      <c r="R100" s="7" t="str">
        <f t="shared" si="12"/>
        <v>C1</v>
      </c>
      <c r="S100" s="18">
        <f t="shared" si="13"/>
        <v>0.16025533844984619</v>
      </c>
      <c r="T100" s="18">
        <f>S100/Explications!$C$8</f>
        <v>5.3418446149948728E-3</v>
      </c>
    </row>
    <row r="101" spans="7:20">
      <c r="G101" s="10" t="s">
        <v>14</v>
      </c>
      <c r="H101" s="10" t="s">
        <v>32</v>
      </c>
      <c r="I101" s="10">
        <v>46.814900000000002</v>
      </c>
      <c r="J101" s="10">
        <v>-71.215400000000002</v>
      </c>
      <c r="K101" s="10">
        <v>46.733699999999999</v>
      </c>
      <c r="L101" s="10">
        <v>-71.270099999999999</v>
      </c>
      <c r="M101" s="6" t="str">
        <f t="shared" si="8"/>
        <v>C1</v>
      </c>
      <c r="N101" s="6" t="str">
        <f t="shared" si="9"/>
        <v>C16</v>
      </c>
      <c r="O101" s="5">
        <f t="shared" si="10"/>
        <v>9.9436407169315082</v>
      </c>
      <c r="P101" s="22">
        <f>O101/Explications!$C$8</f>
        <v>0.33145469056438359</v>
      </c>
      <c r="Q101" s="7" t="str">
        <f t="shared" si="11"/>
        <v>C16</v>
      </c>
      <c r="R101" s="7" t="str">
        <f t="shared" si="12"/>
        <v>C1</v>
      </c>
      <c r="S101" s="18">
        <f t="shared" si="13"/>
        <v>9.9436407169315082</v>
      </c>
      <c r="T101" s="18">
        <f>S101/Explications!$C$8</f>
        <v>0.33145469056438359</v>
      </c>
    </row>
    <row r="102" spans="7:20">
      <c r="G102" s="10" t="s">
        <v>14</v>
      </c>
      <c r="H102" s="10" t="s">
        <v>33</v>
      </c>
      <c r="I102" s="10">
        <v>46.814900000000002</v>
      </c>
      <c r="J102" s="10">
        <v>-71.215400000000002</v>
      </c>
      <c r="K102" s="10">
        <v>46.8035</v>
      </c>
      <c r="L102" s="10">
        <v>-71.3553</v>
      </c>
      <c r="M102" s="6" t="str">
        <f t="shared" si="8"/>
        <v>C1</v>
      </c>
      <c r="N102" s="6" t="str">
        <f t="shared" si="9"/>
        <v>C17</v>
      </c>
      <c r="O102" s="5">
        <f t="shared" si="10"/>
        <v>10.722303506232569</v>
      </c>
      <c r="P102" s="22">
        <f>O102/Explications!$C$8</f>
        <v>0.35741011687441898</v>
      </c>
      <c r="Q102" s="7" t="str">
        <f t="shared" si="11"/>
        <v>C17</v>
      </c>
      <c r="R102" s="7" t="str">
        <f t="shared" si="12"/>
        <v>C1</v>
      </c>
      <c r="S102" s="18">
        <f t="shared" si="13"/>
        <v>10.722303506232569</v>
      </c>
      <c r="T102" s="18">
        <f>S102/Explications!$C$8</f>
        <v>0.35741011687441898</v>
      </c>
    </row>
    <row r="103" spans="7:20">
      <c r="G103" s="10" t="s">
        <v>14</v>
      </c>
      <c r="H103" s="10" t="s">
        <v>34</v>
      </c>
      <c r="I103" s="10">
        <v>46.814900000000002</v>
      </c>
      <c r="J103" s="10">
        <v>-71.215400000000002</v>
      </c>
      <c r="K103" s="10">
        <v>46.730200000000004</v>
      </c>
      <c r="L103" s="10">
        <v>-71.274100000000004</v>
      </c>
      <c r="M103" s="6" t="str">
        <f t="shared" si="8"/>
        <v>C1</v>
      </c>
      <c r="N103" s="6" t="str">
        <f t="shared" si="9"/>
        <v>C18</v>
      </c>
      <c r="O103" s="5">
        <f t="shared" si="10"/>
        <v>10.425319250754452</v>
      </c>
      <c r="P103" s="22">
        <f>O103/Explications!$C$8</f>
        <v>0.34751064169181506</v>
      </c>
      <c r="Q103" s="7" t="str">
        <f t="shared" si="11"/>
        <v>C18</v>
      </c>
      <c r="R103" s="7" t="str">
        <f t="shared" si="12"/>
        <v>C1</v>
      </c>
      <c r="S103" s="18">
        <f t="shared" si="13"/>
        <v>10.425319250754452</v>
      </c>
      <c r="T103" s="18">
        <f>S103/Explications!$C$8</f>
        <v>0.34751064169181506</v>
      </c>
    </row>
    <row r="104" spans="7:20">
      <c r="G104" s="10" t="s">
        <v>14</v>
      </c>
      <c r="H104" s="10" t="s">
        <v>35</v>
      </c>
      <c r="I104" s="10">
        <v>46.814900000000002</v>
      </c>
      <c r="J104" s="10">
        <v>-71.215400000000002</v>
      </c>
      <c r="K104" s="10">
        <v>46.785600000000002</v>
      </c>
      <c r="L104" s="10">
        <v>-71.245500000000007</v>
      </c>
      <c r="M104" s="6" t="str">
        <f t="shared" si="8"/>
        <v>C1</v>
      </c>
      <c r="N104" s="6" t="str">
        <f t="shared" si="9"/>
        <v>C19</v>
      </c>
      <c r="O104" s="5">
        <f t="shared" si="10"/>
        <v>3.982962210742623</v>
      </c>
      <c r="P104" s="22">
        <f>O104/Explications!$C$8</f>
        <v>0.13276540702475409</v>
      </c>
      <c r="Q104" s="7" t="str">
        <f t="shared" si="11"/>
        <v>C19</v>
      </c>
      <c r="R104" s="7" t="str">
        <f t="shared" si="12"/>
        <v>C1</v>
      </c>
      <c r="S104" s="18">
        <f t="shared" si="13"/>
        <v>3.982962210742623</v>
      </c>
      <c r="T104" s="18">
        <f>S104/Explications!$C$8</f>
        <v>0.13276540702475409</v>
      </c>
    </row>
    <row r="105" spans="7:20">
      <c r="G105" s="10" t="s">
        <v>14</v>
      </c>
      <c r="H105" s="10" t="s">
        <v>36</v>
      </c>
      <c r="I105" s="10">
        <v>46.814900000000002</v>
      </c>
      <c r="J105" s="10">
        <v>-71.215400000000002</v>
      </c>
      <c r="K105" s="10">
        <v>46.8215</v>
      </c>
      <c r="L105" s="10">
        <v>-71.355400000000003</v>
      </c>
      <c r="M105" s="6" t="str">
        <f t="shared" si="8"/>
        <v>C1</v>
      </c>
      <c r="N105" s="6" t="str">
        <f t="shared" si="9"/>
        <v>C20</v>
      </c>
      <c r="O105" s="5">
        <f t="shared" si="10"/>
        <v>10.678185443380061</v>
      </c>
      <c r="P105" s="22">
        <f>O105/Explications!$C$8</f>
        <v>0.35593951477933533</v>
      </c>
      <c r="Q105" s="7" t="str">
        <f t="shared" si="11"/>
        <v>C20</v>
      </c>
      <c r="R105" s="7" t="str">
        <f t="shared" si="12"/>
        <v>C1</v>
      </c>
      <c r="S105" s="18">
        <f t="shared" si="13"/>
        <v>10.678185443380061</v>
      </c>
      <c r="T105" s="18">
        <f>S105/Explications!$C$8</f>
        <v>0.35593951477933533</v>
      </c>
    </row>
    <row r="106" spans="7:20">
      <c r="G106" s="10" t="s">
        <v>14</v>
      </c>
      <c r="H106" s="10" t="s">
        <v>37</v>
      </c>
      <c r="I106" s="10">
        <v>46.814900000000002</v>
      </c>
      <c r="J106" s="10">
        <v>-71.215400000000002</v>
      </c>
      <c r="K106" s="10">
        <v>46.8093</v>
      </c>
      <c r="L106" s="10">
        <v>-71.2273</v>
      </c>
      <c r="M106" s="6" t="str">
        <f t="shared" si="8"/>
        <v>C1</v>
      </c>
      <c r="N106" s="6" t="str">
        <f t="shared" si="9"/>
        <v>C21</v>
      </c>
      <c r="O106" s="5">
        <f t="shared" si="10"/>
        <v>1.0990271125346411</v>
      </c>
      <c r="P106" s="22">
        <f>O106/Explications!$C$8</f>
        <v>3.6634237084488035E-2</v>
      </c>
      <c r="Q106" s="7" t="str">
        <f t="shared" si="11"/>
        <v>C21</v>
      </c>
      <c r="R106" s="7" t="str">
        <f t="shared" si="12"/>
        <v>C1</v>
      </c>
      <c r="S106" s="18">
        <f t="shared" si="13"/>
        <v>1.0990271125346411</v>
      </c>
      <c r="T106" s="18">
        <f>S106/Explications!$C$8</f>
        <v>3.6634237084488035E-2</v>
      </c>
    </row>
    <row r="107" spans="7:20">
      <c r="G107" s="10" t="s">
        <v>14</v>
      </c>
      <c r="H107" s="10" t="s">
        <v>38</v>
      </c>
      <c r="I107" s="10">
        <v>46.814900000000002</v>
      </c>
      <c r="J107" s="10">
        <v>-71.215400000000002</v>
      </c>
      <c r="K107" s="10">
        <v>46.781300000000002</v>
      </c>
      <c r="L107" s="10">
        <v>-71.301000000000002</v>
      </c>
      <c r="M107" s="6" t="str">
        <f t="shared" si="8"/>
        <v>C1</v>
      </c>
      <c r="N107" s="6" t="str">
        <f t="shared" si="9"/>
        <v>C22</v>
      </c>
      <c r="O107" s="5">
        <f t="shared" si="10"/>
        <v>7.5110813753199928</v>
      </c>
      <c r="P107" s="22">
        <f>O107/Explications!$C$8</f>
        <v>0.2503693791773331</v>
      </c>
      <c r="Q107" s="7" t="str">
        <f t="shared" si="11"/>
        <v>C22</v>
      </c>
      <c r="R107" s="7" t="str">
        <f t="shared" si="12"/>
        <v>C1</v>
      </c>
      <c r="S107" s="18">
        <f t="shared" si="13"/>
        <v>7.5110813753199928</v>
      </c>
      <c r="T107" s="18">
        <f>S107/Explications!$C$8</f>
        <v>0.2503693791773331</v>
      </c>
    </row>
    <row r="108" spans="7:20">
      <c r="G108" s="10" t="s">
        <v>14</v>
      </c>
      <c r="H108" s="10" t="s">
        <v>39</v>
      </c>
      <c r="I108" s="10">
        <v>46.814900000000002</v>
      </c>
      <c r="J108" s="10">
        <v>-71.215400000000002</v>
      </c>
      <c r="K108" s="10">
        <v>46.844900000000003</v>
      </c>
      <c r="L108" s="10">
        <v>-71.251400000000004</v>
      </c>
      <c r="M108" s="6" t="str">
        <f t="shared" si="8"/>
        <v>C1</v>
      </c>
      <c r="N108" s="6" t="str">
        <f t="shared" si="9"/>
        <v>C23</v>
      </c>
      <c r="O108" s="5">
        <f t="shared" si="10"/>
        <v>4.3160776036622455</v>
      </c>
      <c r="P108" s="22">
        <f>O108/Explications!$C$8</f>
        <v>0.14386925345540819</v>
      </c>
      <c r="Q108" s="7" t="str">
        <f t="shared" si="11"/>
        <v>C23</v>
      </c>
      <c r="R108" s="7" t="str">
        <f t="shared" si="12"/>
        <v>C1</v>
      </c>
      <c r="S108" s="18">
        <f t="shared" si="13"/>
        <v>4.3160776036622455</v>
      </c>
      <c r="T108" s="18">
        <f>S108/Explications!$C$8</f>
        <v>0.14386925345540819</v>
      </c>
    </row>
    <row r="109" spans="7:20">
      <c r="G109" s="10" t="s">
        <v>14</v>
      </c>
      <c r="H109" s="10" t="s">
        <v>40</v>
      </c>
      <c r="I109" s="10">
        <v>46.814900000000002</v>
      </c>
      <c r="J109" s="10">
        <v>-71.215400000000002</v>
      </c>
      <c r="K109" s="10">
        <v>46.805500000000002</v>
      </c>
      <c r="L109" s="10">
        <v>-71.2196</v>
      </c>
      <c r="M109" s="6" t="str">
        <f t="shared" si="8"/>
        <v>C1</v>
      </c>
      <c r="N109" s="6" t="str">
        <f t="shared" si="9"/>
        <v>C24</v>
      </c>
      <c r="O109" s="5">
        <f t="shared" si="10"/>
        <v>1.0930130638421758</v>
      </c>
      <c r="P109" s="22">
        <f>O109/Explications!$C$8</f>
        <v>3.6433768794739189E-2</v>
      </c>
      <c r="Q109" s="7" t="str">
        <f t="shared" si="11"/>
        <v>C24</v>
      </c>
      <c r="R109" s="7" t="str">
        <f t="shared" si="12"/>
        <v>C1</v>
      </c>
      <c r="S109" s="18">
        <f t="shared" si="13"/>
        <v>1.0930130638421758</v>
      </c>
      <c r="T109" s="18">
        <f>S109/Explications!$C$8</f>
        <v>3.6433768794739189E-2</v>
      </c>
    </row>
    <row r="110" spans="7:20">
      <c r="G110" s="10" t="s">
        <v>14</v>
      </c>
      <c r="H110" s="10" t="s">
        <v>41</v>
      </c>
      <c r="I110" s="10">
        <v>46.814900000000002</v>
      </c>
      <c r="J110" s="10">
        <v>-71.215400000000002</v>
      </c>
      <c r="K110" s="10">
        <v>46.734900000000003</v>
      </c>
      <c r="L110" s="10">
        <v>-71.266199999999998</v>
      </c>
      <c r="M110" s="6" t="str">
        <f t="shared" si="8"/>
        <v>C1</v>
      </c>
      <c r="N110" s="6" t="str">
        <f t="shared" si="9"/>
        <v>C25</v>
      </c>
      <c r="O110" s="5">
        <f t="shared" si="10"/>
        <v>9.7003968211773302</v>
      </c>
      <c r="P110" s="22">
        <f>O110/Explications!$C$8</f>
        <v>0.323346560705911</v>
      </c>
      <c r="Q110" s="7" t="str">
        <f t="shared" si="11"/>
        <v>C25</v>
      </c>
      <c r="R110" s="7" t="str">
        <f t="shared" si="12"/>
        <v>C1</v>
      </c>
      <c r="S110" s="18">
        <f t="shared" si="13"/>
        <v>9.7003968211773302</v>
      </c>
      <c r="T110" s="18">
        <f>S110/Explications!$C$8</f>
        <v>0.323346560705911</v>
      </c>
    </row>
    <row r="111" spans="7:20">
      <c r="G111" s="10" t="s">
        <v>14</v>
      </c>
      <c r="H111" s="10" t="s">
        <v>42</v>
      </c>
      <c r="I111" s="10">
        <v>46.814900000000002</v>
      </c>
      <c r="J111" s="10">
        <v>-71.215400000000002</v>
      </c>
      <c r="K111" s="10">
        <v>46.817700000000002</v>
      </c>
      <c r="L111" s="10">
        <v>-71.214100000000002</v>
      </c>
      <c r="M111" s="6" t="str">
        <f t="shared" si="8"/>
        <v>C1</v>
      </c>
      <c r="N111" s="6" t="str">
        <f t="shared" si="9"/>
        <v>C26</v>
      </c>
      <c r="O111" s="5">
        <f t="shared" si="10"/>
        <v>0.32668346490146294</v>
      </c>
      <c r="P111" s="22">
        <f>O111/Explications!$C$8</f>
        <v>1.0889448830048765E-2</v>
      </c>
      <c r="Q111" s="7" t="str">
        <f t="shared" si="11"/>
        <v>C26</v>
      </c>
      <c r="R111" s="7" t="str">
        <f t="shared" si="12"/>
        <v>C1</v>
      </c>
      <c r="S111" s="18">
        <f t="shared" si="13"/>
        <v>0.32668346490146294</v>
      </c>
      <c r="T111" s="18">
        <f>S111/Explications!$C$8</f>
        <v>1.0889448830048765E-2</v>
      </c>
    </row>
    <row r="112" spans="7:20">
      <c r="G112" s="10" t="s">
        <v>14</v>
      </c>
      <c r="H112" s="10" t="s">
        <v>43</v>
      </c>
      <c r="I112" s="10">
        <v>46.814900000000002</v>
      </c>
      <c r="J112" s="10">
        <v>-71.215400000000002</v>
      </c>
      <c r="K112" s="10">
        <v>46.603000000000002</v>
      </c>
      <c r="L112" s="10">
        <v>-71.490600000000001</v>
      </c>
      <c r="M112" s="6" t="str">
        <f t="shared" si="8"/>
        <v>C1</v>
      </c>
      <c r="N112" s="6" t="str">
        <f t="shared" si="9"/>
        <v>C27</v>
      </c>
      <c r="O112" s="5">
        <f t="shared" si="10"/>
        <v>31.551023313126862</v>
      </c>
      <c r="P112" s="22">
        <f>O112/Explications!$C$8</f>
        <v>1.0517007771042288</v>
      </c>
      <c r="Q112" s="7" t="str">
        <f t="shared" si="11"/>
        <v>C27</v>
      </c>
      <c r="R112" s="7" t="str">
        <f t="shared" si="12"/>
        <v>C1</v>
      </c>
      <c r="S112" s="18">
        <f t="shared" si="13"/>
        <v>31.551023313126862</v>
      </c>
      <c r="T112" s="18">
        <f>S112/Explications!$C$8</f>
        <v>1.0517007771042288</v>
      </c>
    </row>
    <row r="113" spans="7:20">
      <c r="G113" s="10" t="s">
        <v>14</v>
      </c>
      <c r="H113" s="10" t="s">
        <v>44</v>
      </c>
      <c r="I113" s="10">
        <v>46.814900000000002</v>
      </c>
      <c r="J113" s="10">
        <v>-71.215400000000002</v>
      </c>
      <c r="K113" s="10">
        <v>47.000500000000002</v>
      </c>
      <c r="L113" s="10">
        <v>-71.388400000000004</v>
      </c>
      <c r="M113" s="6" t="str">
        <f t="shared" si="8"/>
        <v>C1</v>
      </c>
      <c r="N113" s="6" t="str">
        <f t="shared" si="9"/>
        <v>C28</v>
      </c>
      <c r="O113" s="5">
        <f t="shared" si="10"/>
        <v>24.466934858995234</v>
      </c>
      <c r="P113" s="22">
        <f>O113/Explications!$C$8</f>
        <v>0.8155644952998411</v>
      </c>
      <c r="Q113" s="7" t="str">
        <f t="shared" si="11"/>
        <v>C28</v>
      </c>
      <c r="R113" s="7" t="str">
        <f t="shared" si="12"/>
        <v>C1</v>
      </c>
      <c r="S113" s="18">
        <f t="shared" si="13"/>
        <v>24.466934858995234</v>
      </c>
      <c r="T113" s="18">
        <f>S113/Explications!$C$8</f>
        <v>0.8155644952998411</v>
      </c>
    </row>
    <row r="114" spans="7:20">
      <c r="G114" s="10" t="s">
        <v>14</v>
      </c>
      <c r="H114" s="10" t="s">
        <v>45</v>
      </c>
      <c r="I114" s="10">
        <v>46.814900000000002</v>
      </c>
      <c r="J114" s="10">
        <v>-71.215400000000002</v>
      </c>
      <c r="K114" s="10">
        <v>46.839100000000002</v>
      </c>
      <c r="L114" s="10">
        <v>-71.245699999999999</v>
      </c>
      <c r="M114" s="6" t="str">
        <f t="shared" si="8"/>
        <v>C1</v>
      </c>
      <c r="N114" s="6" t="str">
        <f t="shared" si="9"/>
        <v>C29</v>
      </c>
      <c r="O114" s="5">
        <f t="shared" si="10"/>
        <v>3.5433158330404719</v>
      </c>
      <c r="P114" s="22">
        <f>O114/Explications!$C$8</f>
        <v>0.11811052776801573</v>
      </c>
      <c r="Q114" s="7" t="str">
        <f t="shared" si="11"/>
        <v>C29</v>
      </c>
      <c r="R114" s="7" t="str">
        <f t="shared" si="12"/>
        <v>C1</v>
      </c>
      <c r="S114" s="18">
        <f t="shared" si="13"/>
        <v>3.5433158330404719</v>
      </c>
      <c r="T114" s="18">
        <f>S114/Explications!$C$8</f>
        <v>0.11811052776801573</v>
      </c>
    </row>
    <row r="115" spans="7:20">
      <c r="G115" s="10" t="s">
        <v>14</v>
      </c>
      <c r="H115" s="10" t="s">
        <v>46</v>
      </c>
      <c r="I115" s="10">
        <v>46.814900000000002</v>
      </c>
      <c r="J115" s="10">
        <v>-71.215400000000002</v>
      </c>
      <c r="K115" s="10">
        <v>46.865699999999997</v>
      </c>
      <c r="L115" s="10">
        <v>-71.27</v>
      </c>
      <c r="M115" s="6" t="str">
        <f t="shared" si="8"/>
        <v>C1</v>
      </c>
      <c r="N115" s="6" t="str">
        <f t="shared" si="9"/>
        <v>C30</v>
      </c>
      <c r="O115" s="5">
        <f t="shared" si="10"/>
        <v>7.011043048071949</v>
      </c>
      <c r="P115" s="22">
        <f>O115/Explications!$C$8</f>
        <v>0.23370143493573164</v>
      </c>
      <c r="Q115" s="7" t="str">
        <f t="shared" si="11"/>
        <v>C30</v>
      </c>
      <c r="R115" s="7" t="str">
        <f t="shared" si="12"/>
        <v>C1</v>
      </c>
      <c r="S115" s="18">
        <f t="shared" si="13"/>
        <v>7.011043048071949</v>
      </c>
      <c r="T115" s="18">
        <f>S115/Explications!$C$8</f>
        <v>0.23370143493573164</v>
      </c>
    </row>
    <row r="116" spans="7:20">
      <c r="G116" s="10" t="s">
        <v>14</v>
      </c>
      <c r="H116" s="10" t="s">
        <v>47</v>
      </c>
      <c r="I116" s="10">
        <v>46.814900000000002</v>
      </c>
      <c r="J116" s="10">
        <v>-71.215400000000002</v>
      </c>
      <c r="K116" s="10">
        <v>46.805500000000002</v>
      </c>
      <c r="L116" s="10">
        <v>-71.217299999999994</v>
      </c>
      <c r="M116" s="6" t="str">
        <f t="shared" si="8"/>
        <v>C1</v>
      </c>
      <c r="N116" s="6" t="str">
        <f t="shared" si="9"/>
        <v>C31</v>
      </c>
      <c r="O116" s="5">
        <f t="shared" si="10"/>
        <v>1.0551866672283086</v>
      </c>
      <c r="P116" s="22">
        <f>O116/Explications!$C$8</f>
        <v>3.5172888907610285E-2</v>
      </c>
      <c r="Q116" s="7" t="str">
        <f t="shared" si="11"/>
        <v>C31</v>
      </c>
      <c r="R116" s="7" t="str">
        <f t="shared" si="12"/>
        <v>C1</v>
      </c>
      <c r="S116" s="18">
        <f t="shared" si="13"/>
        <v>1.0551866672283086</v>
      </c>
      <c r="T116" s="18">
        <f>S116/Explications!$C$8</f>
        <v>3.5172888907610285E-2</v>
      </c>
    </row>
    <row r="117" spans="7:20">
      <c r="G117" s="10" t="s">
        <v>14</v>
      </c>
      <c r="H117" s="10" t="s">
        <v>48</v>
      </c>
      <c r="I117" s="10">
        <v>46.814900000000002</v>
      </c>
      <c r="J117" s="10">
        <v>-71.215400000000002</v>
      </c>
      <c r="K117" s="10">
        <v>46.792299999999997</v>
      </c>
      <c r="L117" s="10">
        <v>-71.172899999999998</v>
      </c>
      <c r="M117" s="6" t="str">
        <f t="shared" si="8"/>
        <v>C1</v>
      </c>
      <c r="N117" s="6" t="str">
        <f t="shared" si="9"/>
        <v>C32</v>
      </c>
      <c r="O117" s="5">
        <f t="shared" si="10"/>
        <v>4.0962375457340876</v>
      </c>
      <c r="P117" s="22">
        <f>O117/Explications!$C$8</f>
        <v>0.13654125152446958</v>
      </c>
      <c r="Q117" s="7" t="str">
        <f t="shared" si="11"/>
        <v>C32</v>
      </c>
      <c r="R117" s="7" t="str">
        <f t="shared" si="12"/>
        <v>C1</v>
      </c>
      <c r="S117" s="18">
        <f t="shared" si="13"/>
        <v>4.0962375457340876</v>
      </c>
      <c r="T117" s="18">
        <f>S117/Explications!$C$8</f>
        <v>0.13654125152446958</v>
      </c>
    </row>
    <row r="118" spans="7:20">
      <c r="G118" s="10" t="s">
        <v>14</v>
      </c>
      <c r="H118" s="10" t="s">
        <v>49</v>
      </c>
      <c r="I118" s="10">
        <v>46.814900000000002</v>
      </c>
      <c r="J118" s="10">
        <v>-71.215400000000002</v>
      </c>
      <c r="K118" s="10">
        <v>46.7883</v>
      </c>
      <c r="L118" s="10">
        <v>-71.131200000000007</v>
      </c>
      <c r="M118" s="6" t="str">
        <f t="shared" si="8"/>
        <v>C1</v>
      </c>
      <c r="N118" s="6" t="str">
        <f t="shared" si="9"/>
        <v>C33</v>
      </c>
      <c r="O118" s="5">
        <f t="shared" si="10"/>
        <v>7.0585579011015946</v>
      </c>
      <c r="P118" s="22">
        <f>O118/Explications!$C$8</f>
        <v>0.23528526337005315</v>
      </c>
      <c r="Q118" s="7" t="str">
        <f t="shared" si="11"/>
        <v>C33</v>
      </c>
      <c r="R118" s="7" t="str">
        <f t="shared" si="12"/>
        <v>C1</v>
      </c>
      <c r="S118" s="18">
        <f t="shared" si="13"/>
        <v>7.0585579011015946</v>
      </c>
      <c r="T118" s="18">
        <f>S118/Explications!$C$8</f>
        <v>0.23528526337005315</v>
      </c>
    </row>
    <row r="119" spans="7:20">
      <c r="G119" s="10" t="s">
        <v>14</v>
      </c>
      <c r="H119" s="10" t="s">
        <v>50</v>
      </c>
      <c r="I119" s="10">
        <v>46.814900000000002</v>
      </c>
      <c r="J119" s="10">
        <v>-71.215400000000002</v>
      </c>
      <c r="K119" s="10">
        <v>46.8611</v>
      </c>
      <c r="L119" s="10">
        <v>-71.268799999999999</v>
      </c>
      <c r="M119" s="6" t="str">
        <f t="shared" si="8"/>
        <v>C1</v>
      </c>
      <c r="N119" s="6" t="str">
        <f t="shared" si="9"/>
        <v>C34</v>
      </c>
      <c r="O119" s="5">
        <f t="shared" si="10"/>
        <v>6.5490005264598246</v>
      </c>
      <c r="P119" s="22">
        <f>O119/Explications!$C$8</f>
        <v>0.21830001754866082</v>
      </c>
      <c r="Q119" s="7" t="str">
        <f t="shared" si="11"/>
        <v>C34</v>
      </c>
      <c r="R119" s="7" t="str">
        <f t="shared" si="12"/>
        <v>C1</v>
      </c>
      <c r="S119" s="18">
        <f t="shared" si="13"/>
        <v>6.5490005264598246</v>
      </c>
      <c r="T119" s="18">
        <f>S119/Explications!$C$8</f>
        <v>0.21830001754866082</v>
      </c>
    </row>
    <row r="120" spans="7:20">
      <c r="G120" s="10" t="s">
        <v>14</v>
      </c>
      <c r="H120" s="10" t="s">
        <v>51</v>
      </c>
      <c r="I120" s="10">
        <v>46.814900000000002</v>
      </c>
      <c r="J120" s="10">
        <v>-71.215400000000002</v>
      </c>
      <c r="K120" s="10">
        <v>46.869700000000002</v>
      </c>
      <c r="L120" s="10">
        <v>-71.205200000000005</v>
      </c>
      <c r="M120" s="6" t="str">
        <f t="shared" si="8"/>
        <v>C1</v>
      </c>
      <c r="N120" s="6" t="str">
        <f t="shared" si="9"/>
        <v>C35</v>
      </c>
      <c r="O120" s="5">
        <f t="shared" si="10"/>
        <v>6.1426687867743706</v>
      </c>
      <c r="P120" s="22">
        <f>O120/Explications!$C$8</f>
        <v>0.20475562622581236</v>
      </c>
      <c r="Q120" s="7" t="str">
        <f t="shared" si="11"/>
        <v>C35</v>
      </c>
      <c r="R120" s="7" t="str">
        <f t="shared" si="12"/>
        <v>C1</v>
      </c>
      <c r="S120" s="18">
        <f t="shared" si="13"/>
        <v>6.1426687867743706</v>
      </c>
      <c r="T120" s="18">
        <f>S120/Explications!$C$8</f>
        <v>0.20475562622581236</v>
      </c>
    </row>
    <row r="121" spans="7:20">
      <c r="G121" s="10" t="s">
        <v>14</v>
      </c>
      <c r="H121" s="10" t="s">
        <v>52</v>
      </c>
      <c r="I121" s="10">
        <v>46.814900000000002</v>
      </c>
      <c r="J121" s="10">
        <v>-71.215400000000002</v>
      </c>
      <c r="K121" s="10">
        <v>46.774099999999997</v>
      </c>
      <c r="L121" s="10">
        <v>-71.174000000000007</v>
      </c>
      <c r="M121" s="6" t="str">
        <f t="shared" si="8"/>
        <v>C1</v>
      </c>
      <c r="N121" s="6" t="str">
        <f t="shared" si="9"/>
        <v>C36</v>
      </c>
      <c r="O121" s="5">
        <f t="shared" si="10"/>
        <v>5.5240200543308013</v>
      </c>
      <c r="P121" s="22">
        <f>O121/Explications!$C$8</f>
        <v>0.18413400181102671</v>
      </c>
      <c r="Q121" s="7" t="str">
        <f t="shared" si="11"/>
        <v>C36</v>
      </c>
      <c r="R121" s="7" t="str">
        <f t="shared" si="12"/>
        <v>C1</v>
      </c>
      <c r="S121" s="18">
        <f t="shared" si="13"/>
        <v>5.5240200543308013</v>
      </c>
      <c r="T121" s="18">
        <f>S121/Explications!$C$8</f>
        <v>0.18413400181102671</v>
      </c>
    </row>
    <row r="122" spans="7:20">
      <c r="G122" s="10" t="s">
        <v>14</v>
      </c>
      <c r="H122" s="10" t="s">
        <v>53</v>
      </c>
      <c r="I122" s="10">
        <v>46.814900000000002</v>
      </c>
      <c r="J122" s="10">
        <v>-71.215400000000002</v>
      </c>
      <c r="K122" s="10">
        <v>46.808500000000002</v>
      </c>
      <c r="L122" s="10">
        <v>-71.326599999999999</v>
      </c>
      <c r="M122" s="6" t="str">
        <f t="shared" si="8"/>
        <v>C1</v>
      </c>
      <c r="N122" s="6" t="str">
        <f t="shared" si="9"/>
        <v>C37</v>
      </c>
      <c r="O122" s="5">
        <f t="shared" si="10"/>
        <v>8.4923684802010051</v>
      </c>
      <c r="P122" s="22">
        <f>O122/Explications!$C$8</f>
        <v>0.28307894934003353</v>
      </c>
      <c r="Q122" s="7" t="str">
        <f t="shared" si="11"/>
        <v>C37</v>
      </c>
      <c r="R122" s="7" t="str">
        <f t="shared" si="12"/>
        <v>C1</v>
      </c>
      <c r="S122" s="18">
        <f t="shared" si="13"/>
        <v>8.4923684802010051</v>
      </c>
      <c r="T122" s="18">
        <f>S122/Explications!$C$8</f>
        <v>0.28307894934003353</v>
      </c>
    </row>
    <row r="123" spans="7:20">
      <c r="G123" s="10" t="s">
        <v>14</v>
      </c>
      <c r="H123" s="10" t="s">
        <v>54</v>
      </c>
      <c r="I123" s="10">
        <v>46.814900000000002</v>
      </c>
      <c r="J123" s="10">
        <v>-71.215400000000002</v>
      </c>
      <c r="K123" s="10">
        <v>46.797499999999999</v>
      </c>
      <c r="L123" s="10">
        <v>-71.306100000000001</v>
      </c>
      <c r="M123" s="6" t="str">
        <f t="shared" si="8"/>
        <v>C1</v>
      </c>
      <c r="N123" s="6" t="str">
        <f t="shared" si="9"/>
        <v>C38</v>
      </c>
      <c r="O123" s="5">
        <f t="shared" si="10"/>
        <v>7.169135605400113</v>
      </c>
      <c r="P123" s="22">
        <f>O123/Explications!$C$8</f>
        <v>0.23897118684667043</v>
      </c>
      <c r="Q123" s="7" t="str">
        <f t="shared" si="11"/>
        <v>C38</v>
      </c>
      <c r="R123" s="7" t="str">
        <f t="shared" si="12"/>
        <v>C1</v>
      </c>
      <c r="S123" s="18">
        <f t="shared" si="13"/>
        <v>7.169135605400113</v>
      </c>
      <c r="T123" s="18">
        <f>S123/Explications!$C$8</f>
        <v>0.23897118684667043</v>
      </c>
    </row>
    <row r="124" spans="7:20">
      <c r="G124" s="10" t="s">
        <v>14</v>
      </c>
      <c r="H124" s="10" t="s">
        <v>55</v>
      </c>
      <c r="I124" s="10">
        <v>46.814900000000002</v>
      </c>
      <c r="J124" s="10">
        <v>-71.215400000000002</v>
      </c>
      <c r="K124" s="10">
        <v>46.8155</v>
      </c>
      <c r="L124" s="10">
        <v>-71.268199999999993</v>
      </c>
      <c r="M124" s="6" t="str">
        <f t="shared" si="8"/>
        <v>C1</v>
      </c>
      <c r="N124" s="6" t="str">
        <f t="shared" si="9"/>
        <v>C39</v>
      </c>
      <c r="O124" s="5">
        <f t="shared" si="10"/>
        <v>4.0184573833906319</v>
      </c>
      <c r="P124" s="22">
        <f>O124/Explications!$C$8</f>
        <v>0.13394857944635438</v>
      </c>
      <c r="Q124" s="7" t="str">
        <f t="shared" si="11"/>
        <v>C39</v>
      </c>
      <c r="R124" s="7" t="str">
        <f t="shared" si="12"/>
        <v>C1</v>
      </c>
      <c r="S124" s="18">
        <f t="shared" si="13"/>
        <v>4.0184573833906319</v>
      </c>
      <c r="T124" s="18">
        <f>S124/Explications!$C$8</f>
        <v>0.13394857944635438</v>
      </c>
    </row>
    <row r="125" spans="7:20">
      <c r="G125" s="10" t="s">
        <v>14</v>
      </c>
      <c r="H125" s="10" t="s">
        <v>56</v>
      </c>
      <c r="I125" s="10">
        <v>46.814900000000002</v>
      </c>
      <c r="J125" s="10">
        <v>-71.215400000000002</v>
      </c>
      <c r="K125" s="10">
        <v>46.866700000000002</v>
      </c>
      <c r="L125" s="10">
        <v>-71.215900000000005</v>
      </c>
      <c r="M125" s="6" t="str">
        <f t="shared" si="8"/>
        <v>C1</v>
      </c>
      <c r="N125" s="6" t="str">
        <f t="shared" si="9"/>
        <v>C40</v>
      </c>
      <c r="O125" s="5">
        <f t="shared" si="10"/>
        <v>5.7600227474903392</v>
      </c>
      <c r="P125" s="22">
        <f>O125/Explications!$C$8</f>
        <v>0.19200075824967797</v>
      </c>
      <c r="Q125" s="7" t="str">
        <f t="shared" si="11"/>
        <v>C40</v>
      </c>
      <c r="R125" s="7" t="str">
        <f t="shared" si="12"/>
        <v>C1</v>
      </c>
      <c r="S125" s="18">
        <f t="shared" si="13"/>
        <v>5.7600227474903392</v>
      </c>
      <c r="T125" s="18">
        <f>S125/Explications!$C$8</f>
        <v>0.19200075824967797</v>
      </c>
    </row>
    <row r="126" spans="7:20">
      <c r="G126" s="10" t="s">
        <v>14</v>
      </c>
      <c r="H126" s="10" t="s">
        <v>57</v>
      </c>
      <c r="I126" s="10">
        <v>46.814900000000002</v>
      </c>
      <c r="J126" s="10">
        <v>-71.215400000000002</v>
      </c>
      <c r="K126" s="10">
        <v>46.762099999999997</v>
      </c>
      <c r="L126" s="10">
        <v>-71.235399999999998</v>
      </c>
      <c r="M126" s="6" t="str">
        <f t="shared" si="8"/>
        <v>C1</v>
      </c>
      <c r="N126" s="6" t="str">
        <f t="shared" si="9"/>
        <v>C41</v>
      </c>
      <c r="O126" s="5">
        <f t="shared" si="10"/>
        <v>6.0653361641139449</v>
      </c>
      <c r="P126" s="22">
        <f>O126/Explications!$C$8</f>
        <v>0.20217787213713151</v>
      </c>
      <c r="Q126" s="7" t="str">
        <f t="shared" si="11"/>
        <v>C41</v>
      </c>
      <c r="R126" s="7" t="str">
        <f t="shared" si="12"/>
        <v>C1</v>
      </c>
      <c r="S126" s="18">
        <f t="shared" si="13"/>
        <v>6.0653361641139449</v>
      </c>
      <c r="T126" s="18">
        <f>S126/Explications!$C$8</f>
        <v>0.20217787213713151</v>
      </c>
    </row>
    <row r="127" spans="7:20">
      <c r="G127" s="10" t="s">
        <v>14</v>
      </c>
      <c r="H127" s="10" t="s">
        <v>58</v>
      </c>
      <c r="I127" s="10">
        <v>46.814900000000002</v>
      </c>
      <c r="J127" s="10">
        <v>-71.215400000000002</v>
      </c>
      <c r="K127" s="10">
        <v>46.8157</v>
      </c>
      <c r="L127" s="10">
        <v>-71.2042</v>
      </c>
      <c r="M127" s="6" t="str">
        <f t="shared" si="8"/>
        <v>C1</v>
      </c>
      <c r="N127" s="6" t="str">
        <f t="shared" si="9"/>
        <v>C42</v>
      </c>
      <c r="O127" s="5">
        <f t="shared" si="10"/>
        <v>0.85691075905670422</v>
      </c>
      <c r="P127" s="22">
        <f>O127/Explications!$C$8</f>
        <v>2.8563691968556806E-2</v>
      </c>
      <c r="Q127" s="7" t="str">
        <f t="shared" si="11"/>
        <v>C42</v>
      </c>
      <c r="R127" s="7" t="str">
        <f t="shared" si="12"/>
        <v>C1</v>
      </c>
      <c r="S127" s="18">
        <f t="shared" si="13"/>
        <v>0.85691075905670422</v>
      </c>
      <c r="T127" s="18">
        <f>S127/Explications!$C$8</f>
        <v>2.8563691968556806E-2</v>
      </c>
    </row>
    <row r="128" spans="7:20">
      <c r="G128" s="10" t="s">
        <v>14</v>
      </c>
      <c r="H128" s="10" t="s">
        <v>59</v>
      </c>
      <c r="I128" s="10">
        <v>46.814900000000002</v>
      </c>
      <c r="J128" s="10">
        <v>-71.215400000000002</v>
      </c>
      <c r="K128" s="10">
        <v>46.707000000000001</v>
      </c>
      <c r="L128" s="10">
        <v>-71.217100000000002</v>
      </c>
      <c r="M128" s="6" t="str">
        <f t="shared" si="8"/>
        <v>C1</v>
      </c>
      <c r="N128" s="6" t="str">
        <f t="shared" si="9"/>
        <v>C43</v>
      </c>
      <c r="O128" s="5">
        <f t="shared" si="10"/>
        <v>11.998631387663677</v>
      </c>
      <c r="P128" s="22">
        <f>O128/Explications!$C$8</f>
        <v>0.39995437958878921</v>
      </c>
      <c r="Q128" s="7" t="str">
        <f t="shared" si="11"/>
        <v>C43</v>
      </c>
      <c r="R128" s="7" t="str">
        <f t="shared" si="12"/>
        <v>C1</v>
      </c>
      <c r="S128" s="18">
        <f t="shared" si="13"/>
        <v>11.998631387663677</v>
      </c>
      <c r="T128" s="18">
        <f>S128/Explications!$C$8</f>
        <v>0.39995437958878921</v>
      </c>
    </row>
    <row r="129" spans="7:20">
      <c r="G129" s="10" t="s">
        <v>14</v>
      </c>
      <c r="H129" s="10" t="s">
        <v>60</v>
      </c>
      <c r="I129" s="10">
        <v>46.814900000000002</v>
      </c>
      <c r="J129" s="10">
        <v>-71.215400000000002</v>
      </c>
      <c r="K129" s="10">
        <v>46.802900000000001</v>
      </c>
      <c r="L129" s="10">
        <v>-71.228899999999996</v>
      </c>
      <c r="M129" s="6" t="str">
        <f t="shared" si="8"/>
        <v>C1</v>
      </c>
      <c r="N129" s="6" t="str">
        <f t="shared" si="9"/>
        <v>C44</v>
      </c>
      <c r="O129" s="5">
        <f t="shared" si="10"/>
        <v>1.6840616038403005</v>
      </c>
      <c r="P129" s="22">
        <f>O129/Explications!$C$8</f>
        <v>5.6135386794676681E-2</v>
      </c>
      <c r="Q129" s="7" t="str">
        <f t="shared" si="11"/>
        <v>C44</v>
      </c>
      <c r="R129" s="7" t="str">
        <f t="shared" si="12"/>
        <v>C1</v>
      </c>
      <c r="S129" s="18">
        <f t="shared" si="13"/>
        <v>1.6840616038403005</v>
      </c>
      <c r="T129" s="18">
        <f>S129/Explications!$C$8</f>
        <v>5.6135386794676681E-2</v>
      </c>
    </row>
    <row r="130" spans="7:20">
      <c r="G130" s="10" t="s">
        <v>14</v>
      </c>
      <c r="H130" s="10" t="s">
        <v>61</v>
      </c>
      <c r="I130" s="10">
        <v>46.814900000000002</v>
      </c>
      <c r="J130" s="10">
        <v>-71.215400000000002</v>
      </c>
      <c r="K130" s="10">
        <v>46.796900000000001</v>
      </c>
      <c r="L130" s="10">
        <v>-71.3078</v>
      </c>
      <c r="M130" s="6" t="str">
        <f t="shared" si="8"/>
        <v>C1</v>
      </c>
      <c r="N130" s="6" t="str">
        <f t="shared" si="9"/>
        <v>C45</v>
      </c>
      <c r="O130" s="5">
        <f t="shared" si="10"/>
        <v>7.3118225738613205</v>
      </c>
      <c r="P130" s="22">
        <f>O130/Explications!$C$8</f>
        <v>0.24372741912871068</v>
      </c>
      <c r="Q130" s="7" t="str">
        <f t="shared" si="11"/>
        <v>C45</v>
      </c>
      <c r="R130" s="7" t="str">
        <f t="shared" si="12"/>
        <v>C1</v>
      </c>
      <c r="S130" s="18">
        <f t="shared" si="13"/>
        <v>7.3118225738613205</v>
      </c>
      <c r="T130" s="18">
        <f>S130/Explications!$C$8</f>
        <v>0.24372741912871068</v>
      </c>
    </row>
    <row r="131" spans="7:20">
      <c r="G131" s="10" t="s">
        <v>14</v>
      </c>
      <c r="H131" s="10" t="s">
        <v>62</v>
      </c>
      <c r="I131" s="10">
        <v>46.814900000000002</v>
      </c>
      <c r="J131" s="10">
        <v>-71.215400000000002</v>
      </c>
      <c r="K131" s="10">
        <v>46.803600000000003</v>
      </c>
      <c r="L131" s="10">
        <v>-71.231099999999998</v>
      </c>
      <c r="M131" s="6" t="str">
        <f t="shared" ref="M131:M194" si="14">G131</f>
        <v>C1</v>
      </c>
      <c r="N131" s="6" t="str">
        <f t="shared" ref="N131:N194" si="15">H131</f>
        <v>C46</v>
      </c>
      <c r="O131" s="5">
        <f t="shared" ref="O131:O194" si="16">ACOS(SIN(RADIANS(I131))*SIN(RADIANS(K131))+COS(RADIANS(I131))*COS(RADIANS(K131))*COS(RADIANS(J131-L131)))*6371</f>
        <v>1.7339160331006453</v>
      </c>
      <c r="P131" s="22">
        <f>O131/Explications!$C$8</f>
        <v>5.7797201103354845E-2</v>
      </c>
      <c r="Q131" s="7" t="str">
        <f t="shared" si="11"/>
        <v>C46</v>
      </c>
      <c r="R131" s="7" t="str">
        <f t="shared" si="12"/>
        <v>C1</v>
      </c>
      <c r="S131" s="18">
        <f t="shared" si="13"/>
        <v>1.7339160331006453</v>
      </c>
      <c r="T131" s="18">
        <f>S131/Explications!$C$8</f>
        <v>5.7797201103354845E-2</v>
      </c>
    </row>
    <row r="132" spans="7:20">
      <c r="G132" s="10" t="s">
        <v>14</v>
      </c>
      <c r="H132" s="10" t="s">
        <v>63</v>
      </c>
      <c r="I132" s="10">
        <v>46.814900000000002</v>
      </c>
      <c r="J132" s="10">
        <v>-71.215400000000002</v>
      </c>
      <c r="K132" s="10">
        <v>46.802399999999999</v>
      </c>
      <c r="L132" s="10">
        <v>-71.269800000000004</v>
      </c>
      <c r="M132" s="6" t="str">
        <f t="shared" si="14"/>
        <v>C1</v>
      </c>
      <c r="N132" s="6" t="str">
        <f t="shared" si="15"/>
        <v>C47</v>
      </c>
      <c r="O132" s="5">
        <f t="shared" si="16"/>
        <v>4.3672494390596341</v>
      </c>
      <c r="P132" s="22">
        <f>O132/Explications!$C$8</f>
        <v>0.14557498130198782</v>
      </c>
      <c r="Q132" s="7" t="str">
        <f t="shared" ref="Q132:Q195" si="17">N132</f>
        <v>C47</v>
      </c>
      <c r="R132" s="7" t="str">
        <f t="shared" ref="R132:R195" si="18">M132</f>
        <v>C1</v>
      </c>
      <c r="S132" s="18">
        <f t="shared" ref="S132:S195" si="19">O132</f>
        <v>4.3672494390596341</v>
      </c>
      <c r="T132" s="18">
        <f>S132/Explications!$C$8</f>
        <v>0.14557498130198782</v>
      </c>
    </row>
    <row r="133" spans="7:20">
      <c r="G133" s="10" t="s">
        <v>14</v>
      </c>
      <c r="H133" s="10" t="s">
        <v>64</v>
      </c>
      <c r="I133" s="10">
        <v>46.814900000000002</v>
      </c>
      <c r="J133" s="10">
        <v>-71.215400000000002</v>
      </c>
      <c r="K133" s="10">
        <v>46.826799999999999</v>
      </c>
      <c r="L133" s="10">
        <v>-71.224199999999996</v>
      </c>
      <c r="M133" s="6" t="str">
        <f t="shared" si="14"/>
        <v>C1</v>
      </c>
      <c r="N133" s="6" t="str">
        <f t="shared" si="15"/>
        <v>C48</v>
      </c>
      <c r="O133" s="5">
        <f t="shared" si="16"/>
        <v>1.4829861312915793</v>
      </c>
      <c r="P133" s="22">
        <f>O133/Explications!$C$8</f>
        <v>4.9432871043052641E-2</v>
      </c>
      <c r="Q133" s="7" t="str">
        <f t="shared" si="17"/>
        <v>C48</v>
      </c>
      <c r="R133" s="7" t="str">
        <f t="shared" si="18"/>
        <v>C1</v>
      </c>
      <c r="S133" s="18">
        <f t="shared" si="19"/>
        <v>1.4829861312915793</v>
      </c>
      <c r="T133" s="18">
        <f>S133/Explications!$C$8</f>
        <v>4.9432871043052641E-2</v>
      </c>
    </row>
    <row r="134" spans="7:20">
      <c r="G134" s="10" t="s">
        <v>14</v>
      </c>
      <c r="H134" s="10" t="s">
        <v>65</v>
      </c>
      <c r="I134" s="10">
        <v>46.814900000000002</v>
      </c>
      <c r="J134" s="10">
        <v>-71.215400000000002</v>
      </c>
      <c r="K134" s="10">
        <v>46.864100000000001</v>
      </c>
      <c r="L134" s="10">
        <v>-71.255499999999998</v>
      </c>
      <c r="M134" s="6" t="str">
        <f t="shared" si="14"/>
        <v>C1</v>
      </c>
      <c r="N134" s="6" t="str">
        <f t="shared" si="15"/>
        <v>C49</v>
      </c>
      <c r="O134" s="5">
        <f t="shared" si="16"/>
        <v>6.263596057885346</v>
      </c>
      <c r="P134" s="22">
        <f>O134/Explications!$C$8</f>
        <v>0.20878653526284488</v>
      </c>
      <c r="Q134" s="7" t="str">
        <f t="shared" si="17"/>
        <v>C49</v>
      </c>
      <c r="R134" s="7" t="str">
        <f t="shared" si="18"/>
        <v>C1</v>
      </c>
      <c r="S134" s="18">
        <f t="shared" si="19"/>
        <v>6.263596057885346</v>
      </c>
      <c r="T134" s="18">
        <f>S134/Explications!$C$8</f>
        <v>0.20878653526284488</v>
      </c>
    </row>
    <row r="135" spans="7:20">
      <c r="G135" s="10" t="s">
        <v>14</v>
      </c>
      <c r="H135" s="10" t="s">
        <v>66</v>
      </c>
      <c r="I135" s="10">
        <v>46.814900000000002</v>
      </c>
      <c r="J135" s="10">
        <v>-71.215400000000002</v>
      </c>
      <c r="K135" s="10">
        <v>46.843800000000002</v>
      </c>
      <c r="L135" s="10">
        <v>-71.247299999999996</v>
      </c>
      <c r="M135" s="6" t="str">
        <f t="shared" si="14"/>
        <v>C1</v>
      </c>
      <c r="N135" s="6" t="str">
        <f t="shared" si="15"/>
        <v>C50</v>
      </c>
      <c r="O135" s="5">
        <f t="shared" si="16"/>
        <v>4.0269555318832699</v>
      </c>
      <c r="P135" s="22">
        <f>O135/Explications!$C$8</f>
        <v>0.13423185106277566</v>
      </c>
      <c r="Q135" s="7" t="str">
        <f t="shared" si="17"/>
        <v>C50</v>
      </c>
      <c r="R135" s="7" t="str">
        <f t="shared" si="18"/>
        <v>C1</v>
      </c>
      <c r="S135" s="18">
        <f t="shared" si="19"/>
        <v>4.0269555318832699</v>
      </c>
      <c r="T135" s="18">
        <f>S135/Explications!$C$8</f>
        <v>0.13423185106277566</v>
      </c>
    </row>
    <row r="136" spans="7:20">
      <c r="G136" s="10" t="s">
        <v>14</v>
      </c>
      <c r="H136" s="10" t="s">
        <v>67</v>
      </c>
      <c r="I136" s="10">
        <v>46.814900000000002</v>
      </c>
      <c r="J136" s="10">
        <v>-71.215400000000002</v>
      </c>
      <c r="K136" s="10">
        <v>46.765599999999999</v>
      </c>
      <c r="L136" s="10">
        <v>-71.312100000000001</v>
      </c>
      <c r="M136" s="6" t="str">
        <f t="shared" si="14"/>
        <v>C1</v>
      </c>
      <c r="N136" s="6" t="str">
        <f t="shared" si="15"/>
        <v>C51</v>
      </c>
      <c r="O136" s="5">
        <f t="shared" si="16"/>
        <v>9.1787675628905667</v>
      </c>
      <c r="P136" s="22">
        <f>O136/Explications!$C$8</f>
        <v>0.30595891876301889</v>
      </c>
      <c r="Q136" s="7" t="str">
        <f t="shared" si="17"/>
        <v>C51</v>
      </c>
      <c r="R136" s="7" t="str">
        <f t="shared" si="18"/>
        <v>C1</v>
      </c>
      <c r="S136" s="18">
        <f t="shared" si="19"/>
        <v>9.1787675628905667</v>
      </c>
      <c r="T136" s="18">
        <f>S136/Explications!$C$8</f>
        <v>0.30595891876301889</v>
      </c>
    </row>
    <row r="137" spans="7:20">
      <c r="G137" s="10" t="s">
        <v>14</v>
      </c>
      <c r="H137" s="10" t="s">
        <v>68</v>
      </c>
      <c r="I137" s="10">
        <v>46.814900000000002</v>
      </c>
      <c r="J137" s="10">
        <v>-71.215400000000002</v>
      </c>
      <c r="K137" s="10">
        <v>46.787599999999998</v>
      </c>
      <c r="L137" s="10">
        <v>-71.288600000000002</v>
      </c>
      <c r="M137" s="6" t="str">
        <f t="shared" si="14"/>
        <v>C1</v>
      </c>
      <c r="N137" s="6" t="str">
        <f t="shared" si="15"/>
        <v>C52</v>
      </c>
      <c r="O137" s="5">
        <f t="shared" si="16"/>
        <v>6.3450027220768677</v>
      </c>
      <c r="P137" s="22">
        <f>O137/Explications!$C$8</f>
        <v>0.2115000907358956</v>
      </c>
      <c r="Q137" s="7" t="str">
        <f t="shared" si="17"/>
        <v>C52</v>
      </c>
      <c r="R137" s="7" t="str">
        <f t="shared" si="18"/>
        <v>C1</v>
      </c>
      <c r="S137" s="18">
        <f t="shared" si="19"/>
        <v>6.3450027220768677</v>
      </c>
      <c r="T137" s="18">
        <f>S137/Explications!$C$8</f>
        <v>0.2115000907358956</v>
      </c>
    </row>
    <row r="138" spans="7:20">
      <c r="G138" s="10" t="s">
        <v>14</v>
      </c>
      <c r="H138" s="10" t="s">
        <v>69</v>
      </c>
      <c r="I138" s="10">
        <v>46.814900000000002</v>
      </c>
      <c r="J138" s="10">
        <v>-71.215400000000002</v>
      </c>
      <c r="K138" s="10">
        <v>46.764600000000002</v>
      </c>
      <c r="L138" s="10">
        <v>-71.308300000000003</v>
      </c>
      <c r="M138" s="6" t="str">
        <f t="shared" si="14"/>
        <v>C1</v>
      </c>
      <c r="N138" s="6" t="str">
        <f t="shared" si="15"/>
        <v>C53</v>
      </c>
      <c r="O138" s="5">
        <f t="shared" si="16"/>
        <v>9.0169969677112878</v>
      </c>
      <c r="P138" s="22">
        <f>O138/Explications!$C$8</f>
        <v>0.30056656559037626</v>
      </c>
      <c r="Q138" s="7" t="str">
        <f t="shared" si="17"/>
        <v>C53</v>
      </c>
      <c r="R138" s="7" t="str">
        <f t="shared" si="18"/>
        <v>C1</v>
      </c>
      <c r="S138" s="18">
        <f t="shared" si="19"/>
        <v>9.0169969677112878</v>
      </c>
      <c r="T138" s="18">
        <f>S138/Explications!$C$8</f>
        <v>0.30056656559037626</v>
      </c>
    </row>
    <row r="139" spans="7:20">
      <c r="G139" s="10" t="s">
        <v>14</v>
      </c>
      <c r="H139" s="10" t="s">
        <v>70</v>
      </c>
      <c r="I139" s="10">
        <v>46.814900000000002</v>
      </c>
      <c r="J139" s="10">
        <v>-71.215400000000002</v>
      </c>
      <c r="K139" s="10">
        <v>46.849699999999999</v>
      </c>
      <c r="L139" s="10">
        <v>-71.097399999999993</v>
      </c>
      <c r="M139" s="6" t="str">
        <f t="shared" si="14"/>
        <v>C1</v>
      </c>
      <c r="N139" s="6" t="str">
        <f t="shared" si="15"/>
        <v>C54</v>
      </c>
      <c r="O139" s="5">
        <f t="shared" si="16"/>
        <v>9.7750754393037056</v>
      </c>
      <c r="P139" s="22">
        <f>O139/Explications!$C$8</f>
        <v>0.32583584797679016</v>
      </c>
      <c r="Q139" s="7" t="str">
        <f t="shared" si="17"/>
        <v>C54</v>
      </c>
      <c r="R139" s="7" t="str">
        <f t="shared" si="18"/>
        <v>C1</v>
      </c>
      <c r="S139" s="18">
        <f t="shared" si="19"/>
        <v>9.7750754393037056</v>
      </c>
      <c r="T139" s="18">
        <f>S139/Explications!$C$8</f>
        <v>0.32583584797679016</v>
      </c>
    </row>
    <row r="140" spans="7:20">
      <c r="G140" s="10" t="s">
        <v>14</v>
      </c>
      <c r="H140" s="10" t="s">
        <v>71</v>
      </c>
      <c r="I140" s="10">
        <v>46.814900000000002</v>
      </c>
      <c r="J140" s="10">
        <v>-71.215400000000002</v>
      </c>
      <c r="K140" s="10">
        <v>46.788899999999998</v>
      </c>
      <c r="L140" s="10">
        <v>-71.321399999999997</v>
      </c>
      <c r="M140" s="6" t="str">
        <f t="shared" si="14"/>
        <v>C1</v>
      </c>
      <c r="N140" s="6" t="str">
        <f t="shared" si="15"/>
        <v>C55</v>
      </c>
      <c r="O140" s="5">
        <f t="shared" si="16"/>
        <v>8.5705755973233408</v>
      </c>
      <c r="P140" s="22">
        <f>O140/Explications!$C$8</f>
        <v>0.28568585324411139</v>
      </c>
      <c r="Q140" s="7" t="str">
        <f t="shared" si="17"/>
        <v>C55</v>
      </c>
      <c r="R140" s="7" t="str">
        <f t="shared" si="18"/>
        <v>C1</v>
      </c>
      <c r="S140" s="18">
        <f t="shared" si="19"/>
        <v>8.5705755973233408</v>
      </c>
      <c r="T140" s="18">
        <f>S140/Explications!$C$8</f>
        <v>0.28568585324411139</v>
      </c>
    </row>
    <row r="141" spans="7:20">
      <c r="G141" s="10" t="s">
        <v>14</v>
      </c>
      <c r="H141" s="10" t="s">
        <v>72</v>
      </c>
      <c r="I141" s="10">
        <v>46.814900000000002</v>
      </c>
      <c r="J141" s="10">
        <v>-71.215400000000002</v>
      </c>
      <c r="K141" s="10">
        <v>46.795400000000001</v>
      </c>
      <c r="L141" s="10">
        <v>-71.232600000000005</v>
      </c>
      <c r="M141" s="6" t="str">
        <f t="shared" si="14"/>
        <v>C1</v>
      </c>
      <c r="N141" s="6" t="str">
        <f t="shared" si="15"/>
        <v>C56</v>
      </c>
      <c r="O141" s="5">
        <f t="shared" si="16"/>
        <v>2.5328424550066129</v>
      </c>
      <c r="P141" s="22">
        <f>O141/Explications!$C$8</f>
        <v>8.4428081833553756E-2</v>
      </c>
      <c r="Q141" s="7" t="str">
        <f t="shared" si="17"/>
        <v>C56</v>
      </c>
      <c r="R141" s="7" t="str">
        <f t="shared" si="18"/>
        <v>C1</v>
      </c>
      <c r="S141" s="18">
        <f t="shared" si="19"/>
        <v>2.5328424550066129</v>
      </c>
      <c r="T141" s="18">
        <f>S141/Explications!$C$8</f>
        <v>8.4428081833553756E-2</v>
      </c>
    </row>
    <row r="142" spans="7:20">
      <c r="G142" s="10" t="s">
        <v>14</v>
      </c>
      <c r="H142" s="10" t="s">
        <v>73</v>
      </c>
      <c r="I142" s="10">
        <v>46.814900000000002</v>
      </c>
      <c r="J142" s="10">
        <v>-71.215400000000002</v>
      </c>
      <c r="K142" s="10">
        <v>46.801200000000001</v>
      </c>
      <c r="L142" s="10">
        <v>-71.224999999999994</v>
      </c>
      <c r="M142" s="6" t="str">
        <f t="shared" si="14"/>
        <v>C1</v>
      </c>
      <c r="N142" s="6" t="str">
        <f t="shared" si="15"/>
        <v>C57</v>
      </c>
      <c r="O142" s="5">
        <f t="shared" si="16"/>
        <v>1.6895178615977506</v>
      </c>
      <c r="P142" s="22">
        <f>O142/Explications!$C$8</f>
        <v>5.6317262053258356E-2</v>
      </c>
      <c r="Q142" s="7" t="str">
        <f t="shared" si="17"/>
        <v>C57</v>
      </c>
      <c r="R142" s="7" t="str">
        <f t="shared" si="18"/>
        <v>C1</v>
      </c>
      <c r="S142" s="18">
        <f t="shared" si="19"/>
        <v>1.6895178615977506</v>
      </c>
      <c r="T142" s="18">
        <f>S142/Explications!$C$8</f>
        <v>5.6317262053258356E-2</v>
      </c>
    </row>
    <row r="143" spans="7:20">
      <c r="G143" s="10" t="s">
        <v>14</v>
      </c>
      <c r="H143" s="10" t="s">
        <v>74</v>
      </c>
      <c r="I143" s="10">
        <v>46.814900000000002</v>
      </c>
      <c r="J143" s="10">
        <v>-71.215400000000002</v>
      </c>
      <c r="K143" s="10">
        <v>46.773200000000003</v>
      </c>
      <c r="L143" s="10">
        <v>-71.275899999999993</v>
      </c>
      <c r="M143" s="6" t="str">
        <f t="shared" si="14"/>
        <v>C1</v>
      </c>
      <c r="N143" s="6" t="str">
        <f t="shared" si="15"/>
        <v>C58</v>
      </c>
      <c r="O143" s="5">
        <f t="shared" si="16"/>
        <v>6.5354617754414415</v>
      </c>
      <c r="P143" s="22">
        <f>O143/Explications!$C$8</f>
        <v>0.21784872584804804</v>
      </c>
      <c r="Q143" s="7" t="str">
        <f t="shared" si="17"/>
        <v>C58</v>
      </c>
      <c r="R143" s="7" t="str">
        <f t="shared" si="18"/>
        <v>C1</v>
      </c>
      <c r="S143" s="18">
        <f t="shared" si="19"/>
        <v>6.5354617754414415</v>
      </c>
      <c r="T143" s="18">
        <f>S143/Explications!$C$8</f>
        <v>0.21784872584804804</v>
      </c>
    </row>
    <row r="144" spans="7:20">
      <c r="G144" s="10" t="s">
        <v>14</v>
      </c>
      <c r="H144" s="10" t="s">
        <v>75</v>
      </c>
      <c r="I144" s="10">
        <v>46.814900000000002</v>
      </c>
      <c r="J144" s="10">
        <v>-71.215400000000002</v>
      </c>
      <c r="K144" s="10">
        <v>46.814399999999999</v>
      </c>
      <c r="L144" s="10">
        <v>-71.225700000000003</v>
      </c>
      <c r="M144" s="6" t="str">
        <f t="shared" si="14"/>
        <v>C1</v>
      </c>
      <c r="N144" s="6" t="str">
        <f t="shared" si="15"/>
        <v>C59</v>
      </c>
      <c r="O144" s="5">
        <f t="shared" si="16"/>
        <v>0.78577296984515654</v>
      </c>
      <c r="P144" s="22">
        <f>O144/Explications!$C$8</f>
        <v>2.6192432328171884E-2</v>
      </c>
      <c r="Q144" s="7" t="str">
        <f t="shared" si="17"/>
        <v>C59</v>
      </c>
      <c r="R144" s="7" t="str">
        <f t="shared" si="18"/>
        <v>C1</v>
      </c>
      <c r="S144" s="18">
        <f t="shared" si="19"/>
        <v>0.78577296984515654</v>
      </c>
      <c r="T144" s="18">
        <f>S144/Explications!$C$8</f>
        <v>2.6192432328171884E-2</v>
      </c>
    </row>
    <row r="145" spans="7:20">
      <c r="G145" s="10" t="s">
        <v>14</v>
      </c>
      <c r="H145" s="10" t="s">
        <v>76</v>
      </c>
      <c r="I145" s="10">
        <v>46.814900000000002</v>
      </c>
      <c r="J145" s="10">
        <v>-71.215400000000002</v>
      </c>
      <c r="K145" s="10">
        <v>46.772500000000001</v>
      </c>
      <c r="L145" s="10">
        <v>-71.276300000000006</v>
      </c>
      <c r="M145" s="6" t="str">
        <f t="shared" si="14"/>
        <v>C1</v>
      </c>
      <c r="N145" s="6" t="str">
        <f t="shared" si="15"/>
        <v>C60</v>
      </c>
      <c r="O145" s="5">
        <f t="shared" si="16"/>
        <v>6.6122495902674689</v>
      </c>
      <c r="P145" s="22">
        <f>O145/Explications!$C$8</f>
        <v>0.2204083196755823</v>
      </c>
      <c r="Q145" s="7" t="str">
        <f t="shared" si="17"/>
        <v>C60</v>
      </c>
      <c r="R145" s="7" t="str">
        <f t="shared" si="18"/>
        <v>C1</v>
      </c>
      <c r="S145" s="18">
        <f t="shared" si="19"/>
        <v>6.6122495902674689</v>
      </c>
      <c r="T145" s="18">
        <f>S145/Explications!$C$8</f>
        <v>0.2204083196755823</v>
      </c>
    </row>
    <row r="146" spans="7:20">
      <c r="G146" s="10" t="s">
        <v>14</v>
      </c>
      <c r="H146" s="10" t="s">
        <v>77</v>
      </c>
      <c r="I146" s="10">
        <v>46.814900000000002</v>
      </c>
      <c r="J146" s="10">
        <v>-71.215400000000002</v>
      </c>
      <c r="K146" s="10">
        <v>46.810899999999997</v>
      </c>
      <c r="L146" s="10">
        <v>-71.215599999999995</v>
      </c>
      <c r="M146" s="6" t="str">
        <f t="shared" si="14"/>
        <v>C1</v>
      </c>
      <c r="N146" s="6" t="str">
        <f t="shared" si="15"/>
        <v>C61</v>
      </c>
      <c r="O146" s="5">
        <f t="shared" si="16"/>
        <v>0.44504003056460739</v>
      </c>
      <c r="P146" s="22">
        <f>O146/Explications!$C$8</f>
        <v>1.4834667685486913E-2</v>
      </c>
      <c r="Q146" s="7" t="str">
        <f t="shared" si="17"/>
        <v>C61</v>
      </c>
      <c r="R146" s="7" t="str">
        <f t="shared" si="18"/>
        <v>C1</v>
      </c>
      <c r="S146" s="18">
        <f t="shared" si="19"/>
        <v>0.44504003056460739</v>
      </c>
      <c r="T146" s="18">
        <f>S146/Explications!$C$8</f>
        <v>1.4834667685486913E-2</v>
      </c>
    </row>
    <row r="147" spans="7:20">
      <c r="G147" s="10" t="s">
        <v>14</v>
      </c>
      <c r="H147" s="10" t="s">
        <v>78</v>
      </c>
      <c r="I147" s="10">
        <v>46.814900000000002</v>
      </c>
      <c r="J147" s="10">
        <v>-71.215400000000002</v>
      </c>
      <c r="K147" s="10">
        <v>46.795200000000001</v>
      </c>
      <c r="L147" s="10">
        <v>-71.245099999999994</v>
      </c>
      <c r="M147" s="6" t="str">
        <f t="shared" si="14"/>
        <v>C1</v>
      </c>
      <c r="N147" s="6" t="str">
        <f t="shared" si="15"/>
        <v>C62</v>
      </c>
      <c r="O147" s="5">
        <f t="shared" si="16"/>
        <v>3.1477473764568353</v>
      </c>
      <c r="P147" s="22">
        <f>O147/Explications!$C$8</f>
        <v>0.10492491254856118</v>
      </c>
      <c r="Q147" s="7" t="str">
        <f t="shared" si="17"/>
        <v>C62</v>
      </c>
      <c r="R147" s="7" t="str">
        <f t="shared" si="18"/>
        <v>C1</v>
      </c>
      <c r="S147" s="18">
        <f t="shared" si="19"/>
        <v>3.1477473764568353</v>
      </c>
      <c r="T147" s="18">
        <f>S147/Explications!$C$8</f>
        <v>0.10492491254856118</v>
      </c>
    </row>
    <row r="148" spans="7:20">
      <c r="G148" s="10" t="s">
        <v>14</v>
      </c>
      <c r="H148" s="10" t="s">
        <v>79</v>
      </c>
      <c r="I148" s="10">
        <v>46.814900000000002</v>
      </c>
      <c r="J148" s="10">
        <v>-71.215400000000002</v>
      </c>
      <c r="K148" s="10">
        <v>46.822000000000003</v>
      </c>
      <c r="L148" s="10">
        <v>-71.345699999999994</v>
      </c>
      <c r="M148" s="6" t="str">
        <f t="shared" si="14"/>
        <v>C1</v>
      </c>
      <c r="N148" s="6" t="str">
        <f t="shared" si="15"/>
        <v>C63</v>
      </c>
      <c r="O148" s="5">
        <f t="shared" si="16"/>
        <v>9.9461766103969698</v>
      </c>
      <c r="P148" s="22">
        <f>O148/Explications!$C$8</f>
        <v>0.33153922034656563</v>
      </c>
      <c r="Q148" s="7" t="str">
        <f t="shared" si="17"/>
        <v>C63</v>
      </c>
      <c r="R148" s="7" t="str">
        <f t="shared" si="18"/>
        <v>C1</v>
      </c>
      <c r="S148" s="18">
        <f t="shared" si="19"/>
        <v>9.9461766103969698</v>
      </c>
      <c r="T148" s="18">
        <f>S148/Explications!$C$8</f>
        <v>0.33153922034656563</v>
      </c>
    </row>
    <row r="149" spans="7:20">
      <c r="G149" s="10" t="s">
        <v>14</v>
      </c>
      <c r="H149" s="10" t="s">
        <v>80</v>
      </c>
      <c r="I149" s="10">
        <v>46.814900000000002</v>
      </c>
      <c r="J149" s="10">
        <v>-71.215400000000002</v>
      </c>
      <c r="K149" s="10">
        <v>46.779400000000003</v>
      </c>
      <c r="L149" s="10">
        <v>-71.350399999999993</v>
      </c>
      <c r="M149" s="6" t="str">
        <f t="shared" si="14"/>
        <v>C1</v>
      </c>
      <c r="N149" s="6" t="str">
        <f t="shared" si="15"/>
        <v>C64</v>
      </c>
      <c r="O149" s="5">
        <f t="shared" si="16"/>
        <v>11.008563281408545</v>
      </c>
      <c r="P149" s="22">
        <f>O149/Explications!$C$8</f>
        <v>0.36695210938028483</v>
      </c>
      <c r="Q149" s="7" t="str">
        <f t="shared" si="17"/>
        <v>C64</v>
      </c>
      <c r="R149" s="7" t="str">
        <f t="shared" si="18"/>
        <v>C1</v>
      </c>
      <c r="S149" s="18">
        <f t="shared" si="19"/>
        <v>11.008563281408545</v>
      </c>
      <c r="T149" s="18">
        <f>S149/Explications!$C$8</f>
        <v>0.36695210938028483</v>
      </c>
    </row>
    <row r="150" spans="7:20">
      <c r="G150" s="10" t="s">
        <v>14</v>
      </c>
      <c r="H150" s="10" t="s">
        <v>81</v>
      </c>
      <c r="I150" s="10">
        <v>46.814900000000002</v>
      </c>
      <c r="J150" s="10">
        <v>-71.215400000000002</v>
      </c>
      <c r="K150" s="10">
        <v>46.772300000000001</v>
      </c>
      <c r="L150" s="10">
        <v>-71.279799999999994</v>
      </c>
      <c r="M150" s="6" t="str">
        <f t="shared" si="14"/>
        <v>C1</v>
      </c>
      <c r="N150" s="6" t="str">
        <f t="shared" si="15"/>
        <v>C65</v>
      </c>
      <c r="O150" s="5">
        <f t="shared" si="16"/>
        <v>6.8171599120303092</v>
      </c>
      <c r="P150" s="22">
        <f>O150/Explications!$C$8</f>
        <v>0.22723866373434365</v>
      </c>
      <c r="Q150" s="7" t="str">
        <f t="shared" si="17"/>
        <v>C65</v>
      </c>
      <c r="R150" s="7" t="str">
        <f t="shared" si="18"/>
        <v>C1</v>
      </c>
      <c r="S150" s="18">
        <f t="shared" si="19"/>
        <v>6.8171599120303092</v>
      </c>
      <c r="T150" s="18">
        <f>S150/Explications!$C$8</f>
        <v>0.22723866373434365</v>
      </c>
    </row>
    <row r="151" spans="7:20">
      <c r="G151" s="10" t="s">
        <v>14</v>
      </c>
      <c r="H151" s="10" t="s">
        <v>82</v>
      </c>
      <c r="I151" s="10">
        <v>46.814900000000002</v>
      </c>
      <c r="J151" s="10">
        <v>-71.215400000000002</v>
      </c>
      <c r="K151" s="10">
        <v>46.814900000000002</v>
      </c>
      <c r="L151" s="10">
        <v>-71.225200000000001</v>
      </c>
      <c r="M151" s="6" t="str">
        <f t="shared" si="14"/>
        <v>C1</v>
      </c>
      <c r="N151" s="6" t="str">
        <f t="shared" si="15"/>
        <v>C66</v>
      </c>
      <c r="O151" s="5">
        <f t="shared" si="16"/>
        <v>0.74575141562029179</v>
      </c>
      <c r="P151" s="22">
        <f>O151/Explications!$C$8</f>
        <v>2.4858380520676394E-2</v>
      </c>
      <c r="Q151" s="7" t="str">
        <f t="shared" si="17"/>
        <v>C66</v>
      </c>
      <c r="R151" s="7" t="str">
        <f t="shared" si="18"/>
        <v>C1</v>
      </c>
      <c r="S151" s="18">
        <f t="shared" si="19"/>
        <v>0.74575141562029179</v>
      </c>
      <c r="T151" s="18">
        <f>S151/Explications!$C$8</f>
        <v>2.4858380520676394E-2</v>
      </c>
    </row>
    <row r="152" spans="7:20">
      <c r="G152" s="10" t="s">
        <v>14</v>
      </c>
      <c r="H152" s="10" t="s">
        <v>83</v>
      </c>
      <c r="I152" s="10">
        <v>46.814900000000002</v>
      </c>
      <c r="J152" s="10">
        <v>-71.215400000000002</v>
      </c>
      <c r="K152" s="10">
        <v>46.814700000000002</v>
      </c>
      <c r="L152" s="10">
        <v>-71.207300000000004</v>
      </c>
      <c r="M152" s="6" t="str">
        <f t="shared" si="14"/>
        <v>C1</v>
      </c>
      <c r="N152" s="6" t="str">
        <f t="shared" si="15"/>
        <v>C67</v>
      </c>
      <c r="O152" s="5">
        <f t="shared" si="16"/>
        <v>0.61678857434912526</v>
      </c>
      <c r="P152" s="22">
        <f>O152/Explications!$C$8</f>
        <v>2.0559619144970842E-2</v>
      </c>
      <c r="Q152" s="7" t="str">
        <f t="shared" si="17"/>
        <v>C67</v>
      </c>
      <c r="R152" s="7" t="str">
        <f t="shared" si="18"/>
        <v>C1</v>
      </c>
      <c r="S152" s="18">
        <f t="shared" si="19"/>
        <v>0.61678857434912526</v>
      </c>
      <c r="T152" s="18">
        <f>S152/Explications!$C$8</f>
        <v>2.0559619144970842E-2</v>
      </c>
    </row>
    <row r="153" spans="7:20">
      <c r="G153" s="10" t="s">
        <v>14</v>
      </c>
      <c r="H153" s="10" t="s">
        <v>84</v>
      </c>
      <c r="I153" s="10">
        <v>46.814900000000002</v>
      </c>
      <c r="J153" s="10">
        <v>-71.215400000000002</v>
      </c>
      <c r="K153" s="10">
        <v>46.815600000000003</v>
      </c>
      <c r="L153" s="10">
        <v>-71.2029</v>
      </c>
      <c r="M153" s="6" t="str">
        <f t="shared" si="14"/>
        <v>C1</v>
      </c>
      <c r="N153" s="6" t="str">
        <f t="shared" si="15"/>
        <v>C68</v>
      </c>
      <c r="O153" s="5">
        <f t="shared" si="16"/>
        <v>0.95438668084713196</v>
      </c>
      <c r="P153" s="22">
        <f>O153/Explications!$C$8</f>
        <v>3.1812889361571069E-2</v>
      </c>
      <c r="Q153" s="7" t="str">
        <f t="shared" si="17"/>
        <v>C68</v>
      </c>
      <c r="R153" s="7" t="str">
        <f t="shared" si="18"/>
        <v>C1</v>
      </c>
      <c r="S153" s="18">
        <f t="shared" si="19"/>
        <v>0.95438668084713196</v>
      </c>
      <c r="T153" s="18">
        <f>S153/Explications!$C$8</f>
        <v>3.1812889361571069E-2</v>
      </c>
    </row>
    <row r="154" spans="7:20">
      <c r="G154" s="10" t="s">
        <v>14</v>
      </c>
      <c r="H154" s="10" t="s">
        <v>85</v>
      </c>
      <c r="I154" s="10">
        <v>46.814900000000002</v>
      </c>
      <c r="J154" s="10">
        <v>-71.215400000000002</v>
      </c>
      <c r="K154" s="10">
        <v>46.821899999999999</v>
      </c>
      <c r="L154" s="10">
        <v>-71.249899999999997</v>
      </c>
      <c r="M154" s="6" t="str">
        <f t="shared" si="14"/>
        <v>C1</v>
      </c>
      <c r="N154" s="6" t="str">
        <f t="shared" si="15"/>
        <v>C69</v>
      </c>
      <c r="O154" s="5">
        <f t="shared" si="16"/>
        <v>2.7381404777339915</v>
      </c>
      <c r="P154" s="22">
        <f>O154/Explications!$C$8</f>
        <v>9.1271349257799714E-2</v>
      </c>
      <c r="Q154" s="7" t="str">
        <f t="shared" si="17"/>
        <v>C69</v>
      </c>
      <c r="R154" s="7" t="str">
        <f t="shared" si="18"/>
        <v>C1</v>
      </c>
      <c r="S154" s="18">
        <f t="shared" si="19"/>
        <v>2.7381404777339915</v>
      </c>
      <c r="T154" s="18">
        <f>S154/Explications!$C$8</f>
        <v>9.1271349257799714E-2</v>
      </c>
    </row>
    <row r="155" spans="7:20">
      <c r="G155" s="10" t="s">
        <v>14</v>
      </c>
      <c r="H155" s="10" t="s">
        <v>86</v>
      </c>
      <c r="I155" s="10">
        <v>46.814900000000002</v>
      </c>
      <c r="J155" s="10">
        <v>-71.215400000000002</v>
      </c>
      <c r="K155" s="10">
        <v>46.8872</v>
      </c>
      <c r="L155" s="10">
        <v>-71.27</v>
      </c>
      <c r="M155" s="6" t="str">
        <f t="shared" si="14"/>
        <v>C1</v>
      </c>
      <c r="N155" s="6" t="str">
        <f t="shared" si="15"/>
        <v>C70</v>
      </c>
      <c r="O155" s="5">
        <f t="shared" si="16"/>
        <v>9.048305016659846</v>
      </c>
      <c r="P155" s="22">
        <f>O155/Explications!$C$8</f>
        <v>0.30161016722199485</v>
      </c>
      <c r="Q155" s="7" t="str">
        <f t="shared" si="17"/>
        <v>C70</v>
      </c>
      <c r="R155" s="7" t="str">
        <f t="shared" si="18"/>
        <v>C1</v>
      </c>
      <c r="S155" s="18">
        <f t="shared" si="19"/>
        <v>9.048305016659846</v>
      </c>
      <c r="T155" s="18">
        <f>S155/Explications!$C$8</f>
        <v>0.30161016722199485</v>
      </c>
    </row>
    <row r="156" spans="7:20">
      <c r="G156" s="10" t="s">
        <v>14</v>
      </c>
      <c r="H156" s="10" t="s">
        <v>87</v>
      </c>
      <c r="I156" s="10">
        <v>46.814900000000002</v>
      </c>
      <c r="J156" s="10">
        <v>-71.215400000000002</v>
      </c>
      <c r="K156" s="10">
        <v>46.816299999999998</v>
      </c>
      <c r="L156" s="10">
        <v>-71.210300000000004</v>
      </c>
      <c r="M156" s="6" t="str">
        <f t="shared" si="14"/>
        <v>C1</v>
      </c>
      <c r="N156" s="6" t="str">
        <f t="shared" si="15"/>
        <v>C71</v>
      </c>
      <c r="O156" s="5">
        <f t="shared" si="16"/>
        <v>0.41814823986171556</v>
      </c>
      <c r="P156" s="22">
        <f>O156/Explications!$C$8</f>
        <v>1.3938274662057186E-2</v>
      </c>
      <c r="Q156" s="7" t="str">
        <f t="shared" si="17"/>
        <v>C71</v>
      </c>
      <c r="R156" s="7" t="str">
        <f t="shared" si="18"/>
        <v>C1</v>
      </c>
      <c r="S156" s="18">
        <f t="shared" si="19"/>
        <v>0.41814823986171556</v>
      </c>
      <c r="T156" s="18">
        <f>S156/Explications!$C$8</f>
        <v>1.3938274662057186E-2</v>
      </c>
    </row>
    <row r="157" spans="7:20">
      <c r="G157" s="10" t="s">
        <v>14</v>
      </c>
      <c r="H157" s="10" t="s">
        <v>88</v>
      </c>
      <c r="I157" s="10">
        <v>46.814900000000002</v>
      </c>
      <c r="J157" s="10">
        <v>-71.215400000000002</v>
      </c>
      <c r="K157" s="10">
        <v>46.807000000000002</v>
      </c>
      <c r="L157" s="10">
        <v>-71.3566</v>
      </c>
      <c r="M157" s="6" t="str">
        <f t="shared" si="14"/>
        <v>C1</v>
      </c>
      <c r="N157" s="6" t="str">
        <f t="shared" si="15"/>
        <v>C72</v>
      </c>
      <c r="O157" s="5">
        <f t="shared" si="16"/>
        <v>10.781541490109975</v>
      </c>
      <c r="P157" s="22">
        <f>O157/Explications!$C$8</f>
        <v>0.35938471633699914</v>
      </c>
      <c r="Q157" s="7" t="str">
        <f t="shared" si="17"/>
        <v>C72</v>
      </c>
      <c r="R157" s="7" t="str">
        <f t="shared" si="18"/>
        <v>C1</v>
      </c>
      <c r="S157" s="18">
        <f t="shared" si="19"/>
        <v>10.781541490109975</v>
      </c>
      <c r="T157" s="18">
        <f>S157/Explications!$C$8</f>
        <v>0.35938471633699914</v>
      </c>
    </row>
    <row r="158" spans="7:20">
      <c r="G158" s="10" t="s">
        <v>14</v>
      </c>
      <c r="H158" s="10" t="s">
        <v>89</v>
      </c>
      <c r="I158" s="10">
        <v>46.814900000000002</v>
      </c>
      <c r="J158" s="10">
        <v>-71.215400000000002</v>
      </c>
      <c r="K158" s="10">
        <v>46.822899999999997</v>
      </c>
      <c r="L158" s="10">
        <v>-71.341899999999995</v>
      </c>
      <c r="M158" s="6" t="str">
        <f t="shared" si="14"/>
        <v>C1</v>
      </c>
      <c r="N158" s="6" t="str">
        <f t="shared" si="15"/>
        <v>C73</v>
      </c>
      <c r="O158" s="5">
        <f t="shared" si="16"/>
        <v>9.6665814348082293</v>
      </c>
      <c r="P158" s="22">
        <f>O158/Explications!$C$8</f>
        <v>0.32221938116027432</v>
      </c>
      <c r="Q158" s="7" t="str">
        <f t="shared" si="17"/>
        <v>C73</v>
      </c>
      <c r="R158" s="7" t="str">
        <f t="shared" si="18"/>
        <v>C1</v>
      </c>
      <c r="S158" s="18">
        <f t="shared" si="19"/>
        <v>9.6665814348082293</v>
      </c>
      <c r="T158" s="18">
        <f>S158/Explications!$C$8</f>
        <v>0.32221938116027432</v>
      </c>
    </row>
    <row r="159" spans="7:20">
      <c r="G159" s="10" t="s">
        <v>14</v>
      </c>
      <c r="H159" s="10" t="s">
        <v>90</v>
      </c>
      <c r="I159" s="10">
        <v>46.814900000000002</v>
      </c>
      <c r="J159" s="10">
        <v>-71.215400000000002</v>
      </c>
      <c r="K159" s="10">
        <v>46.730699999999999</v>
      </c>
      <c r="L159" s="10">
        <v>-71.261099999999999</v>
      </c>
      <c r="M159" s="6" t="str">
        <f t="shared" si="14"/>
        <v>C1</v>
      </c>
      <c r="N159" s="6" t="str">
        <f t="shared" si="15"/>
        <v>C74</v>
      </c>
      <c r="O159" s="5">
        <f t="shared" si="16"/>
        <v>9.9885636081091693</v>
      </c>
      <c r="P159" s="22">
        <f>O159/Explications!$C$8</f>
        <v>0.33295212027030563</v>
      </c>
      <c r="Q159" s="7" t="str">
        <f t="shared" si="17"/>
        <v>C74</v>
      </c>
      <c r="R159" s="7" t="str">
        <f t="shared" si="18"/>
        <v>C1</v>
      </c>
      <c r="S159" s="18">
        <f t="shared" si="19"/>
        <v>9.9885636081091693</v>
      </c>
      <c r="T159" s="18">
        <f>S159/Explications!$C$8</f>
        <v>0.33295212027030563</v>
      </c>
    </row>
    <row r="160" spans="7:20">
      <c r="G160" s="10" t="s">
        <v>14</v>
      </c>
      <c r="H160" s="10" t="s">
        <v>91</v>
      </c>
      <c r="I160" s="10">
        <v>46.814900000000002</v>
      </c>
      <c r="J160" s="10">
        <v>-71.215400000000002</v>
      </c>
      <c r="K160" s="10">
        <v>46.840600000000002</v>
      </c>
      <c r="L160" s="10">
        <v>-71.289100000000005</v>
      </c>
      <c r="M160" s="6" t="str">
        <f t="shared" si="14"/>
        <v>C1</v>
      </c>
      <c r="N160" s="6" t="str">
        <f t="shared" si="15"/>
        <v>C75</v>
      </c>
      <c r="O160" s="5">
        <f t="shared" si="16"/>
        <v>6.2932594244425299</v>
      </c>
      <c r="P160" s="22">
        <f>O160/Explications!$C$8</f>
        <v>0.20977531414808434</v>
      </c>
      <c r="Q160" s="7" t="str">
        <f t="shared" si="17"/>
        <v>C75</v>
      </c>
      <c r="R160" s="7" t="str">
        <f t="shared" si="18"/>
        <v>C1</v>
      </c>
      <c r="S160" s="18">
        <f t="shared" si="19"/>
        <v>6.2932594244425299</v>
      </c>
      <c r="T160" s="18">
        <f>S160/Explications!$C$8</f>
        <v>0.20977531414808434</v>
      </c>
    </row>
    <row r="161" spans="7:20">
      <c r="G161" s="10" t="s">
        <v>14</v>
      </c>
      <c r="H161" s="10" t="s">
        <v>92</v>
      </c>
      <c r="I161" s="10">
        <v>46.814900000000002</v>
      </c>
      <c r="J161" s="10">
        <v>-71.215400000000002</v>
      </c>
      <c r="K161" s="10">
        <v>46.840600000000002</v>
      </c>
      <c r="L161" s="10">
        <v>-71.281599999999997</v>
      </c>
      <c r="M161" s="6" t="str">
        <f t="shared" si="14"/>
        <v>C1</v>
      </c>
      <c r="N161" s="6" t="str">
        <f t="shared" si="15"/>
        <v>C76</v>
      </c>
      <c r="O161" s="5">
        <f t="shared" si="16"/>
        <v>5.7906871624325627</v>
      </c>
      <c r="P161" s="22">
        <f>O161/Explications!$C$8</f>
        <v>0.19302290541441874</v>
      </c>
      <c r="Q161" s="7" t="str">
        <f t="shared" si="17"/>
        <v>C76</v>
      </c>
      <c r="R161" s="7" t="str">
        <f t="shared" si="18"/>
        <v>C1</v>
      </c>
      <c r="S161" s="18">
        <f t="shared" si="19"/>
        <v>5.7906871624325627</v>
      </c>
      <c r="T161" s="18">
        <f>S161/Explications!$C$8</f>
        <v>0.19302290541441874</v>
      </c>
    </row>
    <row r="162" spans="7:20">
      <c r="G162" s="10" t="s">
        <v>14</v>
      </c>
      <c r="H162" s="10" t="s">
        <v>93</v>
      </c>
      <c r="I162" s="10">
        <v>46.814900000000002</v>
      </c>
      <c r="J162" s="10">
        <v>-71.215400000000002</v>
      </c>
      <c r="K162" s="10">
        <v>46.839399999999998</v>
      </c>
      <c r="L162" s="10">
        <v>-71.282600000000002</v>
      </c>
      <c r="M162" s="6" t="str">
        <f t="shared" si="14"/>
        <v>C1</v>
      </c>
      <c r="N162" s="6" t="str">
        <f t="shared" si="15"/>
        <v>C77</v>
      </c>
      <c r="O162" s="5">
        <f t="shared" si="16"/>
        <v>5.7930936682122578</v>
      </c>
      <c r="P162" s="22">
        <f>O162/Explications!$C$8</f>
        <v>0.19310312227374193</v>
      </c>
      <c r="Q162" s="7" t="str">
        <f t="shared" si="17"/>
        <v>C77</v>
      </c>
      <c r="R162" s="7" t="str">
        <f t="shared" si="18"/>
        <v>C1</v>
      </c>
      <c r="S162" s="18">
        <f t="shared" si="19"/>
        <v>5.7930936682122578</v>
      </c>
      <c r="T162" s="18">
        <f>S162/Explications!$C$8</f>
        <v>0.19310312227374193</v>
      </c>
    </row>
    <row r="163" spans="7:20">
      <c r="G163" s="10" t="s">
        <v>14</v>
      </c>
      <c r="H163" s="10" t="s">
        <v>94</v>
      </c>
      <c r="I163" s="10">
        <v>46.814900000000002</v>
      </c>
      <c r="J163" s="10">
        <v>-71.215400000000002</v>
      </c>
      <c r="K163" s="10">
        <v>46.788499999999999</v>
      </c>
      <c r="L163" s="10">
        <v>-71.282399999999996</v>
      </c>
      <c r="M163" s="6" t="str">
        <f t="shared" si="14"/>
        <v>C1</v>
      </c>
      <c r="N163" s="6" t="str">
        <f t="shared" si="15"/>
        <v>C78</v>
      </c>
      <c r="O163" s="5">
        <f t="shared" si="16"/>
        <v>5.8842958496652855</v>
      </c>
      <c r="P163" s="22">
        <f>O163/Explications!$C$8</f>
        <v>0.19614319498884286</v>
      </c>
      <c r="Q163" s="7" t="str">
        <f t="shared" si="17"/>
        <v>C78</v>
      </c>
      <c r="R163" s="7" t="str">
        <f t="shared" si="18"/>
        <v>C1</v>
      </c>
      <c r="S163" s="18">
        <f t="shared" si="19"/>
        <v>5.8842958496652855</v>
      </c>
      <c r="T163" s="18">
        <f>S163/Explications!$C$8</f>
        <v>0.19614319498884286</v>
      </c>
    </row>
    <row r="164" spans="7:20">
      <c r="G164" s="10" t="s">
        <v>14</v>
      </c>
      <c r="H164" s="10" t="s">
        <v>95</v>
      </c>
      <c r="I164" s="10">
        <v>46.814900000000002</v>
      </c>
      <c r="J164" s="10">
        <v>-71.215400000000002</v>
      </c>
      <c r="K164" s="10">
        <v>46.840699999999998</v>
      </c>
      <c r="L164" s="10">
        <v>-71.325400000000002</v>
      </c>
      <c r="M164" s="6" t="str">
        <f t="shared" si="14"/>
        <v>C1</v>
      </c>
      <c r="N164" s="6" t="str">
        <f t="shared" si="15"/>
        <v>C79</v>
      </c>
      <c r="O164" s="5">
        <f t="shared" si="16"/>
        <v>8.8467405058602697</v>
      </c>
      <c r="P164" s="22">
        <f>O164/Explications!$C$8</f>
        <v>0.29489135019534235</v>
      </c>
      <c r="Q164" s="7" t="str">
        <f t="shared" si="17"/>
        <v>C79</v>
      </c>
      <c r="R164" s="7" t="str">
        <f t="shared" si="18"/>
        <v>C1</v>
      </c>
      <c r="S164" s="18">
        <f t="shared" si="19"/>
        <v>8.8467405058602697</v>
      </c>
      <c r="T164" s="18">
        <f>S164/Explications!$C$8</f>
        <v>0.29489135019534235</v>
      </c>
    </row>
    <row r="165" spans="7:20">
      <c r="G165" s="10" t="s">
        <v>14</v>
      </c>
      <c r="H165" s="10" t="s">
        <v>96</v>
      </c>
      <c r="I165" s="10">
        <v>46.814900000000002</v>
      </c>
      <c r="J165" s="10">
        <v>-71.215400000000002</v>
      </c>
      <c r="K165" s="10">
        <v>46.798400000000001</v>
      </c>
      <c r="L165" s="10">
        <v>-71.183199999999999</v>
      </c>
      <c r="M165" s="6" t="str">
        <f t="shared" si="14"/>
        <v>C1</v>
      </c>
      <c r="N165" s="6" t="str">
        <f t="shared" si="15"/>
        <v>C80</v>
      </c>
      <c r="O165" s="5">
        <f t="shared" si="16"/>
        <v>3.061392450661323</v>
      </c>
      <c r="P165" s="22">
        <f>O165/Explications!$C$8</f>
        <v>0.1020464150220441</v>
      </c>
      <c r="Q165" s="7" t="str">
        <f t="shared" si="17"/>
        <v>C80</v>
      </c>
      <c r="R165" s="7" t="str">
        <f t="shared" si="18"/>
        <v>C1</v>
      </c>
      <c r="S165" s="18">
        <f t="shared" si="19"/>
        <v>3.061392450661323</v>
      </c>
      <c r="T165" s="18">
        <f>S165/Explications!$C$8</f>
        <v>0.1020464150220441</v>
      </c>
    </row>
    <row r="166" spans="7:20">
      <c r="G166" s="10" t="s">
        <v>14</v>
      </c>
      <c r="H166" s="10" t="s">
        <v>97</v>
      </c>
      <c r="I166" s="10">
        <v>46.814900000000002</v>
      </c>
      <c r="J166" s="10">
        <v>-71.215400000000002</v>
      </c>
      <c r="K166" s="10">
        <v>46.724800000000002</v>
      </c>
      <c r="L166" s="10">
        <v>-71.2988</v>
      </c>
      <c r="M166" s="6" t="str">
        <f t="shared" si="14"/>
        <v>C1</v>
      </c>
      <c r="N166" s="6" t="str">
        <f t="shared" si="15"/>
        <v>C81</v>
      </c>
      <c r="O166" s="5">
        <f t="shared" si="16"/>
        <v>11.862507082617174</v>
      </c>
      <c r="P166" s="22">
        <f>O166/Explications!$C$8</f>
        <v>0.39541690275390579</v>
      </c>
      <c r="Q166" s="7" t="str">
        <f t="shared" si="17"/>
        <v>C81</v>
      </c>
      <c r="R166" s="7" t="str">
        <f t="shared" si="18"/>
        <v>C1</v>
      </c>
      <c r="S166" s="18">
        <f t="shared" si="19"/>
        <v>11.862507082617174</v>
      </c>
      <c r="T166" s="18">
        <f>S166/Explications!$C$8</f>
        <v>0.39541690275390579</v>
      </c>
    </row>
    <row r="167" spans="7:20">
      <c r="G167" s="10" t="s">
        <v>14</v>
      </c>
      <c r="H167" s="10" t="s">
        <v>98</v>
      </c>
      <c r="I167" s="10">
        <v>46.814900000000002</v>
      </c>
      <c r="J167" s="10">
        <v>-71.215400000000002</v>
      </c>
      <c r="K167" s="10">
        <v>46.795499999999997</v>
      </c>
      <c r="L167" s="10">
        <v>-71.242900000000006</v>
      </c>
      <c r="M167" s="6" t="str">
        <f t="shared" si="14"/>
        <v>C1</v>
      </c>
      <c r="N167" s="6" t="str">
        <f t="shared" si="15"/>
        <v>C82</v>
      </c>
      <c r="O167" s="5">
        <f t="shared" si="16"/>
        <v>3.0057077080165078</v>
      </c>
      <c r="P167" s="22">
        <f>O167/Explications!$C$8</f>
        <v>0.10019025693388359</v>
      </c>
      <c r="Q167" s="7" t="str">
        <f t="shared" si="17"/>
        <v>C82</v>
      </c>
      <c r="R167" s="7" t="str">
        <f t="shared" si="18"/>
        <v>C1</v>
      </c>
      <c r="S167" s="18">
        <f t="shared" si="19"/>
        <v>3.0057077080165078</v>
      </c>
      <c r="T167" s="18">
        <f>S167/Explications!$C$8</f>
        <v>0.10019025693388359</v>
      </c>
    </row>
    <row r="168" spans="7:20">
      <c r="G168" s="10" t="s">
        <v>14</v>
      </c>
      <c r="H168" s="10" t="s">
        <v>99</v>
      </c>
      <c r="I168" s="10">
        <v>46.814900000000002</v>
      </c>
      <c r="J168" s="10">
        <v>-71.215400000000002</v>
      </c>
      <c r="K168" s="10">
        <v>46.8157</v>
      </c>
      <c r="L168" s="10">
        <v>-71.201899999999995</v>
      </c>
      <c r="M168" s="6" t="str">
        <f t="shared" si="14"/>
        <v>C1</v>
      </c>
      <c r="N168" s="6" t="str">
        <f t="shared" si="15"/>
        <v>C83</v>
      </c>
      <c r="O168" s="5">
        <f t="shared" si="16"/>
        <v>1.031147212019013</v>
      </c>
      <c r="P168" s="22">
        <f>O168/Explications!$C$8</f>
        <v>3.4371573733967105E-2</v>
      </c>
      <c r="Q168" s="7" t="str">
        <f t="shared" si="17"/>
        <v>C83</v>
      </c>
      <c r="R168" s="7" t="str">
        <f t="shared" si="18"/>
        <v>C1</v>
      </c>
      <c r="S168" s="18">
        <f t="shared" si="19"/>
        <v>1.031147212019013</v>
      </c>
      <c r="T168" s="18">
        <f>S168/Explications!$C$8</f>
        <v>3.4371573733967105E-2</v>
      </c>
    </row>
    <row r="169" spans="7:20">
      <c r="G169" s="10" t="s">
        <v>14</v>
      </c>
      <c r="H169" s="10" t="s">
        <v>100</v>
      </c>
      <c r="I169" s="10">
        <v>46.814900000000002</v>
      </c>
      <c r="J169" s="10">
        <v>-71.215400000000002</v>
      </c>
      <c r="K169" s="10">
        <v>46.837600000000002</v>
      </c>
      <c r="L169" s="10">
        <v>-71.196299999999994</v>
      </c>
      <c r="M169" s="6" t="str">
        <f t="shared" si="14"/>
        <v>C1</v>
      </c>
      <c r="N169" s="6" t="str">
        <f t="shared" si="15"/>
        <v>C84</v>
      </c>
      <c r="O169" s="5">
        <f t="shared" si="16"/>
        <v>2.9125321789842067</v>
      </c>
      <c r="P169" s="22">
        <f>O169/Explications!$C$8</f>
        <v>9.7084405966140222E-2</v>
      </c>
      <c r="Q169" s="7" t="str">
        <f t="shared" si="17"/>
        <v>C84</v>
      </c>
      <c r="R169" s="7" t="str">
        <f t="shared" si="18"/>
        <v>C1</v>
      </c>
      <c r="S169" s="18">
        <f t="shared" si="19"/>
        <v>2.9125321789842067</v>
      </c>
      <c r="T169" s="18">
        <f>S169/Explications!$C$8</f>
        <v>9.7084405966140222E-2</v>
      </c>
    </row>
    <row r="170" spans="7:20">
      <c r="G170" s="10" t="s">
        <v>14</v>
      </c>
      <c r="H170" s="10" t="s">
        <v>101</v>
      </c>
      <c r="I170" s="10">
        <v>46.814900000000002</v>
      </c>
      <c r="J170" s="10">
        <v>-71.215400000000002</v>
      </c>
      <c r="K170" s="10">
        <v>46.7988</v>
      </c>
      <c r="L170" s="10">
        <v>-71.318200000000004</v>
      </c>
      <c r="M170" s="6" t="str">
        <f t="shared" si="14"/>
        <v>C1</v>
      </c>
      <c r="N170" s="6" t="str">
        <f t="shared" si="15"/>
        <v>C85</v>
      </c>
      <c r="O170" s="5">
        <f t="shared" si="16"/>
        <v>8.0261543532977058</v>
      </c>
      <c r="P170" s="22">
        <f>O170/Explications!$C$8</f>
        <v>0.26753847844325684</v>
      </c>
      <c r="Q170" s="7" t="str">
        <f t="shared" si="17"/>
        <v>C85</v>
      </c>
      <c r="R170" s="7" t="str">
        <f t="shared" si="18"/>
        <v>C1</v>
      </c>
      <c r="S170" s="18">
        <f t="shared" si="19"/>
        <v>8.0261543532977058</v>
      </c>
      <c r="T170" s="18">
        <f>S170/Explications!$C$8</f>
        <v>0.26753847844325684</v>
      </c>
    </row>
    <row r="171" spans="7:20">
      <c r="G171" s="10" t="s">
        <v>15</v>
      </c>
      <c r="H171" s="10" t="s">
        <v>17</v>
      </c>
      <c r="I171" s="10">
        <v>46.888800000000003</v>
      </c>
      <c r="J171" s="10">
        <v>-71.291700000000006</v>
      </c>
      <c r="K171" s="10">
        <v>46.876800000000003</v>
      </c>
      <c r="L171" s="10">
        <v>-71.270899999999997</v>
      </c>
      <c r="M171" s="6" t="str">
        <f t="shared" si="14"/>
        <v>C2</v>
      </c>
      <c r="N171" s="6" t="str">
        <f t="shared" si="15"/>
        <v>C3</v>
      </c>
      <c r="O171" s="5">
        <f t="shared" si="16"/>
        <v>2.0686835758223716</v>
      </c>
      <c r="P171" s="22">
        <f>O171/Explications!$C$8</f>
        <v>6.8956119194079055E-2</v>
      </c>
      <c r="Q171" s="7" t="str">
        <f t="shared" si="17"/>
        <v>C3</v>
      </c>
      <c r="R171" s="7" t="str">
        <f t="shared" si="18"/>
        <v>C2</v>
      </c>
      <c r="S171" s="18">
        <f t="shared" si="19"/>
        <v>2.0686835758223716</v>
      </c>
      <c r="T171" s="18">
        <f>S171/Explications!$C$8</f>
        <v>6.8956119194079055E-2</v>
      </c>
    </row>
    <row r="172" spans="7:20">
      <c r="G172" s="10" t="s">
        <v>15</v>
      </c>
      <c r="H172" s="10" t="s">
        <v>18</v>
      </c>
      <c r="I172" s="10">
        <v>46.888800000000003</v>
      </c>
      <c r="J172" s="10">
        <v>-71.291700000000006</v>
      </c>
      <c r="K172" s="10">
        <v>46.908700000000003</v>
      </c>
      <c r="L172" s="10">
        <v>-71.373099999999994</v>
      </c>
      <c r="M172" s="6" t="str">
        <f t="shared" si="14"/>
        <v>C2</v>
      </c>
      <c r="N172" s="6" t="str">
        <f t="shared" si="15"/>
        <v>C4</v>
      </c>
      <c r="O172" s="5">
        <f t="shared" si="16"/>
        <v>6.56857120816837</v>
      </c>
      <c r="P172" s="22">
        <f>O172/Explications!$C$8</f>
        <v>0.21895237360561234</v>
      </c>
      <c r="Q172" s="7" t="str">
        <f t="shared" si="17"/>
        <v>C4</v>
      </c>
      <c r="R172" s="7" t="str">
        <f t="shared" si="18"/>
        <v>C2</v>
      </c>
      <c r="S172" s="18">
        <f t="shared" si="19"/>
        <v>6.56857120816837</v>
      </c>
      <c r="T172" s="18">
        <f>S172/Explications!$C$8</f>
        <v>0.21895237360561234</v>
      </c>
    </row>
    <row r="173" spans="7:20">
      <c r="G173" s="10" t="s">
        <v>15</v>
      </c>
      <c r="H173" s="10" t="s">
        <v>20</v>
      </c>
      <c r="I173" s="10">
        <v>46.888800000000003</v>
      </c>
      <c r="J173" s="10">
        <v>-71.291700000000006</v>
      </c>
      <c r="K173" s="10">
        <v>46.827500000000001</v>
      </c>
      <c r="L173" s="10">
        <v>-71.367199999999997</v>
      </c>
      <c r="M173" s="6" t="str">
        <f t="shared" si="14"/>
        <v>C2</v>
      </c>
      <c r="N173" s="6" t="str">
        <f t="shared" si="15"/>
        <v>C5</v>
      </c>
      <c r="O173" s="5">
        <f t="shared" si="16"/>
        <v>8.9116191457685634</v>
      </c>
      <c r="P173" s="22">
        <f>O173/Explications!$C$8</f>
        <v>0.2970539715256188</v>
      </c>
      <c r="Q173" s="7" t="str">
        <f t="shared" si="17"/>
        <v>C5</v>
      </c>
      <c r="R173" s="7" t="str">
        <f t="shared" si="18"/>
        <v>C2</v>
      </c>
      <c r="S173" s="18">
        <f t="shared" si="19"/>
        <v>8.9116191457685634</v>
      </c>
      <c r="T173" s="18">
        <f>S173/Explications!$C$8</f>
        <v>0.2970539715256188</v>
      </c>
    </row>
    <row r="174" spans="7:20">
      <c r="G174" s="10" t="s">
        <v>15</v>
      </c>
      <c r="H174" s="10" t="s">
        <v>21</v>
      </c>
      <c r="I174" s="10">
        <v>46.888800000000003</v>
      </c>
      <c r="J174" s="10">
        <v>-71.291700000000006</v>
      </c>
      <c r="K174" s="10">
        <v>46.8018</v>
      </c>
      <c r="L174" s="10">
        <v>-71.243099999999998</v>
      </c>
      <c r="M174" s="6" t="str">
        <f t="shared" si="14"/>
        <v>C2</v>
      </c>
      <c r="N174" s="6" t="str">
        <f t="shared" si="15"/>
        <v>C6</v>
      </c>
      <c r="O174" s="5">
        <f t="shared" si="16"/>
        <v>10.356039674006556</v>
      </c>
      <c r="P174" s="22">
        <f>O174/Explications!$C$8</f>
        <v>0.34520132246688523</v>
      </c>
      <c r="Q174" s="7" t="str">
        <f t="shared" si="17"/>
        <v>C6</v>
      </c>
      <c r="R174" s="7" t="str">
        <f t="shared" si="18"/>
        <v>C2</v>
      </c>
      <c r="S174" s="18">
        <f t="shared" si="19"/>
        <v>10.356039674006556</v>
      </c>
      <c r="T174" s="18">
        <f>S174/Explications!$C$8</f>
        <v>0.34520132246688523</v>
      </c>
    </row>
    <row r="175" spans="7:20">
      <c r="G175" s="10" t="s">
        <v>15</v>
      </c>
      <c r="H175" s="10" t="s">
        <v>23</v>
      </c>
      <c r="I175" s="10">
        <v>46.888800000000003</v>
      </c>
      <c r="J175" s="10">
        <v>-71.291700000000006</v>
      </c>
      <c r="K175" s="10">
        <v>46.794699999999999</v>
      </c>
      <c r="L175" s="10">
        <v>-71.254199999999997</v>
      </c>
      <c r="M175" s="6" t="str">
        <f t="shared" si="14"/>
        <v>C2</v>
      </c>
      <c r="N175" s="6" t="str">
        <f t="shared" si="15"/>
        <v>C7</v>
      </c>
      <c r="O175" s="5">
        <f t="shared" si="16"/>
        <v>10.84521812127366</v>
      </c>
      <c r="P175" s="22">
        <f>O175/Explications!$C$8</f>
        <v>0.36150727070912203</v>
      </c>
      <c r="Q175" s="7" t="str">
        <f t="shared" si="17"/>
        <v>C7</v>
      </c>
      <c r="R175" s="7" t="str">
        <f t="shared" si="18"/>
        <v>C2</v>
      </c>
      <c r="S175" s="18">
        <f t="shared" si="19"/>
        <v>10.84521812127366</v>
      </c>
      <c r="T175" s="18">
        <f>S175/Explications!$C$8</f>
        <v>0.36150727070912203</v>
      </c>
    </row>
    <row r="176" spans="7:20">
      <c r="G176" s="10" t="s">
        <v>15</v>
      </c>
      <c r="H176" s="10" t="s">
        <v>24</v>
      </c>
      <c r="I176" s="10">
        <v>46.888800000000003</v>
      </c>
      <c r="J176" s="10">
        <v>-71.291700000000006</v>
      </c>
      <c r="K176" s="10">
        <v>46.741</v>
      </c>
      <c r="L176" s="10">
        <v>-71.385499999999993</v>
      </c>
      <c r="M176" s="6" t="str">
        <f t="shared" si="14"/>
        <v>C2</v>
      </c>
      <c r="N176" s="6" t="str">
        <f t="shared" si="15"/>
        <v>C8</v>
      </c>
      <c r="O176" s="5">
        <f t="shared" si="16"/>
        <v>17.917756234999853</v>
      </c>
      <c r="P176" s="22">
        <f>O176/Explications!$C$8</f>
        <v>0.59725854116666177</v>
      </c>
      <c r="Q176" s="7" t="str">
        <f t="shared" si="17"/>
        <v>C8</v>
      </c>
      <c r="R176" s="7" t="str">
        <f t="shared" si="18"/>
        <v>C2</v>
      </c>
      <c r="S176" s="18">
        <f t="shared" si="19"/>
        <v>17.917756234999853</v>
      </c>
      <c r="T176" s="18">
        <f>S176/Explications!$C$8</f>
        <v>0.59725854116666177</v>
      </c>
    </row>
    <row r="177" spans="7:20">
      <c r="G177" s="10" t="s">
        <v>15</v>
      </c>
      <c r="H177" s="10" t="s">
        <v>25</v>
      </c>
      <c r="I177" s="10">
        <v>46.888800000000003</v>
      </c>
      <c r="J177" s="10">
        <v>-71.291700000000006</v>
      </c>
      <c r="K177" s="10">
        <v>46.839399999999998</v>
      </c>
      <c r="L177" s="10">
        <v>-71.282700000000006</v>
      </c>
      <c r="M177" s="6" t="str">
        <f t="shared" si="14"/>
        <v>C2</v>
      </c>
      <c r="N177" s="6" t="str">
        <f t="shared" si="15"/>
        <v>C9</v>
      </c>
      <c r="O177" s="5">
        <f t="shared" si="16"/>
        <v>5.5354824024382498</v>
      </c>
      <c r="P177" s="22">
        <f>O177/Explications!$C$8</f>
        <v>0.18451608008127499</v>
      </c>
      <c r="Q177" s="7" t="str">
        <f t="shared" si="17"/>
        <v>C9</v>
      </c>
      <c r="R177" s="7" t="str">
        <f t="shared" si="18"/>
        <v>C2</v>
      </c>
      <c r="S177" s="18">
        <f t="shared" si="19"/>
        <v>5.5354824024382498</v>
      </c>
      <c r="T177" s="18">
        <f>S177/Explications!$C$8</f>
        <v>0.18451608008127499</v>
      </c>
    </row>
    <row r="178" spans="7:20">
      <c r="G178" s="10" t="s">
        <v>15</v>
      </c>
      <c r="H178" s="10" t="s">
        <v>26</v>
      </c>
      <c r="I178" s="10">
        <v>46.888800000000003</v>
      </c>
      <c r="J178" s="10">
        <v>-71.291700000000006</v>
      </c>
      <c r="K178" s="10">
        <v>46.860799999999998</v>
      </c>
      <c r="L178" s="10">
        <v>-71.217699999999994</v>
      </c>
      <c r="M178" s="6" t="str">
        <f t="shared" si="14"/>
        <v>C2</v>
      </c>
      <c r="N178" s="6" t="str">
        <f t="shared" si="15"/>
        <v>C10</v>
      </c>
      <c r="O178" s="5">
        <f t="shared" si="16"/>
        <v>6.4290911236138202</v>
      </c>
      <c r="P178" s="22">
        <f>O178/Explications!$C$8</f>
        <v>0.214303037453794</v>
      </c>
      <c r="Q178" s="7" t="str">
        <f t="shared" si="17"/>
        <v>C10</v>
      </c>
      <c r="R178" s="7" t="str">
        <f t="shared" si="18"/>
        <v>C2</v>
      </c>
      <c r="S178" s="18">
        <f t="shared" si="19"/>
        <v>6.4290911236138202</v>
      </c>
      <c r="T178" s="18">
        <f>S178/Explications!$C$8</f>
        <v>0.214303037453794</v>
      </c>
    </row>
    <row r="179" spans="7:20">
      <c r="G179" s="10" t="s">
        <v>15</v>
      </c>
      <c r="H179" s="10" t="s">
        <v>27</v>
      </c>
      <c r="I179" s="10">
        <v>46.888800000000003</v>
      </c>
      <c r="J179" s="10">
        <v>-71.291700000000006</v>
      </c>
      <c r="K179" s="10">
        <v>46.868299999999998</v>
      </c>
      <c r="L179" s="10">
        <v>-71.167000000000002</v>
      </c>
      <c r="M179" s="6" t="str">
        <f t="shared" si="14"/>
        <v>C2</v>
      </c>
      <c r="N179" s="6" t="str">
        <f t="shared" si="15"/>
        <v>C11</v>
      </c>
      <c r="O179" s="5">
        <f t="shared" si="16"/>
        <v>9.7483263931621806</v>
      </c>
      <c r="P179" s="22">
        <f>O179/Explications!$C$8</f>
        <v>0.324944213105406</v>
      </c>
      <c r="Q179" s="7" t="str">
        <f t="shared" si="17"/>
        <v>C11</v>
      </c>
      <c r="R179" s="7" t="str">
        <f t="shared" si="18"/>
        <v>C2</v>
      </c>
      <c r="S179" s="18">
        <f t="shared" si="19"/>
        <v>9.7483263931621806</v>
      </c>
      <c r="T179" s="18">
        <f>S179/Explications!$C$8</f>
        <v>0.324944213105406</v>
      </c>
    </row>
    <row r="180" spans="7:20">
      <c r="G180" s="10" t="s">
        <v>15</v>
      </c>
      <c r="H180" s="10" t="s">
        <v>28</v>
      </c>
      <c r="I180" s="10">
        <v>46.888800000000003</v>
      </c>
      <c r="J180" s="10">
        <v>-71.291700000000006</v>
      </c>
      <c r="K180" s="10">
        <v>46.895099999999999</v>
      </c>
      <c r="L180" s="10">
        <v>-71.378600000000006</v>
      </c>
      <c r="M180" s="6" t="str">
        <f t="shared" si="14"/>
        <v>C2</v>
      </c>
      <c r="N180" s="6" t="str">
        <f t="shared" si="15"/>
        <v>C12</v>
      </c>
      <c r="O180" s="5">
        <f t="shared" si="16"/>
        <v>6.6404098005358438</v>
      </c>
      <c r="P180" s="22">
        <f>O180/Explications!$C$8</f>
        <v>0.22134699335119479</v>
      </c>
      <c r="Q180" s="7" t="str">
        <f t="shared" si="17"/>
        <v>C12</v>
      </c>
      <c r="R180" s="7" t="str">
        <f t="shared" si="18"/>
        <v>C2</v>
      </c>
      <c r="S180" s="18">
        <f t="shared" si="19"/>
        <v>6.6404098005358438</v>
      </c>
      <c r="T180" s="18">
        <f>S180/Explications!$C$8</f>
        <v>0.22134699335119479</v>
      </c>
    </row>
    <row r="181" spans="7:20">
      <c r="G181" s="10" t="s">
        <v>15</v>
      </c>
      <c r="H181" s="10" t="s">
        <v>29</v>
      </c>
      <c r="I181" s="10">
        <v>46.888800000000003</v>
      </c>
      <c r="J181" s="10">
        <v>-71.291700000000006</v>
      </c>
      <c r="K181" s="10">
        <v>46.8033</v>
      </c>
      <c r="L181" s="10">
        <v>-71.1691</v>
      </c>
      <c r="M181" s="6" t="str">
        <f t="shared" si="14"/>
        <v>C2</v>
      </c>
      <c r="N181" s="6" t="str">
        <f t="shared" si="15"/>
        <v>C13</v>
      </c>
      <c r="O181" s="5">
        <f t="shared" si="16"/>
        <v>13.316339734380525</v>
      </c>
      <c r="P181" s="22">
        <f>O181/Explications!$C$8</f>
        <v>0.4438779911460175</v>
      </c>
      <c r="Q181" s="7" t="str">
        <f t="shared" si="17"/>
        <v>C13</v>
      </c>
      <c r="R181" s="7" t="str">
        <f t="shared" si="18"/>
        <v>C2</v>
      </c>
      <c r="S181" s="18">
        <f t="shared" si="19"/>
        <v>13.316339734380525</v>
      </c>
      <c r="T181" s="18">
        <f>S181/Explications!$C$8</f>
        <v>0.4438779911460175</v>
      </c>
    </row>
    <row r="182" spans="7:20">
      <c r="G182" s="10" t="s">
        <v>15</v>
      </c>
      <c r="H182" s="10" t="s">
        <v>30</v>
      </c>
      <c r="I182" s="10">
        <v>46.888800000000003</v>
      </c>
      <c r="J182" s="10">
        <v>-71.291700000000006</v>
      </c>
      <c r="K182" s="10">
        <v>46.8596</v>
      </c>
      <c r="L182" s="10">
        <v>-71.267200000000003</v>
      </c>
      <c r="M182" s="6" t="str">
        <f t="shared" si="14"/>
        <v>C2</v>
      </c>
      <c r="N182" s="6" t="str">
        <f t="shared" si="15"/>
        <v>C14</v>
      </c>
      <c r="O182" s="5">
        <f t="shared" si="16"/>
        <v>3.7430667029886013</v>
      </c>
      <c r="P182" s="22">
        <f>O182/Explications!$C$8</f>
        <v>0.12476889009962004</v>
      </c>
      <c r="Q182" s="7" t="str">
        <f t="shared" si="17"/>
        <v>C14</v>
      </c>
      <c r="R182" s="7" t="str">
        <f t="shared" si="18"/>
        <v>C2</v>
      </c>
      <c r="S182" s="18">
        <f t="shared" si="19"/>
        <v>3.7430667029886013</v>
      </c>
      <c r="T182" s="18">
        <f>S182/Explications!$C$8</f>
        <v>0.12476889009962004</v>
      </c>
    </row>
    <row r="183" spans="7:20">
      <c r="G183" s="10" t="s">
        <v>15</v>
      </c>
      <c r="H183" s="10" t="s">
        <v>31</v>
      </c>
      <c r="I183" s="10">
        <v>46.888800000000003</v>
      </c>
      <c r="J183" s="10">
        <v>-71.291700000000006</v>
      </c>
      <c r="K183" s="10">
        <v>46.813499999999998</v>
      </c>
      <c r="L183" s="10">
        <v>-71.215900000000005</v>
      </c>
      <c r="M183" s="6" t="str">
        <f t="shared" si="14"/>
        <v>C2</v>
      </c>
      <c r="N183" s="6" t="str">
        <f t="shared" si="15"/>
        <v>C15</v>
      </c>
      <c r="O183" s="5">
        <f t="shared" si="16"/>
        <v>10.165310592959726</v>
      </c>
      <c r="P183" s="22">
        <f>O183/Explications!$C$8</f>
        <v>0.33884368643199086</v>
      </c>
      <c r="Q183" s="7" t="str">
        <f t="shared" si="17"/>
        <v>C15</v>
      </c>
      <c r="R183" s="7" t="str">
        <f t="shared" si="18"/>
        <v>C2</v>
      </c>
      <c r="S183" s="18">
        <f t="shared" si="19"/>
        <v>10.165310592959726</v>
      </c>
      <c r="T183" s="18">
        <f>S183/Explications!$C$8</f>
        <v>0.33884368643199086</v>
      </c>
    </row>
    <row r="184" spans="7:20">
      <c r="G184" s="10" t="s">
        <v>15</v>
      </c>
      <c r="H184" s="10" t="s">
        <v>32</v>
      </c>
      <c r="I184" s="10">
        <v>46.888800000000003</v>
      </c>
      <c r="J184" s="10">
        <v>-71.291700000000006</v>
      </c>
      <c r="K184" s="10">
        <v>46.733699999999999</v>
      </c>
      <c r="L184" s="10">
        <v>-71.270099999999999</v>
      </c>
      <c r="M184" s="6" t="str">
        <f t="shared" si="14"/>
        <v>C2</v>
      </c>
      <c r="N184" s="6" t="str">
        <f t="shared" si="15"/>
        <v>C16</v>
      </c>
      <c r="O184" s="5">
        <f t="shared" si="16"/>
        <v>17.324494378341651</v>
      </c>
      <c r="P184" s="22">
        <f>O184/Explications!$C$8</f>
        <v>0.57748314594472172</v>
      </c>
      <c r="Q184" s="7" t="str">
        <f t="shared" si="17"/>
        <v>C16</v>
      </c>
      <c r="R184" s="7" t="str">
        <f t="shared" si="18"/>
        <v>C2</v>
      </c>
      <c r="S184" s="18">
        <f t="shared" si="19"/>
        <v>17.324494378341651</v>
      </c>
      <c r="T184" s="18">
        <f>S184/Explications!$C$8</f>
        <v>0.57748314594472172</v>
      </c>
    </row>
    <row r="185" spans="7:20">
      <c r="G185" s="10" t="s">
        <v>15</v>
      </c>
      <c r="H185" s="10" t="s">
        <v>33</v>
      </c>
      <c r="I185" s="10">
        <v>46.888800000000003</v>
      </c>
      <c r="J185" s="10">
        <v>-71.291700000000006</v>
      </c>
      <c r="K185" s="10">
        <v>46.8035</v>
      </c>
      <c r="L185" s="10">
        <v>-71.3553</v>
      </c>
      <c r="M185" s="6" t="str">
        <f t="shared" si="14"/>
        <v>C2</v>
      </c>
      <c r="N185" s="6" t="str">
        <f t="shared" si="15"/>
        <v>C17</v>
      </c>
      <c r="O185" s="5">
        <f t="shared" si="16"/>
        <v>10.647066232803972</v>
      </c>
      <c r="P185" s="22">
        <f>O185/Explications!$C$8</f>
        <v>0.35490220776013243</v>
      </c>
      <c r="Q185" s="7" t="str">
        <f t="shared" si="17"/>
        <v>C17</v>
      </c>
      <c r="R185" s="7" t="str">
        <f t="shared" si="18"/>
        <v>C2</v>
      </c>
      <c r="S185" s="18">
        <f t="shared" si="19"/>
        <v>10.647066232803972</v>
      </c>
      <c r="T185" s="18">
        <f>S185/Explications!$C$8</f>
        <v>0.35490220776013243</v>
      </c>
    </row>
    <row r="186" spans="7:20">
      <c r="G186" s="10" t="s">
        <v>15</v>
      </c>
      <c r="H186" s="10" t="s">
        <v>34</v>
      </c>
      <c r="I186" s="10">
        <v>46.888800000000003</v>
      </c>
      <c r="J186" s="10">
        <v>-71.291700000000006</v>
      </c>
      <c r="K186" s="10">
        <v>46.730200000000004</v>
      </c>
      <c r="L186" s="10">
        <v>-71.274100000000004</v>
      </c>
      <c r="M186" s="6" t="str">
        <f t="shared" si="14"/>
        <v>C2</v>
      </c>
      <c r="N186" s="6" t="str">
        <f t="shared" si="15"/>
        <v>C18</v>
      </c>
      <c r="O186" s="5">
        <f t="shared" si="16"/>
        <v>17.686308408190801</v>
      </c>
      <c r="P186" s="22">
        <f>O186/Explications!$C$8</f>
        <v>0.58954361360635998</v>
      </c>
      <c r="Q186" s="7" t="str">
        <f t="shared" si="17"/>
        <v>C18</v>
      </c>
      <c r="R186" s="7" t="str">
        <f t="shared" si="18"/>
        <v>C2</v>
      </c>
      <c r="S186" s="18">
        <f t="shared" si="19"/>
        <v>17.686308408190801</v>
      </c>
      <c r="T186" s="18">
        <f>S186/Explications!$C$8</f>
        <v>0.58954361360635998</v>
      </c>
    </row>
    <row r="187" spans="7:20">
      <c r="G187" s="10" t="s">
        <v>15</v>
      </c>
      <c r="H187" s="10" t="s">
        <v>35</v>
      </c>
      <c r="I187" s="10">
        <v>46.888800000000003</v>
      </c>
      <c r="J187" s="10">
        <v>-71.291700000000006</v>
      </c>
      <c r="K187" s="10">
        <v>46.785600000000002</v>
      </c>
      <c r="L187" s="10">
        <v>-71.245500000000007</v>
      </c>
      <c r="M187" s="6" t="str">
        <f t="shared" si="14"/>
        <v>C2</v>
      </c>
      <c r="N187" s="6" t="str">
        <f t="shared" si="15"/>
        <v>C19</v>
      </c>
      <c r="O187" s="5">
        <f t="shared" si="16"/>
        <v>12.001360929423102</v>
      </c>
      <c r="P187" s="22">
        <f>O187/Explications!$C$8</f>
        <v>0.40004536431410342</v>
      </c>
      <c r="Q187" s="7" t="str">
        <f t="shared" si="17"/>
        <v>C19</v>
      </c>
      <c r="R187" s="7" t="str">
        <f t="shared" si="18"/>
        <v>C2</v>
      </c>
      <c r="S187" s="18">
        <f t="shared" si="19"/>
        <v>12.001360929423102</v>
      </c>
      <c r="T187" s="18">
        <f>S187/Explications!$C$8</f>
        <v>0.40004536431410342</v>
      </c>
    </row>
    <row r="188" spans="7:20">
      <c r="G188" s="10" t="s">
        <v>15</v>
      </c>
      <c r="H188" s="10" t="s">
        <v>36</v>
      </c>
      <c r="I188" s="10">
        <v>46.888800000000003</v>
      </c>
      <c r="J188" s="10">
        <v>-71.291700000000006</v>
      </c>
      <c r="K188" s="10">
        <v>46.8215</v>
      </c>
      <c r="L188" s="10">
        <v>-71.355400000000003</v>
      </c>
      <c r="M188" s="6" t="str">
        <f t="shared" si="14"/>
        <v>C2</v>
      </c>
      <c r="N188" s="6" t="str">
        <f t="shared" si="15"/>
        <v>C20</v>
      </c>
      <c r="O188" s="5">
        <f t="shared" si="16"/>
        <v>8.9142302838653009</v>
      </c>
      <c r="P188" s="22">
        <f>O188/Explications!$C$8</f>
        <v>0.2971410094621767</v>
      </c>
      <c r="Q188" s="7" t="str">
        <f t="shared" si="17"/>
        <v>C20</v>
      </c>
      <c r="R188" s="7" t="str">
        <f t="shared" si="18"/>
        <v>C2</v>
      </c>
      <c r="S188" s="18">
        <f t="shared" si="19"/>
        <v>8.9142302838653009</v>
      </c>
      <c r="T188" s="18">
        <f>S188/Explications!$C$8</f>
        <v>0.2971410094621767</v>
      </c>
    </row>
    <row r="189" spans="7:20">
      <c r="G189" s="10" t="s">
        <v>15</v>
      </c>
      <c r="H189" s="10" t="s">
        <v>37</v>
      </c>
      <c r="I189" s="10">
        <v>46.888800000000003</v>
      </c>
      <c r="J189" s="10">
        <v>-71.291700000000006</v>
      </c>
      <c r="K189" s="10">
        <v>46.8093</v>
      </c>
      <c r="L189" s="10">
        <v>-71.2273</v>
      </c>
      <c r="M189" s="6" t="str">
        <f t="shared" si="14"/>
        <v>C2</v>
      </c>
      <c r="N189" s="6" t="str">
        <f t="shared" si="15"/>
        <v>C21</v>
      </c>
      <c r="O189" s="5">
        <f t="shared" si="16"/>
        <v>10.106008752553656</v>
      </c>
      <c r="P189" s="22">
        <f>O189/Explications!$C$8</f>
        <v>0.33686695841845521</v>
      </c>
      <c r="Q189" s="7" t="str">
        <f t="shared" si="17"/>
        <v>C21</v>
      </c>
      <c r="R189" s="7" t="str">
        <f t="shared" si="18"/>
        <v>C2</v>
      </c>
      <c r="S189" s="18">
        <f t="shared" si="19"/>
        <v>10.106008752553656</v>
      </c>
      <c r="T189" s="18">
        <f>S189/Explications!$C$8</f>
        <v>0.33686695841845521</v>
      </c>
    </row>
    <row r="190" spans="7:20">
      <c r="G190" s="10" t="s">
        <v>15</v>
      </c>
      <c r="H190" s="10" t="s">
        <v>38</v>
      </c>
      <c r="I190" s="10">
        <v>46.888800000000003</v>
      </c>
      <c r="J190" s="10">
        <v>-71.291700000000006</v>
      </c>
      <c r="K190" s="10">
        <v>46.781300000000002</v>
      </c>
      <c r="L190" s="10">
        <v>-71.301000000000002</v>
      </c>
      <c r="M190" s="6" t="str">
        <f t="shared" si="14"/>
        <v>C2</v>
      </c>
      <c r="N190" s="6" t="str">
        <f t="shared" si="15"/>
        <v>C22</v>
      </c>
      <c r="O190" s="5">
        <f t="shared" si="16"/>
        <v>11.974370321556741</v>
      </c>
      <c r="P190" s="22">
        <f>O190/Explications!$C$8</f>
        <v>0.39914567738522472</v>
      </c>
      <c r="Q190" s="7" t="str">
        <f t="shared" si="17"/>
        <v>C22</v>
      </c>
      <c r="R190" s="7" t="str">
        <f t="shared" si="18"/>
        <v>C2</v>
      </c>
      <c r="S190" s="18">
        <f t="shared" si="19"/>
        <v>11.974370321556741</v>
      </c>
      <c r="T190" s="18">
        <f>S190/Explications!$C$8</f>
        <v>0.39914567738522472</v>
      </c>
    </row>
    <row r="191" spans="7:20">
      <c r="G191" s="10" t="s">
        <v>15</v>
      </c>
      <c r="H191" s="10" t="s">
        <v>39</v>
      </c>
      <c r="I191" s="10">
        <v>46.888800000000003</v>
      </c>
      <c r="J191" s="10">
        <v>-71.291700000000006</v>
      </c>
      <c r="K191" s="10">
        <v>46.844900000000003</v>
      </c>
      <c r="L191" s="10">
        <v>-71.251400000000004</v>
      </c>
      <c r="M191" s="6" t="str">
        <f t="shared" si="14"/>
        <v>C2</v>
      </c>
      <c r="N191" s="6" t="str">
        <f t="shared" si="15"/>
        <v>C23</v>
      </c>
      <c r="O191" s="5">
        <f t="shared" si="16"/>
        <v>5.7632611096468187</v>
      </c>
      <c r="P191" s="22">
        <f>O191/Explications!$C$8</f>
        <v>0.19210870365489396</v>
      </c>
      <c r="Q191" s="7" t="str">
        <f t="shared" si="17"/>
        <v>C23</v>
      </c>
      <c r="R191" s="7" t="str">
        <f t="shared" si="18"/>
        <v>C2</v>
      </c>
      <c r="S191" s="18">
        <f t="shared" si="19"/>
        <v>5.7632611096468187</v>
      </c>
      <c r="T191" s="18">
        <f>S191/Explications!$C$8</f>
        <v>0.19210870365489396</v>
      </c>
    </row>
    <row r="192" spans="7:20">
      <c r="G192" s="10" t="s">
        <v>15</v>
      </c>
      <c r="H192" s="10" t="s">
        <v>40</v>
      </c>
      <c r="I192" s="10">
        <v>46.888800000000003</v>
      </c>
      <c r="J192" s="10">
        <v>-71.291700000000006</v>
      </c>
      <c r="K192" s="10">
        <v>46.805500000000002</v>
      </c>
      <c r="L192" s="10">
        <v>-71.2196</v>
      </c>
      <c r="M192" s="6" t="str">
        <f t="shared" si="14"/>
        <v>C2</v>
      </c>
      <c r="N192" s="6" t="str">
        <f t="shared" si="15"/>
        <v>C24</v>
      </c>
      <c r="O192" s="5">
        <f t="shared" si="16"/>
        <v>10.763886164691092</v>
      </c>
      <c r="P192" s="22">
        <f>O192/Explications!$C$8</f>
        <v>0.35879620548970309</v>
      </c>
      <c r="Q192" s="7" t="str">
        <f t="shared" si="17"/>
        <v>C24</v>
      </c>
      <c r="R192" s="7" t="str">
        <f t="shared" si="18"/>
        <v>C2</v>
      </c>
      <c r="S192" s="18">
        <f t="shared" si="19"/>
        <v>10.763886164691092</v>
      </c>
      <c r="T192" s="18">
        <f>S192/Explications!$C$8</f>
        <v>0.35879620548970309</v>
      </c>
    </row>
    <row r="193" spans="7:20">
      <c r="G193" s="10" t="s">
        <v>15</v>
      </c>
      <c r="H193" s="10" t="s">
        <v>41</v>
      </c>
      <c r="I193" s="10">
        <v>46.888800000000003</v>
      </c>
      <c r="J193" s="10">
        <v>-71.291700000000006</v>
      </c>
      <c r="K193" s="10">
        <v>46.734900000000003</v>
      </c>
      <c r="L193" s="10">
        <v>-71.266199999999998</v>
      </c>
      <c r="M193" s="6" t="str">
        <f t="shared" si="14"/>
        <v>C2</v>
      </c>
      <c r="N193" s="6" t="str">
        <f t="shared" si="15"/>
        <v>C25</v>
      </c>
      <c r="O193" s="5">
        <f t="shared" si="16"/>
        <v>17.222577686207813</v>
      </c>
      <c r="P193" s="22">
        <f>O193/Explications!$C$8</f>
        <v>0.57408592287359383</v>
      </c>
      <c r="Q193" s="7" t="str">
        <f t="shared" si="17"/>
        <v>C25</v>
      </c>
      <c r="R193" s="7" t="str">
        <f t="shared" si="18"/>
        <v>C2</v>
      </c>
      <c r="S193" s="18">
        <f t="shared" si="19"/>
        <v>17.222577686207813</v>
      </c>
      <c r="T193" s="18">
        <f>S193/Explications!$C$8</f>
        <v>0.57408592287359383</v>
      </c>
    </row>
    <row r="194" spans="7:20">
      <c r="G194" s="10" t="s">
        <v>15</v>
      </c>
      <c r="H194" s="10" t="s">
        <v>42</v>
      </c>
      <c r="I194" s="10">
        <v>46.888800000000003</v>
      </c>
      <c r="J194" s="10">
        <v>-71.291700000000006</v>
      </c>
      <c r="K194" s="10">
        <v>46.817700000000002</v>
      </c>
      <c r="L194" s="10">
        <v>-71.214100000000002</v>
      </c>
      <c r="M194" s="6" t="str">
        <f t="shared" si="14"/>
        <v>C2</v>
      </c>
      <c r="N194" s="6" t="str">
        <f t="shared" si="15"/>
        <v>C26</v>
      </c>
      <c r="O194" s="5">
        <f t="shared" si="16"/>
        <v>9.8653454137725589</v>
      </c>
      <c r="P194" s="22">
        <f>O194/Explications!$C$8</f>
        <v>0.32884484712575196</v>
      </c>
      <c r="Q194" s="7" t="str">
        <f t="shared" si="17"/>
        <v>C26</v>
      </c>
      <c r="R194" s="7" t="str">
        <f t="shared" si="18"/>
        <v>C2</v>
      </c>
      <c r="S194" s="18">
        <f t="shared" si="19"/>
        <v>9.8653454137725589</v>
      </c>
      <c r="T194" s="18">
        <f>S194/Explications!$C$8</f>
        <v>0.32884484712575196</v>
      </c>
    </row>
    <row r="195" spans="7:20">
      <c r="G195" s="10" t="s">
        <v>15</v>
      </c>
      <c r="H195" s="10" t="s">
        <v>43</v>
      </c>
      <c r="I195" s="10">
        <v>46.888800000000003</v>
      </c>
      <c r="J195" s="10">
        <v>-71.291700000000006</v>
      </c>
      <c r="K195" s="10">
        <v>46.603000000000002</v>
      </c>
      <c r="L195" s="10">
        <v>-71.490600000000001</v>
      </c>
      <c r="M195" s="6" t="str">
        <f t="shared" ref="M195:M258" si="20">G195</f>
        <v>C2</v>
      </c>
      <c r="N195" s="6" t="str">
        <f t="shared" ref="N195:N258" si="21">H195</f>
        <v>C27</v>
      </c>
      <c r="O195" s="5">
        <f t="shared" ref="O195:O258" si="22">ACOS(SIN(RADIANS(I195))*SIN(RADIANS(K195))+COS(RADIANS(I195))*COS(RADIANS(K195))*COS(RADIANS(J195-L195)))*6371</f>
        <v>35.208133861582596</v>
      </c>
      <c r="P195" s="22">
        <f>O195/Explications!$C$8</f>
        <v>1.1736044620527533</v>
      </c>
      <c r="Q195" s="7" t="str">
        <f t="shared" si="17"/>
        <v>C27</v>
      </c>
      <c r="R195" s="7" t="str">
        <f t="shared" si="18"/>
        <v>C2</v>
      </c>
      <c r="S195" s="18">
        <f t="shared" si="19"/>
        <v>35.208133861582596</v>
      </c>
      <c r="T195" s="18">
        <f>S195/Explications!$C$8</f>
        <v>1.1736044620527533</v>
      </c>
    </row>
    <row r="196" spans="7:20">
      <c r="G196" s="10" t="s">
        <v>15</v>
      </c>
      <c r="H196" s="10" t="s">
        <v>44</v>
      </c>
      <c r="I196" s="10">
        <v>46.888800000000003</v>
      </c>
      <c r="J196" s="10">
        <v>-71.291700000000006</v>
      </c>
      <c r="K196" s="10">
        <v>47.000500000000002</v>
      </c>
      <c r="L196" s="10">
        <v>-71.388400000000004</v>
      </c>
      <c r="M196" s="6" t="str">
        <f t="shared" si="20"/>
        <v>C2</v>
      </c>
      <c r="N196" s="6" t="str">
        <f t="shared" si="21"/>
        <v>C28</v>
      </c>
      <c r="O196" s="5">
        <f t="shared" si="22"/>
        <v>14.427599663409927</v>
      </c>
      <c r="P196" s="22">
        <f>O196/Explications!$C$8</f>
        <v>0.48091998878033088</v>
      </c>
      <c r="Q196" s="7" t="str">
        <f t="shared" ref="Q196:Q259" si="23">N196</f>
        <v>C28</v>
      </c>
      <c r="R196" s="7" t="str">
        <f t="shared" ref="R196:R259" si="24">M196</f>
        <v>C2</v>
      </c>
      <c r="S196" s="18">
        <f t="shared" ref="S196:S259" si="25">O196</f>
        <v>14.427599663409927</v>
      </c>
      <c r="T196" s="18">
        <f>S196/Explications!$C$8</f>
        <v>0.48091998878033088</v>
      </c>
    </row>
    <row r="197" spans="7:20">
      <c r="G197" s="10" t="s">
        <v>15</v>
      </c>
      <c r="H197" s="10" t="s">
        <v>45</v>
      </c>
      <c r="I197" s="10">
        <v>46.888800000000003</v>
      </c>
      <c r="J197" s="10">
        <v>-71.291700000000006</v>
      </c>
      <c r="K197" s="10">
        <v>46.839100000000002</v>
      </c>
      <c r="L197" s="10">
        <v>-71.245699999999999</v>
      </c>
      <c r="M197" s="6" t="str">
        <f t="shared" si="20"/>
        <v>C2</v>
      </c>
      <c r="N197" s="6" t="str">
        <f t="shared" si="21"/>
        <v>C29</v>
      </c>
      <c r="O197" s="5">
        <f t="shared" si="22"/>
        <v>6.5400205308480768</v>
      </c>
      <c r="P197" s="22">
        <f>O197/Explications!$C$8</f>
        <v>0.21800068436160255</v>
      </c>
      <c r="Q197" s="7" t="str">
        <f t="shared" si="23"/>
        <v>C29</v>
      </c>
      <c r="R197" s="7" t="str">
        <f t="shared" si="24"/>
        <v>C2</v>
      </c>
      <c r="S197" s="18">
        <f t="shared" si="25"/>
        <v>6.5400205308480768</v>
      </c>
      <c r="T197" s="18">
        <f>S197/Explications!$C$8</f>
        <v>0.21800068436160255</v>
      </c>
    </row>
    <row r="198" spans="7:20">
      <c r="G198" s="10" t="s">
        <v>15</v>
      </c>
      <c r="H198" s="10" t="s">
        <v>46</v>
      </c>
      <c r="I198" s="10">
        <v>46.888800000000003</v>
      </c>
      <c r="J198" s="10">
        <v>-71.291700000000006</v>
      </c>
      <c r="K198" s="10">
        <v>46.865699999999997</v>
      </c>
      <c r="L198" s="10">
        <v>-71.27</v>
      </c>
      <c r="M198" s="6" t="str">
        <f t="shared" si="20"/>
        <v>C2</v>
      </c>
      <c r="N198" s="6" t="str">
        <f t="shared" si="21"/>
        <v>C30</v>
      </c>
      <c r="O198" s="5">
        <f t="shared" si="22"/>
        <v>3.0525745457292381</v>
      </c>
      <c r="P198" s="22">
        <f>O198/Explications!$C$8</f>
        <v>0.10175248485764127</v>
      </c>
      <c r="Q198" s="7" t="str">
        <f t="shared" si="23"/>
        <v>C30</v>
      </c>
      <c r="R198" s="7" t="str">
        <f t="shared" si="24"/>
        <v>C2</v>
      </c>
      <c r="S198" s="18">
        <f t="shared" si="25"/>
        <v>3.0525745457292381</v>
      </c>
      <c r="T198" s="18">
        <f>S198/Explications!$C$8</f>
        <v>0.10175248485764127</v>
      </c>
    </row>
    <row r="199" spans="7:20">
      <c r="G199" s="10" t="s">
        <v>15</v>
      </c>
      <c r="H199" s="10" t="s">
        <v>47</v>
      </c>
      <c r="I199" s="10">
        <v>46.888800000000003</v>
      </c>
      <c r="J199" s="10">
        <v>-71.291700000000006</v>
      </c>
      <c r="K199" s="10">
        <v>46.805500000000002</v>
      </c>
      <c r="L199" s="10">
        <v>-71.217299999999994</v>
      </c>
      <c r="M199" s="6" t="str">
        <f t="shared" si="20"/>
        <v>C2</v>
      </c>
      <c r="N199" s="6" t="str">
        <f t="shared" si="21"/>
        <v>C31</v>
      </c>
      <c r="O199" s="5">
        <f t="shared" si="22"/>
        <v>10.854036206874452</v>
      </c>
      <c r="P199" s="22">
        <f>O199/Explications!$C$8</f>
        <v>0.36180120689581508</v>
      </c>
      <c r="Q199" s="7" t="str">
        <f t="shared" si="23"/>
        <v>C31</v>
      </c>
      <c r="R199" s="7" t="str">
        <f t="shared" si="24"/>
        <v>C2</v>
      </c>
      <c r="S199" s="18">
        <f t="shared" si="25"/>
        <v>10.854036206874452</v>
      </c>
      <c r="T199" s="18">
        <f>S199/Explications!$C$8</f>
        <v>0.36180120689581508</v>
      </c>
    </row>
    <row r="200" spans="7:20">
      <c r="G200" s="10" t="s">
        <v>15</v>
      </c>
      <c r="H200" s="10" t="s">
        <v>48</v>
      </c>
      <c r="I200" s="10">
        <v>46.888800000000003</v>
      </c>
      <c r="J200" s="10">
        <v>-71.291700000000006</v>
      </c>
      <c r="K200" s="10">
        <v>46.792299999999997</v>
      </c>
      <c r="L200" s="10">
        <v>-71.172899999999998</v>
      </c>
      <c r="M200" s="6" t="str">
        <f t="shared" si="20"/>
        <v>C2</v>
      </c>
      <c r="N200" s="6" t="str">
        <f t="shared" si="21"/>
        <v>C32</v>
      </c>
      <c r="O200" s="5">
        <f t="shared" si="22"/>
        <v>14.028154857754188</v>
      </c>
      <c r="P200" s="22">
        <f>O200/Explications!$C$8</f>
        <v>0.46760516192513962</v>
      </c>
      <c r="Q200" s="7" t="str">
        <f t="shared" si="23"/>
        <v>C32</v>
      </c>
      <c r="R200" s="7" t="str">
        <f t="shared" si="24"/>
        <v>C2</v>
      </c>
      <c r="S200" s="18">
        <f t="shared" si="25"/>
        <v>14.028154857754188</v>
      </c>
      <c r="T200" s="18">
        <f>S200/Explications!$C$8</f>
        <v>0.46760516192513962</v>
      </c>
    </row>
    <row r="201" spans="7:20">
      <c r="G201" s="10" t="s">
        <v>15</v>
      </c>
      <c r="H201" s="10" t="s">
        <v>49</v>
      </c>
      <c r="I201" s="10">
        <v>46.888800000000003</v>
      </c>
      <c r="J201" s="10">
        <v>-71.291700000000006</v>
      </c>
      <c r="K201" s="10">
        <v>46.7883</v>
      </c>
      <c r="L201" s="10">
        <v>-71.131200000000007</v>
      </c>
      <c r="M201" s="6" t="str">
        <f t="shared" si="20"/>
        <v>C2</v>
      </c>
      <c r="N201" s="6" t="str">
        <f t="shared" si="21"/>
        <v>C33</v>
      </c>
      <c r="O201" s="5">
        <f t="shared" si="22"/>
        <v>16.550613210254859</v>
      </c>
      <c r="P201" s="22">
        <f>O201/Explications!$C$8</f>
        <v>0.55168710700849533</v>
      </c>
      <c r="Q201" s="7" t="str">
        <f t="shared" si="23"/>
        <v>C33</v>
      </c>
      <c r="R201" s="7" t="str">
        <f t="shared" si="24"/>
        <v>C2</v>
      </c>
      <c r="S201" s="18">
        <f t="shared" si="25"/>
        <v>16.550613210254859</v>
      </c>
      <c r="T201" s="18">
        <f>S201/Explications!$C$8</f>
        <v>0.55168710700849533</v>
      </c>
    </row>
    <row r="202" spans="7:20">
      <c r="G202" s="10" t="s">
        <v>15</v>
      </c>
      <c r="H202" s="10" t="s">
        <v>50</v>
      </c>
      <c r="I202" s="10">
        <v>46.888800000000003</v>
      </c>
      <c r="J202" s="10">
        <v>-71.291700000000006</v>
      </c>
      <c r="K202" s="10">
        <v>46.8611</v>
      </c>
      <c r="L202" s="10">
        <v>-71.268799999999999</v>
      </c>
      <c r="M202" s="6" t="str">
        <f t="shared" si="20"/>
        <v>C2</v>
      </c>
      <c r="N202" s="6" t="str">
        <f t="shared" si="21"/>
        <v>C34</v>
      </c>
      <c r="O202" s="5">
        <f t="shared" si="22"/>
        <v>3.5379325223294398</v>
      </c>
      <c r="P202" s="22">
        <f>O202/Explications!$C$8</f>
        <v>0.11793108407764799</v>
      </c>
      <c r="Q202" s="7" t="str">
        <f t="shared" si="23"/>
        <v>C34</v>
      </c>
      <c r="R202" s="7" t="str">
        <f t="shared" si="24"/>
        <v>C2</v>
      </c>
      <c r="S202" s="18">
        <f t="shared" si="25"/>
        <v>3.5379325223294398</v>
      </c>
      <c r="T202" s="18">
        <f>S202/Explications!$C$8</f>
        <v>0.11793108407764799</v>
      </c>
    </row>
    <row r="203" spans="7:20">
      <c r="G203" s="10" t="s">
        <v>15</v>
      </c>
      <c r="H203" s="10" t="s">
        <v>51</v>
      </c>
      <c r="I203" s="10">
        <v>46.888800000000003</v>
      </c>
      <c r="J203" s="10">
        <v>-71.291700000000006</v>
      </c>
      <c r="K203" s="10">
        <v>46.869700000000002</v>
      </c>
      <c r="L203" s="10">
        <v>-71.205200000000005</v>
      </c>
      <c r="M203" s="6" t="str">
        <f t="shared" si="20"/>
        <v>C2</v>
      </c>
      <c r="N203" s="6" t="str">
        <f t="shared" si="21"/>
        <v>C35</v>
      </c>
      <c r="O203" s="5">
        <f t="shared" si="22"/>
        <v>6.909044135402187</v>
      </c>
      <c r="P203" s="22">
        <f>O203/Explications!$C$8</f>
        <v>0.23030147118007291</v>
      </c>
      <c r="Q203" s="7" t="str">
        <f t="shared" si="23"/>
        <v>C35</v>
      </c>
      <c r="R203" s="7" t="str">
        <f t="shared" si="24"/>
        <v>C2</v>
      </c>
      <c r="S203" s="18">
        <f t="shared" si="25"/>
        <v>6.909044135402187</v>
      </c>
      <c r="T203" s="18">
        <f>S203/Explications!$C$8</f>
        <v>0.23030147118007291</v>
      </c>
    </row>
    <row r="204" spans="7:20">
      <c r="G204" s="10" t="s">
        <v>15</v>
      </c>
      <c r="H204" s="10" t="s">
        <v>52</v>
      </c>
      <c r="I204" s="10">
        <v>46.888800000000003</v>
      </c>
      <c r="J204" s="10">
        <v>-71.291700000000006</v>
      </c>
      <c r="K204" s="10">
        <v>46.774099999999997</v>
      </c>
      <c r="L204" s="10">
        <v>-71.174000000000007</v>
      </c>
      <c r="M204" s="6" t="str">
        <f t="shared" si="20"/>
        <v>C2</v>
      </c>
      <c r="N204" s="6" t="str">
        <f t="shared" si="21"/>
        <v>C36</v>
      </c>
      <c r="O204" s="5">
        <f t="shared" si="22"/>
        <v>15.583249027574064</v>
      </c>
      <c r="P204" s="22">
        <f>O204/Explications!$C$8</f>
        <v>0.51944163425246881</v>
      </c>
      <c r="Q204" s="7" t="str">
        <f t="shared" si="23"/>
        <v>C36</v>
      </c>
      <c r="R204" s="7" t="str">
        <f t="shared" si="24"/>
        <v>C2</v>
      </c>
      <c r="S204" s="18">
        <f t="shared" si="25"/>
        <v>15.583249027574064</v>
      </c>
      <c r="T204" s="18">
        <f>S204/Explications!$C$8</f>
        <v>0.51944163425246881</v>
      </c>
    </row>
    <row r="205" spans="7:20">
      <c r="G205" s="10" t="s">
        <v>15</v>
      </c>
      <c r="H205" s="10" t="s">
        <v>53</v>
      </c>
      <c r="I205" s="10">
        <v>46.888800000000003</v>
      </c>
      <c r="J205" s="10">
        <v>-71.291700000000006</v>
      </c>
      <c r="K205" s="10">
        <v>46.808500000000002</v>
      </c>
      <c r="L205" s="10">
        <v>-71.326599999999999</v>
      </c>
      <c r="M205" s="6" t="str">
        <f t="shared" si="20"/>
        <v>C2</v>
      </c>
      <c r="N205" s="6" t="str">
        <f t="shared" si="21"/>
        <v>C37</v>
      </c>
      <c r="O205" s="5">
        <f t="shared" si="22"/>
        <v>9.3150709948512347</v>
      </c>
      <c r="P205" s="22">
        <f>O205/Explications!$C$8</f>
        <v>0.31050236649504115</v>
      </c>
      <c r="Q205" s="7" t="str">
        <f t="shared" si="23"/>
        <v>C37</v>
      </c>
      <c r="R205" s="7" t="str">
        <f t="shared" si="24"/>
        <v>C2</v>
      </c>
      <c r="S205" s="18">
        <f t="shared" si="25"/>
        <v>9.3150709948512347</v>
      </c>
      <c r="T205" s="18">
        <f>S205/Explications!$C$8</f>
        <v>0.31050236649504115</v>
      </c>
    </row>
    <row r="206" spans="7:20">
      <c r="G206" s="10" t="s">
        <v>15</v>
      </c>
      <c r="H206" s="10" t="s">
        <v>54</v>
      </c>
      <c r="I206" s="10">
        <v>46.888800000000003</v>
      </c>
      <c r="J206" s="10">
        <v>-71.291700000000006</v>
      </c>
      <c r="K206" s="10">
        <v>46.797499999999999</v>
      </c>
      <c r="L206" s="10">
        <v>-71.306100000000001</v>
      </c>
      <c r="M206" s="6" t="str">
        <f t="shared" si="20"/>
        <v>C2</v>
      </c>
      <c r="N206" s="6" t="str">
        <f t="shared" si="21"/>
        <v>C38</v>
      </c>
      <c r="O206" s="5">
        <f t="shared" si="22"/>
        <v>10.211002891789043</v>
      </c>
      <c r="P206" s="22">
        <f>O206/Explications!$C$8</f>
        <v>0.34036676305963476</v>
      </c>
      <c r="Q206" s="7" t="str">
        <f t="shared" si="23"/>
        <v>C38</v>
      </c>
      <c r="R206" s="7" t="str">
        <f t="shared" si="24"/>
        <v>C2</v>
      </c>
      <c r="S206" s="18">
        <f t="shared" si="25"/>
        <v>10.211002891789043</v>
      </c>
      <c r="T206" s="18">
        <f>S206/Explications!$C$8</f>
        <v>0.34036676305963476</v>
      </c>
    </row>
    <row r="207" spans="7:20">
      <c r="G207" s="10" t="s">
        <v>15</v>
      </c>
      <c r="H207" s="10" t="s">
        <v>55</v>
      </c>
      <c r="I207" s="10">
        <v>46.888800000000003</v>
      </c>
      <c r="J207" s="10">
        <v>-71.291700000000006</v>
      </c>
      <c r="K207" s="10">
        <v>46.8155</v>
      </c>
      <c r="L207" s="10">
        <v>-71.268199999999993</v>
      </c>
      <c r="M207" s="6" t="str">
        <f t="shared" si="20"/>
        <v>C2</v>
      </c>
      <c r="N207" s="6" t="str">
        <f t="shared" si="21"/>
        <v>C39</v>
      </c>
      <c r="O207" s="5">
        <f t="shared" si="22"/>
        <v>8.3441958991107796</v>
      </c>
      <c r="P207" s="22">
        <f>O207/Explications!$C$8</f>
        <v>0.27813986330369267</v>
      </c>
      <c r="Q207" s="7" t="str">
        <f t="shared" si="23"/>
        <v>C39</v>
      </c>
      <c r="R207" s="7" t="str">
        <f t="shared" si="24"/>
        <v>C2</v>
      </c>
      <c r="S207" s="18">
        <f t="shared" si="25"/>
        <v>8.3441958991107796</v>
      </c>
      <c r="T207" s="18">
        <f>S207/Explications!$C$8</f>
        <v>0.27813986330369267</v>
      </c>
    </row>
    <row r="208" spans="7:20">
      <c r="G208" s="10" t="s">
        <v>15</v>
      </c>
      <c r="H208" s="10" t="s">
        <v>56</v>
      </c>
      <c r="I208" s="10">
        <v>46.888800000000003</v>
      </c>
      <c r="J208" s="10">
        <v>-71.291700000000006</v>
      </c>
      <c r="K208" s="10">
        <v>46.866700000000002</v>
      </c>
      <c r="L208" s="10">
        <v>-71.215900000000005</v>
      </c>
      <c r="M208" s="6" t="str">
        <f t="shared" si="20"/>
        <v>C2</v>
      </c>
      <c r="N208" s="6" t="str">
        <f t="shared" si="21"/>
        <v>C40</v>
      </c>
      <c r="O208" s="5">
        <f t="shared" si="22"/>
        <v>6.2636044409343024</v>
      </c>
      <c r="P208" s="22">
        <f>O208/Explications!$C$8</f>
        <v>0.20878681469781007</v>
      </c>
      <c r="Q208" s="7" t="str">
        <f t="shared" si="23"/>
        <v>C40</v>
      </c>
      <c r="R208" s="7" t="str">
        <f t="shared" si="24"/>
        <v>C2</v>
      </c>
      <c r="S208" s="18">
        <f t="shared" si="25"/>
        <v>6.2636044409343024</v>
      </c>
      <c r="T208" s="18">
        <f>S208/Explications!$C$8</f>
        <v>0.20878681469781007</v>
      </c>
    </row>
    <row r="209" spans="7:20">
      <c r="G209" s="10" t="s">
        <v>15</v>
      </c>
      <c r="H209" s="10" t="s">
        <v>57</v>
      </c>
      <c r="I209" s="10">
        <v>46.888800000000003</v>
      </c>
      <c r="J209" s="10">
        <v>-71.291700000000006</v>
      </c>
      <c r="K209" s="10">
        <v>46.762099999999997</v>
      </c>
      <c r="L209" s="10">
        <v>-71.235399999999998</v>
      </c>
      <c r="M209" s="6" t="str">
        <f t="shared" si="20"/>
        <v>C2</v>
      </c>
      <c r="N209" s="6" t="str">
        <f t="shared" si="21"/>
        <v>C41</v>
      </c>
      <c r="O209" s="5">
        <f t="shared" si="22"/>
        <v>14.725170072403795</v>
      </c>
      <c r="P209" s="22">
        <f>O209/Explications!$C$8</f>
        <v>0.49083900241345985</v>
      </c>
      <c r="Q209" s="7" t="str">
        <f t="shared" si="23"/>
        <v>C41</v>
      </c>
      <c r="R209" s="7" t="str">
        <f t="shared" si="24"/>
        <v>C2</v>
      </c>
      <c r="S209" s="18">
        <f t="shared" si="25"/>
        <v>14.725170072403795</v>
      </c>
      <c r="T209" s="18">
        <f>S209/Explications!$C$8</f>
        <v>0.49083900241345985</v>
      </c>
    </row>
    <row r="210" spans="7:20">
      <c r="G210" s="10" t="s">
        <v>15</v>
      </c>
      <c r="H210" s="10" t="s">
        <v>58</v>
      </c>
      <c r="I210" s="10">
        <v>46.888800000000003</v>
      </c>
      <c r="J210" s="10">
        <v>-71.291700000000006</v>
      </c>
      <c r="K210" s="10">
        <v>46.8157</v>
      </c>
      <c r="L210" s="10">
        <v>-71.2042</v>
      </c>
      <c r="M210" s="6" t="str">
        <f t="shared" si="20"/>
        <v>C2</v>
      </c>
      <c r="N210" s="6" t="str">
        <f t="shared" si="21"/>
        <v>C42</v>
      </c>
      <c r="O210" s="5">
        <f t="shared" si="22"/>
        <v>10.504475142595775</v>
      </c>
      <c r="P210" s="22">
        <f>O210/Explications!$C$8</f>
        <v>0.35014917141985913</v>
      </c>
      <c r="Q210" s="7" t="str">
        <f t="shared" si="23"/>
        <v>C42</v>
      </c>
      <c r="R210" s="7" t="str">
        <f t="shared" si="24"/>
        <v>C2</v>
      </c>
      <c r="S210" s="18">
        <f t="shared" si="25"/>
        <v>10.504475142595775</v>
      </c>
      <c r="T210" s="18">
        <f>S210/Explications!$C$8</f>
        <v>0.35014917141985913</v>
      </c>
    </row>
    <row r="211" spans="7:20">
      <c r="G211" s="10" t="s">
        <v>15</v>
      </c>
      <c r="H211" s="10" t="s">
        <v>59</v>
      </c>
      <c r="I211" s="10">
        <v>46.888800000000003</v>
      </c>
      <c r="J211" s="10">
        <v>-71.291700000000006</v>
      </c>
      <c r="K211" s="10">
        <v>46.707000000000001</v>
      </c>
      <c r="L211" s="10">
        <v>-71.217100000000002</v>
      </c>
      <c r="M211" s="6" t="str">
        <f t="shared" si="20"/>
        <v>C2</v>
      </c>
      <c r="N211" s="6" t="str">
        <f t="shared" si="21"/>
        <v>C43</v>
      </c>
      <c r="O211" s="5">
        <f t="shared" si="22"/>
        <v>20.997681483232125</v>
      </c>
      <c r="P211" s="22">
        <f>O211/Explications!$C$8</f>
        <v>0.69992271610773749</v>
      </c>
      <c r="Q211" s="7" t="str">
        <f t="shared" si="23"/>
        <v>C43</v>
      </c>
      <c r="R211" s="7" t="str">
        <f t="shared" si="24"/>
        <v>C2</v>
      </c>
      <c r="S211" s="18">
        <f t="shared" si="25"/>
        <v>20.997681483232125</v>
      </c>
      <c r="T211" s="18">
        <f>S211/Explications!$C$8</f>
        <v>0.69992271610773749</v>
      </c>
    </row>
    <row r="212" spans="7:20">
      <c r="G212" s="10" t="s">
        <v>15</v>
      </c>
      <c r="H212" s="10" t="s">
        <v>60</v>
      </c>
      <c r="I212" s="10">
        <v>46.888800000000003</v>
      </c>
      <c r="J212" s="10">
        <v>-71.291700000000006</v>
      </c>
      <c r="K212" s="10">
        <v>46.802900000000001</v>
      </c>
      <c r="L212" s="10">
        <v>-71.228899999999996</v>
      </c>
      <c r="M212" s="6" t="str">
        <f t="shared" si="20"/>
        <v>C2</v>
      </c>
      <c r="N212" s="6" t="str">
        <f t="shared" si="21"/>
        <v>C44</v>
      </c>
      <c r="O212" s="5">
        <f t="shared" si="22"/>
        <v>10.679206655932255</v>
      </c>
      <c r="P212" s="22">
        <f>O212/Explications!$C$8</f>
        <v>0.35597355519774182</v>
      </c>
      <c r="Q212" s="7" t="str">
        <f t="shared" si="23"/>
        <v>C44</v>
      </c>
      <c r="R212" s="7" t="str">
        <f t="shared" si="24"/>
        <v>C2</v>
      </c>
      <c r="S212" s="18">
        <f t="shared" si="25"/>
        <v>10.679206655932255</v>
      </c>
      <c r="T212" s="18">
        <f>S212/Explications!$C$8</f>
        <v>0.35597355519774182</v>
      </c>
    </row>
    <row r="213" spans="7:20">
      <c r="G213" s="10" t="s">
        <v>15</v>
      </c>
      <c r="H213" s="10" t="s">
        <v>61</v>
      </c>
      <c r="I213" s="10">
        <v>46.888800000000003</v>
      </c>
      <c r="J213" s="10">
        <v>-71.291700000000006</v>
      </c>
      <c r="K213" s="10">
        <v>46.796900000000001</v>
      </c>
      <c r="L213" s="10">
        <v>-71.3078</v>
      </c>
      <c r="M213" s="6" t="str">
        <f t="shared" si="20"/>
        <v>C2</v>
      </c>
      <c r="N213" s="6" t="str">
        <f t="shared" si="21"/>
        <v>C45</v>
      </c>
      <c r="O213" s="5">
        <f t="shared" si="22"/>
        <v>10.291920007046683</v>
      </c>
      <c r="P213" s="22">
        <f>O213/Explications!$C$8</f>
        <v>0.34306400023488942</v>
      </c>
      <c r="Q213" s="7" t="str">
        <f t="shared" si="23"/>
        <v>C45</v>
      </c>
      <c r="R213" s="7" t="str">
        <f t="shared" si="24"/>
        <v>C2</v>
      </c>
      <c r="S213" s="18">
        <f t="shared" si="25"/>
        <v>10.291920007046683</v>
      </c>
      <c r="T213" s="18">
        <f>S213/Explications!$C$8</f>
        <v>0.34306400023488942</v>
      </c>
    </row>
    <row r="214" spans="7:20">
      <c r="G214" s="10" t="s">
        <v>15</v>
      </c>
      <c r="H214" s="10" t="s">
        <v>62</v>
      </c>
      <c r="I214" s="10">
        <v>46.888800000000003</v>
      </c>
      <c r="J214" s="10">
        <v>-71.291700000000006</v>
      </c>
      <c r="K214" s="10">
        <v>46.803600000000003</v>
      </c>
      <c r="L214" s="10">
        <v>-71.231099999999998</v>
      </c>
      <c r="M214" s="6" t="str">
        <f t="shared" si="20"/>
        <v>C2</v>
      </c>
      <c r="N214" s="6" t="str">
        <f t="shared" si="21"/>
        <v>C46</v>
      </c>
      <c r="O214" s="5">
        <f t="shared" si="22"/>
        <v>10.535370826931006</v>
      </c>
      <c r="P214" s="22">
        <f>O214/Explications!$C$8</f>
        <v>0.35117902756436686</v>
      </c>
      <c r="Q214" s="7" t="str">
        <f t="shared" si="23"/>
        <v>C46</v>
      </c>
      <c r="R214" s="7" t="str">
        <f t="shared" si="24"/>
        <v>C2</v>
      </c>
      <c r="S214" s="18">
        <f t="shared" si="25"/>
        <v>10.535370826931006</v>
      </c>
      <c r="T214" s="18">
        <f>S214/Explications!$C$8</f>
        <v>0.35117902756436686</v>
      </c>
    </row>
    <row r="215" spans="7:20">
      <c r="G215" s="10" t="s">
        <v>15</v>
      </c>
      <c r="H215" s="10" t="s">
        <v>63</v>
      </c>
      <c r="I215" s="10">
        <v>46.888800000000003</v>
      </c>
      <c r="J215" s="10">
        <v>-71.291700000000006</v>
      </c>
      <c r="K215" s="10">
        <v>46.802399999999999</v>
      </c>
      <c r="L215" s="10">
        <v>-71.269800000000004</v>
      </c>
      <c r="M215" s="6" t="str">
        <f t="shared" si="20"/>
        <v>C2</v>
      </c>
      <c r="N215" s="6" t="str">
        <f t="shared" si="21"/>
        <v>C47</v>
      </c>
      <c r="O215" s="5">
        <f t="shared" si="22"/>
        <v>9.7505501584922918</v>
      </c>
      <c r="P215" s="22">
        <f>O215/Explications!$C$8</f>
        <v>0.32501833861640972</v>
      </c>
      <c r="Q215" s="7" t="str">
        <f t="shared" si="23"/>
        <v>C47</v>
      </c>
      <c r="R215" s="7" t="str">
        <f t="shared" si="24"/>
        <v>C2</v>
      </c>
      <c r="S215" s="18">
        <f t="shared" si="25"/>
        <v>9.7505501584922918</v>
      </c>
      <c r="T215" s="18">
        <f>S215/Explications!$C$8</f>
        <v>0.32501833861640972</v>
      </c>
    </row>
    <row r="216" spans="7:20">
      <c r="G216" s="10" t="s">
        <v>15</v>
      </c>
      <c r="H216" s="10" t="s">
        <v>64</v>
      </c>
      <c r="I216" s="10">
        <v>46.888800000000003</v>
      </c>
      <c r="J216" s="10">
        <v>-71.291700000000006</v>
      </c>
      <c r="K216" s="10">
        <v>46.826799999999999</v>
      </c>
      <c r="L216" s="10">
        <v>-71.224199999999996</v>
      </c>
      <c r="M216" s="6" t="str">
        <f t="shared" si="20"/>
        <v>C2</v>
      </c>
      <c r="N216" s="6" t="str">
        <f t="shared" si="21"/>
        <v>C48</v>
      </c>
      <c r="O216" s="5">
        <f t="shared" si="22"/>
        <v>8.594794081526409</v>
      </c>
      <c r="P216" s="22">
        <f>O216/Explications!$C$8</f>
        <v>0.28649313605088028</v>
      </c>
      <c r="Q216" s="7" t="str">
        <f t="shared" si="23"/>
        <v>C48</v>
      </c>
      <c r="R216" s="7" t="str">
        <f t="shared" si="24"/>
        <v>C2</v>
      </c>
      <c r="S216" s="18">
        <f t="shared" si="25"/>
        <v>8.594794081526409</v>
      </c>
      <c r="T216" s="18">
        <f>S216/Explications!$C$8</f>
        <v>0.28649313605088028</v>
      </c>
    </row>
    <row r="217" spans="7:20">
      <c r="G217" s="10" t="s">
        <v>15</v>
      </c>
      <c r="H217" s="10" t="s">
        <v>65</v>
      </c>
      <c r="I217" s="10">
        <v>46.888800000000003</v>
      </c>
      <c r="J217" s="10">
        <v>-71.291700000000006</v>
      </c>
      <c r="K217" s="10">
        <v>46.864100000000001</v>
      </c>
      <c r="L217" s="10">
        <v>-71.255499999999998</v>
      </c>
      <c r="M217" s="6" t="str">
        <f t="shared" si="20"/>
        <v>C2</v>
      </c>
      <c r="N217" s="6" t="str">
        <f t="shared" si="21"/>
        <v>C49</v>
      </c>
      <c r="O217" s="5">
        <f t="shared" si="22"/>
        <v>3.8877273766671969</v>
      </c>
      <c r="P217" s="22">
        <f>O217/Explications!$C$8</f>
        <v>0.12959091255557323</v>
      </c>
      <c r="Q217" s="7" t="str">
        <f t="shared" si="23"/>
        <v>C49</v>
      </c>
      <c r="R217" s="7" t="str">
        <f t="shared" si="24"/>
        <v>C2</v>
      </c>
      <c r="S217" s="18">
        <f t="shared" si="25"/>
        <v>3.8877273766671969</v>
      </c>
      <c r="T217" s="18">
        <f>S217/Explications!$C$8</f>
        <v>0.12959091255557323</v>
      </c>
    </row>
    <row r="218" spans="7:20">
      <c r="G218" s="10" t="s">
        <v>15</v>
      </c>
      <c r="H218" s="10" t="s">
        <v>66</v>
      </c>
      <c r="I218" s="10">
        <v>46.888800000000003</v>
      </c>
      <c r="J218" s="10">
        <v>-71.291700000000006</v>
      </c>
      <c r="K218" s="10">
        <v>46.843800000000002</v>
      </c>
      <c r="L218" s="10">
        <v>-71.247299999999996</v>
      </c>
      <c r="M218" s="6" t="str">
        <f t="shared" si="20"/>
        <v>C2</v>
      </c>
      <c r="N218" s="6" t="str">
        <f t="shared" si="21"/>
        <v>C50</v>
      </c>
      <c r="O218" s="5">
        <f t="shared" si="22"/>
        <v>6.0358588215486595</v>
      </c>
      <c r="P218" s="22">
        <f>O218/Explications!$C$8</f>
        <v>0.20119529405162198</v>
      </c>
      <c r="Q218" s="7" t="str">
        <f t="shared" si="23"/>
        <v>C50</v>
      </c>
      <c r="R218" s="7" t="str">
        <f t="shared" si="24"/>
        <v>C2</v>
      </c>
      <c r="S218" s="18">
        <f t="shared" si="25"/>
        <v>6.0358588215486595</v>
      </c>
      <c r="T218" s="18">
        <f>S218/Explications!$C$8</f>
        <v>0.20119529405162198</v>
      </c>
    </row>
    <row r="219" spans="7:20">
      <c r="G219" s="10" t="s">
        <v>15</v>
      </c>
      <c r="H219" s="10" t="s">
        <v>67</v>
      </c>
      <c r="I219" s="10">
        <v>46.888800000000003</v>
      </c>
      <c r="J219" s="10">
        <v>-71.291700000000006</v>
      </c>
      <c r="K219" s="10">
        <v>46.765599999999999</v>
      </c>
      <c r="L219" s="10">
        <v>-71.312100000000001</v>
      </c>
      <c r="M219" s="6" t="str">
        <f t="shared" si="20"/>
        <v>C2</v>
      </c>
      <c r="N219" s="6" t="str">
        <f t="shared" si="21"/>
        <v>C51</v>
      </c>
      <c r="O219" s="5">
        <f t="shared" si="22"/>
        <v>13.786851319859238</v>
      </c>
      <c r="P219" s="22">
        <f>O219/Explications!$C$8</f>
        <v>0.4595617106619746</v>
      </c>
      <c r="Q219" s="7" t="str">
        <f t="shared" si="23"/>
        <v>C51</v>
      </c>
      <c r="R219" s="7" t="str">
        <f t="shared" si="24"/>
        <v>C2</v>
      </c>
      <c r="S219" s="18">
        <f t="shared" si="25"/>
        <v>13.786851319859238</v>
      </c>
      <c r="T219" s="18">
        <f>S219/Explications!$C$8</f>
        <v>0.4595617106619746</v>
      </c>
    </row>
    <row r="220" spans="7:20">
      <c r="G220" s="10" t="s">
        <v>15</v>
      </c>
      <c r="H220" s="10" t="s">
        <v>68</v>
      </c>
      <c r="I220" s="10">
        <v>46.888800000000003</v>
      </c>
      <c r="J220" s="10">
        <v>-71.291700000000006</v>
      </c>
      <c r="K220" s="10">
        <v>46.787599999999998</v>
      </c>
      <c r="L220" s="10">
        <v>-71.288600000000002</v>
      </c>
      <c r="M220" s="6" t="str">
        <f t="shared" si="20"/>
        <v>C2</v>
      </c>
      <c r="N220" s="6" t="str">
        <f t="shared" si="21"/>
        <v>C52</v>
      </c>
      <c r="O220" s="5">
        <f t="shared" si="22"/>
        <v>11.255396817343328</v>
      </c>
      <c r="P220" s="22">
        <f>O220/Explications!$C$8</f>
        <v>0.3751798939114443</v>
      </c>
      <c r="Q220" s="7" t="str">
        <f t="shared" si="23"/>
        <v>C52</v>
      </c>
      <c r="R220" s="7" t="str">
        <f t="shared" si="24"/>
        <v>C2</v>
      </c>
      <c r="S220" s="18">
        <f t="shared" si="25"/>
        <v>11.255396817343328</v>
      </c>
      <c r="T220" s="18">
        <f>S220/Explications!$C$8</f>
        <v>0.3751798939114443</v>
      </c>
    </row>
    <row r="221" spans="7:20">
      <c r="G221" s="10" t="s">
        <v>15</v>
      </c>
      <c r="H221" s="10" t="s">
        <v>69</v>
      </c>
      <c r="I221" s="10">
        <v>46.888800000000003</v>
      </c>
      <c r="J221" s="10">
        <v>-71.291700000000006</v>
      </c>
      <c r="K221" s="10">
        <v>46.764600000000002</v>
      </c>
      <c r="L221" s="10">
        <v>-71.308300000000003</v>
      </c>
      <c r="M221" s="6" t="str">
        <f t="shared" si="20"/>
        <v>C2</v>
      </c>
      <c r="N221" s="6" t="str">
        <f t="shared" si="21"/>
        <v>C53</v>
      </c>
      <c r="O221" s="5">
        <f t="shared" si="22"/>
        <v>13.868035974098408</v>
      </c>
      <c r="P221" s="22">
        <f>O221/Explications!$C$8</f>
        <v>0.46226786580328028</v>
      </c>
      <c r="Q221" s="7" t="str">
        <f t="shared" si="23"/>
        <v>C53</v>
      </c>
      <c r="R221" s="7" t="str">
        <f t="shared" si="24"/>
        <v>C2</v>
      </c>
      <c r="S221" s="18">
        <f t="shared" si="25"/>
        <v>13.868035974098408</v>
      </c>
      <c r="T221" s="18">
        <f>S221/Explications!$C$8</f>
        <v>0.46226786580328028</v>
      </c>
    </row>
    <row r="222" spans="7:20">
      <c r="G222" s="10" t="s">
        <v>15</v>
      </c>
      <c r="H222" s="10" t="s">
        <v>70</v>
      </c>
      <c r="I222" s="10">
        <v>46.888800000000003</v>
      </c>
      <c r="J222" s="10">
        <v>-71.291700000000006</v>
      </c>
      <c r="K222" s="10">
        <v>46.849699999999999</v>
      </c>
      <c r="L222" s="10">
        <v>-71.097399999999993</v>
      </c>
      <c r="M222" s="6" t="str">
        <f t="shared" si="20"/>
        <v>C2</v>
      </c>
      <c r="N222" s="6" t="str">
        <f t="shared" si="21"/>
        <v>C54</v>
      </c>
      <c r="O222" s="5">
        <f t="shared" si="22"/>
        <v>15.397288849604113</v>
      </c>
      <c r="P222" s="22">
        <f>O222/Explications!$C$8</f>
        <v>0.51324296165347039</v>
      </c>
      <c r="Q222" s="7" t="str">
        <f t="shared" si="23"/>
        <v>C54</v>
      </c>
      <c r="R222" s="7" t="str">
        <f t="shared" si="24"/>
        <v>C2</v>
      </c>
      <c r="S222" s="18">
        <f t="shared" si="25"/>
        <v>15.397288849604113</v>
      </c>
      <c r="T222" s="18">
        <f>S222/Explications!$C$8</f>
        <v>0.51324296165347039</v>
      </c>
    </row>
    <row r="223" spans="7:20">
      <c r="G223" s="10" t="s">
        <v>15</v>
      </c>
      <c r="H223" s="10" t="s">
        <v>71</v>
      </c>
      <c r="I223" s="10">
        <v>46.888800000000003</v>
      </c>
      <c r="J223" s="10">
        <v>-71.291700000000006</v>
      </c>
      <c r="K223" s="10">
        <v>46.788899999999998</v>
      </c>
      <c r="L223" s="10">
        <v>-71.321399999999997</v>
      </c>
      <c r="M223" s="6" t="str">
        <f t="shared" si="20"/>
        <v>C2</v>
      </c>
      <c r="N223" s="6" t="str">
        <f t="shared" si="21"/>
        <v>C55</v>
      </c>
      <c r="O223" s="5">
        <f t="shared" si="22"/>
        <v>11.335756521918601</v>
      </c>
      <c r="P223" s="22">
        <f>O223/Explications!$C$8</f>
        <v>0.37785855073062002</v>
      </c>
      <c r="Q223" s="7" t="str">
        <f t="shared" si="23"/>
        <v>C55</v>
      </c>
      <c r="R223" s="7" t="str">
        <f t="shared" si="24"/>
        <v>C2</v>
      </c>
      <c r="S223" s="18">
        <f t="shared" si="25"/>
        <v>11.335756521918601</v>
      </c>
      <c r="T223" s="18">
        <f>S223/Explications!$C$8</f>
        <v>0.37785855073062002</v>
      </c>
    </row>
    <row r="224" spans="7:20">
      <c r="G224" s="10" t="s">
        <v>15</v>
      </c>
      <c r="H224" s="10" t="s">
        <v>72</v>
      </c>
      <c r="I224" s="10">
        <v>46.888800000000003</v>
      </c>
      <c r="J224" s="10">
        <v>-71.291700000000006</v>
      </c>
      <c r="K224" s="10">
        <v>46.795400000000001</v>
      </c>
      <c r="L224" s="10">
        <v>-71.232600000000005</v>
      </c>
      <c r="M224" s="6" t="str">
        <f t="shared" si="20"/>
        <v>C2</v>
      </c>
      <c r="N224" s="6" t="str">
        <f t="shared" si="21"/>
        <v>C56</v>
      </c>
      <c r="O224" s="5">
        <f t="shared" si="22"/>
        <v>11.316641730613133</v>
      </c>
      <c r="P224" s="22">
        <f>O224/Explications!$C$8</f>
        <v>0.37722139102043778</v>
      </c>
      <c r="Q224" s="7" t="str">
        <f t="shared" si="23"/>
        <v>C56</v>
      </c>
      <c r="R224" s="7" t="str">
        <f t="shared" si="24"/>
        <v>C2</v>
      </c>
      <c r="S224" s="18">
        <f t="shared" si="25"/>
        <v>11.316641730613133</v>
      </c>
      <c r="T224" s="18">
        <f>S224/Explications!$C$8</f>
        <v>0.37722139102043778</v>
      </c>
    </row>
    <row r="225" spans="7:20">
      <c r="G225" s="10" t="s">
        <v>15</v>
      </c>
      <c r="H225" s="10" t="s">
        <v>73</v>
      </c>
      <c r="I225" s="10">
        <v>46.888800000000003</v>
      </c>
      <c r="J225" s="10">
        <v>-71.291700000000006</v>
      </c>
      <c r="K225" s="10">
        <v>46.801200000000001</v>
      </c>
      <c r="L225" s="10">
        <v>-71.224999999999994</v>
      </c>
      <c r="M225" s="6" t="str">
        <f t="shared" si="20"/>
        <v>C2</v>
      </c>
      <c r="N225" s="6" t="str">
        <f t="shared" si="21"/>
        <v>C57</v>
      </c>
      <c r="O225" s="5">
        <f t="shared" si="22"/>
        <v>10.982457802670398</v>
      </c>
      <c r="P225" s="22">
        <f>O225/Explications!$C$8</f>
        <v>0.36608192675567991</v>
      </c>
      <c r="Q225" s="7" t="str">
        <f t="shared" si="23"/>
        <v>C57</v>
      </c>
      <c r="R225" s="7" t="str">
        <f t="shared" si="24"/>
        <v>C2</v>
      </c>
      <c r="S225" s="18">
        <f t="shared" si="25"/>
        <v>10.982457802670398</v>
      </c>
      <c r="T225" s="18">
        <f>S225/Explications!$C$8</f>
        <v>0.36608192675567991</v>
      </c>
    </row>
    <row r="226" spans="7:20">
      <c r="G226" s="10" t="s">
        <v>15</v>
      </c>
      <c r="H226" s="10" t="s">
        <v>74</v>
      </c>
      <c r="I226" s="10">
        <v>46.888800000000003</v>
      </c>
      <c r="J226" s="10">
        <v>-71.291700000000006</v>
      </c>
      <c r="K226" s="10">
        <v>46.773200000000003</v>
      </c>
      <c r="L226" s="10">
        <v>-71.275899999999993</v>
      </c>
      <c r="M226" s="6" t="str">
        <f t="shared" si="20"/>
        <v>C2</v>
      </c>
      <c r="N226" s="6" t="str">
        <f t="shared" si="21"/>
        <v>C58</v>
      </c>
      <c r="O226" s="5">
        <f t="shared" si="22"/>
        <v>12.91020866034423</v>
      </c>
      <c r="P226" s="22">
        <f>O226/Explications!$C$8</f>
        <v>0.430340288678141</v>
      </c>
      <c r="Q226" s="7" t="str">
        <f t="shared" si="23"/>
        <v>C58</v>
      </c>
      <c r="R226" s="7" t="str">
        <f t="shared" si="24"/>
        <v>C2</v>
      </c>
      <c r="S226" s="18">
        <f t="shared" si="25"/>
        <v>12.91020866034423</v>
      </c>
      <c r="T226" s="18">
        <f>S226/Explications!$C$8</f>
        <v>0.430340288678141</v>
      </c>
    </row>
    <row r="227" spans="7:20">
      <c r="G227" s="10" t="s">
        <v>15</v>
      </c>
      <c r="H227" s="10" t="s">
        <v>75</v>
      </c>
      <c r="I227" s="10">
        <v>46.888800000000003</v>
      </c>
      <c r="J227" s="10">
        <v>-71.291700000000006</v>
      </c>
      <c r="K227" s="10">
        <v>46.814399999999999</v>
      </c>
      <c r="L227" s="10">
        <v>-71.225700000000003</v>
      </c>
      <c r="M227" s="6" t="str">
        <f t="shared" si="20"/>
        <v>C2</v>
      </c>
      <c r="N227" s="6" t="str">
        <f t="shared" si="21"/>
        <v>C59</v>
      </c>
      <c r="O227" s="5">
        <f t="shared" si="22"/>
        <v>9.676313784760934</v>
      </c>
      <c r="P227" s="22">
        <f>O227/Explications!$C$8</f>
        <v>0.32254379282536444</v>
      </c>
      <c r="Q227" s="7" t="str">
        <f t="shared" si="23"/>
        <v>C59</v>
      </c>
      <c r="R227" s="7" t="str">
        <f t="shared" si="24"/>
        <v>C2</v>
      </c>
      <c r="S227" s="18">
        <f t="shared" si="25"/>
        <v>9.676313784760934</v>
      </c>
      <c r="T227" s="18">
        <f>S227/Explications!$C$8</f>
        <v>0.32254379282536444</v>
      </c>
    </row>
    <row r="228" spans="7:20">
      <c r="G228" s="10" t="s">
        <v>15</v>
      </c>
      <c r="H228" s="10" t="s">
        <v>76</v>
      </c>
      <c r="I228" s="10">
        <v>46.888800000000003</v>
      </c>
      <c r="J228" s="10">
        <v>-71.291700000000006</v>
      </c>
      <c r="K228" s="10">
        <v>46.772500000000001</v>
      </c>
      <c r="L228" s="10">
        <v>-71.276300000000006</v>
      </c>
      <c r="M228" s="6" t="str">
        <f t="shared" si="20"/>
        <v>C2</v>
      </c>
      <c r="N228" s="6" t="str">
        <f t="shared" si="21"/>
        <v>C60</v>
      </c>
      <c r="O228" s="5">
        <f t="shared" si="22"/>
        <v>12.984928911550064</v>
      </c>
      <c r="P228" s="22">
        <f>O228/Explications!$C$8</f>
        <v>0.43283096371833546</v>
      </c>
      <c r="Q228" s="7" t="str">
        <f t="shared" si="23"/>
        <v>C60</v>
      </c>
      <c r="R228" s="7" t="str">
        <f t="shared" si="24"/>
        <v>C2</v>
      </c>
      <c r="S228" s="18">
        <f t="shared" si="25"/>
        <v>12.984928911550064</v>
      </c>
      <c r="T228" s="18">
        <f>S228/Explications!$C$8</f>
        <v>0.43283096371833546</v>
      </c>
    </row>
    <row r="229" spans="7:20">
      <c r="G229" s="10" t="s">
        <v>15</v>
      </c>
      <c r="H229" s="10" t="s">
        <v>77</v>
      </c>
      <c r="I229" s="10">
        <v>46.888800000000003</v>
      </c>
      <c r="J229" s="10">
        <v>-71.291700000000006</v>
      </c>
      <c r="K229" s="10">
        <v>46.810899999999997</v>
      </c>
      <c r="L229" s="10">
        <v>-71.215599999999995</v>
      </c>
      <c r="M229" s="6" t="str">
        <f t="shared" si="20"/>
        <v>C2</v>
      </c>
      <c r="N229" s="6" t="str">
        <f t="shared" si="21"/>
        <v>C61</v>
      </c>
      <c r="O229" s="5">
        <f t="shared" si="22"/>
        <v>10.417468075550355</v>
      </c>
      <c r="P229" s="22">
        <f>O229/Explications!$C$8</f>
        <v>0.34724893585167849</v>
      </c>
      <c r="Q229" s="7" t="str">
        <f t="shared" si="23"/>
        <v>C61</v>
      </c>
      <c r="R229" s="7" t="str">
        <f t="shared" si="24"/>
        <v>C2</v>
      </c>
      <c r="S229" s="18">
        <f t="shared" si="25"/>
        <v>10.417468075550355</v>
      </c>
      <c r="T229" s="18">
        <f>S229/Explications!$C$8</f>
        <v>0.34724893585167849</v>
      </c>
    </row>
    <row r="230" spans="7:20">
      <c r="G230" s="10" t="s">
        <v>15</v>
      </c>
      <c r="H230" s="10" t="s">
        <v>78</v>
      </c>
      <c r="I230" s="10">
        <v>46.888800000000003</v>
      </c>
      <c r="J230" s="10">
        <v>-71.291700000000006</v>
      </c>
      <c r="K230" s="10">
        <v>46.795200000000001</v>
      </c>
      <c r="L230" s="10">
        <v>-71.245099999999994</v>
      </c>
      <c r="M230" s="6" t="str">
        <f t="shared" si="20"/>
        <v>C2</v>
      </c>
      <c r="N230" s="6" t="str">
        <f t="shared" si="21"/>
        <v>C62</v>
      </c>
      <c r="O230" s="5">
        <f t="shared" si="22"/>
        <v>10.994796494012554</v>
      </c>
      <c r="P230" s="22">
        <f>O230/Explications!$C$8</f>
        <v>0.36649321646708516</v>
      </c>
      <c r="Q230" s="7" t="str">
        <f t="shared" si="23"/>
        <v>C62</v>
      </c>
      <c r="R230" s="7" t="str">
        <f t="shared" si="24"/>
        <v>C2</v>
      </c>
      <c r="S230" s="18">
        <f t="shared" si="25"/>
        <v>10.994796494012554</v>
      </c>
      <c r="T230" s="18">
        <f>S230/Explications!$C$8</f>
        <v>0.36649321646708516</v>
      </c>
    </row>
    <row r="231" spans="7:20">
      <c r="G231" s="10" t="s">
        <v>15</v>
      </c>
      <c r="H231" s="10" t="s">
        <v>79</v>
      </c>
      <c r="I231" s="10">
        <v>46.888800000000003</v>
      </c>
      <c r="J231" s="10">
        <v>-71.291700000000006</v>
      </c>
      <c r="K231" s="10">
        <v>46.822000000000003</v>
      </c>
      <c r="L231" s="10">
        <v>-71.345699999999994</v>
      </c>
      <c r="M231" s="6" t="str">
        <f t="shared" si="20"/>
        <v>C2</v>
      </c>
      <c r="N231" s="6" t="str">
        <f t="shared" si="21"/>
        <v>C63</v>
      </c>
      <c r="O231" s="5">
        <f t="shared" si="22"/>
        <v>8.4872232244752759</v>
      </c>
      <c r="P231" s="22">
        <f>O231/Explications!$C$8</f>
        <v>0.28290744081584251</v>
      </c>
      <c r="Q231" s="7" t="str">
        <f t="shared" si="23"/>
        <v>C63</v>
      </c>
      <c r="R231" s="7" t="str">
        <f t="shared" si="24"/>
        <v>C2</v>
      </c>
      <c r="S231" s="18">
        <f t="shared" si="25"/>
        <v>8.4872232244752759</v>
      </c>
      <c r="T231" s="18">
        <f>S231/Explications!$C$8</f>
        <v>0.28290744081584251</v>
      </c>
    </row>
    <row r="232" spans="7:20">
      <c r="G232" s="10" t="s">
        <v>15</v>
      </c>
      <c r="H232" s="10" t="s">
        <v>80</v>
      </c>
      <c r="I232" s="10">
        <v>46.888800000000003</v>
      </c>
      <c r="J232" s="10">
        <v>-71.291700000000006</v>
      </c>
      <c r="K232" s="10">
        <v>46.779400000000003</v>
      </c>
      <c r="L232" s="10">
        <v>-71.350399999999993</v>
      </c>
      <c r="M232" s="6" t="str">
        <f t="shared" si="20"/>
        <v>C2</v>
      </c>
      <c r="N232" s="6" t="str">
        <f t="shared" si="21"/>
        <v>C64</v>
      </c>
      <c r="O232" s="5">
        <f t="shared" si="22"/>
        <v>12.958373478429714</v>
      </c>
      <c r="P232" s="22">
        <f>O232/Explications!$C$8</f>
        <v>0.43194578261432376</v>
      </c>
      <c r="Q232" s="7" t="str">
        <f t="shared" si="23"/>
        <v>C64</v>
      </c>
      <c r="R232" s="7" t="str">
        <f t="shared" si="24"/>
        <v>C2</v>
      </c>
      <c r="S232" s="18">
        <f t="shared" si="25"/>
        <v>12.958373478429714</v>
      </c>
      <c r="T232" s="18">
        <f>S232/Explications!$C$8</f>
        <v>0.43194578261432376</v>
      </c>
    </row>
    <row r="233" spans="7:20">
      <c r="G233" s="10" t="s">
        <v>15</v>
      </c>
      <c r="H233" s="10" t="s">
        <v>81</v>
      </c>
      <c r="I233" s="10">
        <v>46.888800000000003</v>
      </c>
      <c r="J233" s="10">
        <v>-71.291700000000006</v>
      </c>
      <c r="K233" s="10">
        <v>46.772300000000001</v>
      </c>
      <c r="L233" s="10">
        <v>-71.279799999999994</v>
      </c>
      <c r="M233" s="6" t="str">
        <f t="shared" si="20"/>
        <v>C2</v>
      </c>
      <c r="N233" s="6" t="str">
        <f t="shared" si="21"/>
        <v>C65</v>
      </c>
      <c r="O233" s="5">
        <f t="shared" si="22"/>
        <v>12.985803074307153</v>
      </c>
      <c r="P233" s="22">
        <f>O233/Explications!$C$8</f>
        <v>0.4328601024769051</v>
      </c>
      <c r="Q233" s="7" t="str">
        <f t="shared" si="23"/>
        <v>C65</v>
      </c>
      <c r="R233" s="7" t="str">
        <f t="shared" si="24"/>
        <v>C2</v>
      </c>
      <c r="S233" s="18">
        <f t="shared" si="25"/>
        <v>12.985803074307153</v>
      </c>
      <c r="T233" s="18">
        <f>S233/Explications!$C$8</f>
        <v>0.4328601024769051</v>
      </c>
    </row>
    <row r="234" spans="7:20">
      <c r="G234" s="10" t="s">
        <v>15</v>
      </c>
      <c r="H234" s="10" t="s">
        <v>82</v>
      </c>
      <c r="I234" s="10">
        <v>46.888800000000003</v>
      </c>
      <c r="J234" s="10">
        <v>-71.291700000000006</v>
      </c>
      <c r="K234" s="10">
        <v>46.814900000000002</v>
      </c>
      <c r="L234" s="10">
        <v>-71.225200000000001</v>
      </c>
      <c r="M234" s="6" t="str">
        <f t="shared" si="20"/>
        <v>C2</v>
      </c>
      <c r="N234" s="6" t="str">
        <f t="shared" si="21"/>
        <v>C66</v>
      </c>
      <c r="O234" s="5">
        <f t="shared" si="22"/>
        <v>9.6486844305742476</v>
      </c>
      <c r="P234" s="22">
        <f>O234/Explications!$C$8</f>
        <v>0.32162281435247492</v>
      </c>
      <c r="Q234" s="7" t="str">
        <f t="shared" si="23"/>
        <v>C66</v>
      </c>
      <c r="R234" s="7" t="str">
        <f t="shared" si="24"/>
        <v>C2</v>
      </c>
      <c r="S234" s="18">
        <f t="shared" si="25"/>
        <v>9.6486844305742476</v>
      </c>
      <c r="T234" s="18">
        <f>S234/Explications!$C$8</f>
        <v>0.32162281435247492</v>
      </c>
    </row>
    <row r="235" spans="7:20">
      <c r="G235" s="10" t="s">
        <v>15</v>
      </c>
      <c r="H235" s="10" t="s">
        <v>83</v>
      </c>
      <c r="I235" s="10">
        <v>46.888800000000003</v>
      </c>
      <c r="J235" s="10">
        <v>-71.291700000000006</v>
      </c>
      <c r="K235" s="10">
        <v>46.814700000000002</v>
      </c>
      <c r="L235" s="10">
        <v>-71.207300000000004</v>
      </c>
      <c r="M235" s="6" t="str">
        <f t="shared" si="20"/>
        <v>C2</v>
      </c>
      <c r="N235" s="6" t="str">
        <f t="shared" si="21"/>
        <v>C67</v>
      </c>
      <c r="O235" s="5">
        <f t="shared" si="22"/>
        <v>10.444292148668524</v>
      </c>
      <c r="P235" s="22">
        <f>O235/Explications!$C$8</f>
        <v>0.34814307162228414</v>
      </c>
      <c r="Q235" s="7" t="str">
        <f t="shared" si="23"/>
        <v>C67</v>
      </c>
      <c r="R235" s="7" t="str">
        <f t="shared" si="24"/>
        <v>C2</v>
      </c>
      <c r="S235" s="18">
        <f t="shared" si="25"/>
        <v>10.444292148668524</v>
      </c>
      <c r="T235" s="18">
        <f>S235/Explications!$C$8</f>
        <v>0.34814307162228414</v>
      </c>
    </row>
    <row r="236" spans="7:20">
      <c r="G236" s="10" t="s">
        <v>15</v>
      </c>
      <c r="H236" s="10" t="s">
        <v>84</v>
      </c>
      <c r="I236" s="10">
        <v>46.888800000000003</v>
      </c>
      <c r="J236" s="10">
        <v>-71.291700000000006</v>
      </c>
      <c r="K236" s="10">
        <v>46.815600000000003</v>
      </c>
      <c r="L236" s="10">
        <v>-71.2029</v>
      </c>
      <c r="M236" s="6" t="str">
        <f t="shared" si="20"/>
        <v>C2</v>
      </c>
      <c r="N236" s="6" t="str">
        <f t="shared" si="21"/>
        <v>C68</v>
      </c>
      <c r="O236" s="5">
        <f t="shared" si="22"/>
        <v>10.575930873821582</v>
      </c>
      <c r="P236" s="22">
        <f>O236/Explications!$C$8</f>
        <v>0.35253102912738604</v>
      </c>
      <c r="Q236" s="7" t="str">
        <f t="shared" si="23"/>
        <v>C68</v>
      </c>
      <c r="R236" s="7" t="str">
        <f t="shared" si="24"/>
        <v>C2</v>
      </c>
      <c r="S236" s="18">
        <f t="shared" si="25"/>
        <v>10.575930873821582</v>
      </c>
      <c r="T236" s="18">
        <f>S236/Explications!$C$8</f>
        <v>0.35253102912738604</v>
      </c>
    </row>
    <row r="237" spans="7:20">
      <c r="G237" s="10" t="s">
        <v>15</v>
      </c>
      <c r="H237" s="10" t="s">
        <v>85</v>
      </c>
      <c r="I237" s="10">
        <v>46.888800000000003</v>
      </c>
      <c r="J237" s="10">
        <v>-71.291700000000006</v>
      </c>
      <c r="K237" s="10">
        <v>46.821899999999999</v>
      </c>
      <c r="L237" s="10">
        <v>-71.249899999999997</v>
      </c>
      <c r="M237" s="6" t="str">
        <f t="shared" si="20"/>
        <v>C2</v>
      </c>
      <c r="N237" s="6" t="str">
        <f t="shared" si="21"/>
        <v>C69</v>
      </c>
      <c r="O237" s="5">
        <f t="shared" si="22"/>
        <v>8.0895283886208258</v>
      </c>
      <c r="P237" s="22">
        <f>O237/Explications!$C$8</f>
        <v>0.26965094628736086</v>
      </c>
      <c r="Q237" s="7" t="str">
        <f t="shared" si="23"/>
        <v>C69</v>
      </c>
      <c r="R237" s="7" t="str">
        <f t="shared" si="24"/>
        <v>C2</v>
      </c>
      <c r="S237" s="18">
        <f t="shared" si="25"/>
        <v>8.0895283886208258</v>
      </c>
      <c r="T237" s="18">
        <f>S237/Explications!$C$8</f>
        <v>0.26965094628736086</v>
      </c>
    </row>
    <row r="238" spans="7:20">
      <c r="G238" s="10" t="s">
        <v>15</v>
      </c>
      <c r="H238" s="10" t="s">
        <v>86</v>
      </c>
      <c r="I238" s="10">
        <v>46.888800000000003</v>
      </c>
      <c r="J238" s="10">
        <v>-71.291700000000006</v>
      </c>
      <c r="K238" s="10">
        <v>46.8872</v>
      </c>
      <c r="L238" s="10">
        <v>-71.27</v>
      </c>
      <c r="M238" s="6" t="str">
        <f t="shared" si="20"/>
        <v>C2</v>
      </c>
      <c r="N238" s="6" t="str">
        <f t="shared" si="21"/>
        <v>C70</v>
      </c>
      <c r="O238" s="5">
        <f t="shared" si="22"/>
        <v>1.6586300846466024</v>
      </c>
      <c r="P238" s="22">
        <f>O238/Explications!$C$8</f>
        <v>5.528766948822008E-2</v>
      </c>
      <c r="Q238" s="7" t="str">
        <f t="shared" si="23"/>
        <v>C70</v>
      </c>
      <c r="R238" s="7" t="str">
        <f t="shared" si="24"/>
        <v>C2</v>
      </c>
      <c r="S238" s="18">
        <f t="shared" si="25"/>
        <v>1.6586300846466024</v>
      </c>
      <c r="T238" s="18">
        <f>S238/Explications!$C$8</f>
        <v>5.528766948822008E-2</v>
      </c>
    </row>
    <row r="239" spans="7:20">
      <c r="G239" s="10" t="s">
        <v>15</v>
      </c>
      <c r="H239" s="10" t="s">
        <v>87</v>
      </c>
      <c r="I239" s="10">
        <v>46.888800000000003</v>
      </c>
      <c r="J239" s="10">
        <v>-71.291700000000006</v>
      </c>
      <c r="K239" s="10">
        <v>46.816299999999998</v>
      </c>
      <c r="L239" s="10">
        <v>-71.210300000000004</v>
      </c>
      <c r="M239" s="6" t="str">
        <f t="shared" si="20"/>
        <v>C2</v>
      </c>
      <c r="N239" s="6" t="str">
        <f t="shared" si="21"/>
        <v>C71</v>
      </c>
      <c r="O239" s="5">
        <f t="shared" si="22"/>
        <v>10.163933666746168</v>
      </c>
      <c r="P239" s="22">
        <f>O239/Explications!$C$8</f>
        <v>0.33879778889153894</v>
      </c>
      <c r="Q239" s="7" t="str">
        <f t="shared" si="23"/>
        <v>C71</v>
      </c>
      <c r="R239" s="7" t="str">
        <f t="shared" si="24"/>
        <v>C2</v>
      </c>
      <c r="S239" s="18">
        <f t="shared" si="25"/>
        <v>10.163933666746168</v>
      </c>
      <c r="T239" s="18">
        <f>S239/Explications!$C$8</f>
        <v>0.33879778889153894</v>
      </c>
    </row>
    <row r="240" spans="7:20">
      <c r="G240" s="10" t="s">
        <v>15</v>
      </c>
      <c r="H240" s="10" t="s">
        <v>88</v>
      </c>
      <c r="I240" s="10">
        <v>46.888800000000003</v>
      </c>
      <c r="J240" s="10">
        <v>-71.291700000000006</v>
      </c>
      <c r="K240" s="10">
        <v>46.807000000000002</v>
      </c>
      <c r="L240" s="10">
        <v>-71.3566</v>
      </c>
      <c r="M240" s="6" t="str">
        <f t="shared" si="20"/>
        <v>C2</v>
      </c>
      <c r="N240" s="6" t="str">
        <f t="shared" si="21"/>
        <v>C72</v>
      </c>
      <c r="O240" s="5">
        <f t="shared" si="22"/>
        <v>10.34859354012355</v>
      </c>
      <c r="P240" s="22">
        <f>O240/Explications!$C$8</f>
        <v>0.34495311800411838</v>
      </c>
      <c r="Q240" s="7" t="str">
        <f t="shared" si="23"/>
        <v>C72</v>
      </c>
      <c r="R240" s="7" t="str">
        <f t="shared" si="24"/>
        <v>C2</v>
      </c>
      <c r="S240" s="18">
        <f t="shared" si="25"/>
        <v>10.34859354012355</v>
      </c>
      <c r="T240" s="18">
        <f>S240/Explications!$C$8</f>
        <v>0.34495311800411838</v>
      </c>
    </row>
    <row r="241" spans="7:20">
      <c r="G241" s="10" t="s">
        <v>15</v>
      </c>
      <c r="H241" s="10" t="s">
        <v>89</v>
      </c>
      <c r="I241" s="10">
        <v>46.888800000000003</v>
      </c>
      <c r="J241" s="10">
        <v>-71.291700000000006</v>
      </c>
      <c r="K241" s="10">
        <v>46.822899999999997</v>
      </c>
      <c r="L241" s="10">
        <v>-71.341899999999995</v>
      </c>
      <c r="M241" s="6" t="str">
        <f t="shared" si="20"/>
        <v>C2</v>
      </c>
      <c r="N241" s="6" t="str">
        <f t="shared" si="21"/>
        <v>C73</v>
      </c>
      <c r="O241" s="5">
        <f t="shared" si="22"/>
        <v>8.2623596752703197</v>
      </c>
      <c r="P241" s="22">
        <f>O241/Explications!$C$8</f>
        <v>0.27541198917567733</v>
      </c>
      <c r="Q241" s="7" t="str">
        <f t="shared" si="23"/>
        <v>C73</v>
      </c>
      <c r="R241" s="7" t="str">
        <f t="shared" si="24"/>
        <v>C2</v>
      </c>
      <c r="S241" s="18">
        <f t="shared" si="25"/>
        <v>8.2623596752703197</v>
      </c>
      <c r="T241" s="18">
        <f>S241/Explications!$C$8</f>
        <v>0.27541198917567733</v>
      </c>
    </row>
    <row r="242" spans="7:20">
      <c r="G242" s="10" t="s">
        <v>15</v>
      </c>
      <c r="H242" s="10" t="s">
        <v>90</v>
      </c>
      <c r="I242" s="10">
        <v>46.888800000000003</v>
      </c>
      <c r="J242" s="10">
        <v>-71.291700000000006</v>
      </c>
      <c r="K242" s="10">
        <v>46.730699999999999</v>
      </c>
      <c r="L242" s="10">
        <v>-71.261099999999999</v>
      </c>
      <c r="M242" s="6" t="str">
        <f t="shared" si="20"/>
        <v>C2</v>
      </c>
      <c r="N242" s="6" t="str">
        <f t="shared" si="21"/>
        <v>C74</v>
      </c>
      <c r="O242" s="5">
        <f t="shared" si="22"/>
        <v>17.733493127809474</v>
      </c>
      <c r="P242" s="22">
        <f>O242/Explications!$C$8</f>
        <v>0.59111643759364918</v>
      </c>
      <c r="Q242" s="7" t="str">
        <f t="shared" si="23"/>
        <v>C74</v>
      </c>
      <c r="R242" s="7" t="str">
        <f t="shared" si="24"/>
        <v>C2</v>
      </c>
      <c r="S242" s="18">
        <f t="shared" si="25"/>
        <v>17.733493127809474</v>
      </c>
      <c r="T242" s="18">
        <f>S242/Explications!$C$8</f>
        <v>0.59111643759364918</v>
      </c>
    </row>
    <row r="243" spans="7:20">
      <c r="G243" s="10" t="s">
        <v>15</v>
      </c>
      <c r="H243" s="10" t="s">
        <v>91</v>
      </c>
      <c r="I243" s="10">
        <v>46.888800000000003</v>
      </c>
      <c r="J243" s="10">
        <v>-71.291700000000006</v>
      </c>
      <c r="K243" s="10">
        <v>46.840600000000002</v>
      </c>
      <c r="L243" s="10">
        <v>-71.289100000000005</v>
      </c>
      <c r="M243" s="6" t="str">
        <f t="shared" si="20"/>
        <v>C2</v>
      </c>
      <c r="N243" s="6" t="str">
        <f t="shared" si="21"/>
        <v>C75</v>
      </c>
      <c r="O243" s="5">
        <f t="shared" si="22"/>
        <v>5.3632393770056535</v>
      </c>
      <c r="P243" s="22">
        <f>O243/Explications!$C$8</f>
        <v>0.17877464590018846</v>
      </c>
      <c r="Q243" s="7" t="str">
        <f t="shared" si="23"/>
        <v>C75</v>
      </c>
      <c r="R243" s="7" t="str">
        <f t="shared" si="24"/>
        <v>C2</v>
      </c>
      <c r="S243" s="18">
        <f t="shared" si="25"/>
        <v>5.3632393770056535</v>
      </c>
      <c r="T243" s="18">
        <f>S243/Explications!$C$8</f>
        <v>0.17877464590018846</v>
      </c>
    </row>
    <row r="244" spans="7:20">
      <c r="G244" s="10" t="s">
        <v>15</v>
      </c>
      <c r="H244" s="10" t="s">
        <v>92</v>
      </c>
      <c r="I244" s="10">
        <v>46.888800000000003</v>
      </c>
      <c r="J244" s="10">
        <v>-71.291700000000006</v>
      </c>
      <c r="K244" s="10">
        <v>46.840600000000002</v>
      </c>
      <c r="L244" s="10">
        <v>-71.281599999999997</v>
      </c>
      <c r="M244" s="6" t="str">
        <f t="shared" si="20"/>
        <v>C2</v>
      </c>
      <c r="N244" s="6" t="str">
        <f t="shared" si="21"/>
        <v>C76</v>
      </c>
      <c r="O244" s="5">
        <f t="shared" si="22"/>
        <v>5.4143222493889924</v>
      </c>
      <c r="P244" s="22">
        <f>O244/Explications!$C$8</f>
        <v>0.18047740831296641</v>
      </c>
      <c r="Q244" s="7" t="str">
        <f t="shared" si="23"/>
        <v>C76</v>
      </c>
      <c r="R244" s="7" t="str">
        <f t="shared" si="24"/>
        <v>C2</v>
      </c>
      <c r="S244" s="18">
        <f t="shared" si="25"/>
        <v>5.4143222493889924</v>
      </c>
      <c r="T244" s="18">
        <f>S244/Explications!$C$8</f>
        <v>0.18047740831296641</v>
      </c>
    </row>
    <row r="245" spans="7:20">
      <c r="G245" s="10" t="s">
        <v>15</v>
      </c>
      <c r="H245" s="10" t="s">
        <v>93</v>
      </c>
      <c r="I245" s="10">
        <v>46.888800000000003</v>
      </c>
      <c r="J245" s="10">
        <v>-71.291700000000006</v>
      </c>
      <c r="K245" s="10">
        <v>46.839399999999998</v>
      </c>
      <c r="L245" s="10">
        <v>-71.282600000000002</v>
      </c>
      <c r="M245" s="6" t="str">
        <f t="shared" si="20"/>
        <v>C2</v>
      </c>
      <c r="N245" s="6" t="str">
        <f t="shared" si="21"/>
        <v>C77</v>
      </c>
      <c r="O245" s="5">
        <f t="shared" si="22"/>
        <v>5.5364273252638405</v>
      </c>
      <c r="P245" s="22">
        <f>O245/Explications!$C$8</f>
        <v>0.18454757750879469</v>
      </c>
      <c r="Q245" s="7" t="str">
        <f t="shared" si="23"/>
        <v>C77</v>
      </c>
      <c r="R245" s="7" t="str">
        <f t="shared" si="24"/>
        <v>C2</v>
      </c>
      <c r="S245" s="18">
        <f t="shared" si="25"/>
        <v>5.5364273252638405</v>
      </c>
      <c r="T245" s="18">
        <f>S245/Explications!$C$8</f>
        <v>0.18454757750879469</v>
      </c>
    </row>
    <row r="246" spans="7:20">
      <c r="G246" s="10" t="s">
        <v>15</v>
      </c>
      <c r="H246" s="10" t="s">
        <v>94</v>
      </c>
      <c r="I246" s="10">
        <v>46.888800000000003</v>
      </c>
      <c r="J246" s="10">
        <v>-71.291700000000006</v>
      </c>
      <c r="K246" s="10">
        <v>46.788499999999999</v>
      </c>
      <c r="L246" s="10">
        <v>-71.282399999999996</v>
      </c>
      <c r="M246" s="6" t="str">
        <f t="shared" si="20"/>
        <v>C2</v>
      </c>
      <c r="N246" s="6" t="str">
        <f t="shared" si="21"/>
        <v>C78</v>
      </c>
      <c r="O246" s="5">
        <f t="shared" si="22"/>
        <v>11.175262369416849</v>
      </c>
      <c r="P246" s="22">
        <f>O246/Explications!$C$8</f>
        <v>0.3725087456472283</v>
      </c>
      <c r="Q246" s="7" t="str">
        <f t="shared" si="23"/>
        <v>C78</v>
      </c>
      <c r="R246" s="7" t="str">
        <f t="shared" si="24"/>
        <v>C2</v>
      </c>
      <c r="S246" s="18">
        <f t="shared" si="25"/>
        <v>11.175262369416849</v>
      </c>
      <c r="T246" s="18">
        <f>S246/Explications!$C$8</f>
        <v>0.3725087456472283</v>
      </c>
    </row>
    <row r="247" spans="7:20">
      <c r="G247" s="10" t="s">
        <v>15</v>
      </c>
      <c r="H247" s="10" t="s">
        <v>95</v>
      </c>
      <c r="I247" s="10">
        <v>46.888800000000003</v>
      </c>
      <c r="J247" s="10">
        <v>-71.291700000000006</v>
      </c>
      <c r="K247" s="10">
        <v>46.840699999999998</v>
      </c>
      <c r="L247" s="10">
        <v>-71.325400000000002</v>
      </c>
      <c r="M247" s="6" t="str">
        <f t="shared" si="20"/>
        <v>C2</v>
      </c>
      <c r="N247" s="6" t="str">
        <f t="shared" si="21"/>
        <v>C79</v>
      </c>
      <c r="O247" s="5">
        <f t="shared" si="22"/>
        <v>5.9304735495458409</v>
      </c>
      <c r="P247" s="22">
        <f>O247/Explications!$C$8</f>
        <v>0.19768245165152803</v>
      </c>
      <c r="Q247" s="7" t="str">
        <f t="shared" si="23"/>
        <v>C79</v>
      </c>
      <c r="R247" s="7" t="str">
        <f t="shared" si="24"/>
        <v>C2</v>
      </c>
      <c r="S247" s="18">
        <f t="shared" si="25"/>
        <v>5.9304735495458409</v>
      </c>
      <c r="T247" s="18">
        <f>S247/Explications!$C$8</f>
        <v>0.19768245165152803</v>
      </c>
    </row>
    <row r="248" spans="7:20">
      <c r="G248" s="10" t="s">
        <v>15</v>
      </c>
      <c r="H248" s="10" t="s">
        <v>96</v>
      </c>
      <c r="I248" s="10">
        <v>46.888800000000003</v>
      </c>
      <c r="J248" s="10">
        <v>-71.291700000000006</v>
      </c>
      <c r="K248" s="10">
        <v>46.798400000000001</v>
      </c>
      <c r="L248" s="10">
        <v>-71.183199999999999</v>
      </c>
      <c r="M248" s="6" t="str">
        <f t="shared" si="20"/>
        <v>C2</v>
      </c>
      <c r="N248" s="6" t="str">
        <f t="shared" si="21"/>
        <v>C80</v>
      </c>
      <c r="O248" s="5">
        <f t="shared" si="22"/>
        <v>13.005408290651028</v>
      </c>
      <c r="P248" s="22">
        <f>O248/Explications!$C$8</f>
        <v>0.43351360968836761</v>
      </c>
      <c r="Q248" s="7" t="str">
        <f t="shared" si="23"/>
        <v>C80</v>
      </c>
      <c r="R248" s="7" t="str">
        <f t="shared" si="24"/>
        <v>C2</v>
      </c>
      <c r="S248" s="18">
        <f t="shared" si="25"/>
        <v>13.005408290651028</v>
      </c>
      <c r="T248" s="18">
        <f>S248/Explications!$C$8</f>
        <v>0.43351360968836761</v>
      </c>
    </row>
    <row r="249" spans="7:20">
      <c r="G249" s="10" t="s">
        <v>15</v>
      </c>
      <c r="H249" s="10" t="s">
        <v>97</v>
      </c>
      <c r="I249" s="10">
        <v>46.888800000000003</v>
      </c>
      <c r="J249" s="10">
        <v>-71.291700000000006</v>
      </c>
      <c r="K249" s="10">
        <v>46.724800000000002</v>
      </c>
      <c r="L249" s="10">
        <v>-71.2988</v>
      </c>
      <c r="M249" s="6" t="str">
        <f t="shared" si="20"/>
        <v>C2</v>
      </c>
      <c r="N249" s="6" t="str">
        <f t="shared" si="21"/>
        <v>C81</v>
      </c>
      <c r="O249" s="5">
        <f t="shared" si="22"/>
        <v>18.243972357094297</v>
      </c>
      <c r="P249" s="22">
        <f>O249/Explications!$C$8</f>
        <v>0.60813241190314327</v>
      </c>
      <c r="Q249" s="7" t="str">
        <f t="shared" si="23"/>
        <v>C81</v>
      </c>
      <c r="R249" s="7" t="str">
        <f t="shared" si="24"/>
        <v>C2</v>
      </c>
      <c r="S249" s="18">
        <f t="shared" si="25"/>
        <v>18.243972357094297</v>
      </c>
      <c r="T249" s="18">
        <f>S249/Explications!$C$8</f>
        <v>0.60813241190314327</v>
      </c>
    </row>
    <row r="250" spans="7:20">
      <c r="G250" s="10" t="s">
        <v>15</v>
      </c>
      <c r="H250" s="10" t="s">
        <v>98</v>
      </c>
      <c r="I250" s="10">
        <v>46.888800000000003</v>
      </c>
      <c r="J250" s="10">
        <v>-71.291700000000006</v>
      </c>
      <c r="K250" s="10">
        <v>46.795499999999997</v>
      </c>
      <c r="L250" s="10">
        <v>-71.242900000000006</v>
      </c>
      <c r="M250" s="6" t="str">
        <f t="shared" si="20"/>
        <v>C2</v>
      </c>
      <c r="N250" s="6" t="str">
        <f t="shared" si="21"/>
        <v>C82</v>
      </c>
      <c r="O250" s="5">
        <f t="shared" si="22"/>
        <v>11.018454789902364</v>
      </c>
      <c r="P250" s="22">
        <f>O250/Explications!$C$8</f>
        <v>0.36728182633007883</v>
      </c>
      <c r="Q250" s="7" t="str">
        <f t="shared" si="23"/>
        <v>C82</v>
      </c>
      <c r="R250" s="7" t="str">
        <f t="shared" si="24"/>
        <v>C2</v>
      </c>
      <c r="S250" s="18">
        <f t="shared" si="25"/>
        <v>11.018454789902364</v>
      </c>
      <c r="T250" s="18">
        <f>S250/Explications!$C$8</f>
        <v>0.36728182633007883</v>
      </c>
    </row>
    <row r="251" spans="7:20">
      <c r="G251" s="10" t="s">
        <v>15</v>
      </c>
      <c r="H251" s="10" t="s">
        <v>99</v>
      </c>
      <c r="I251" s="10">
        <v>46.888800000000003</v>
      </c>
      <c r="J251" s="10">
        <v>-71.291700000000006</v>
      </c>
      <c r="K251" s="10">
        <v>46.8157</v>
      </c>
      <c r="L251" s="10">
        <v>-71.201899999999995</v>
      </c>
      <c r="M251" s="6" t="str">
        <f t="shared" si="20"/>
        <v>C2</v>
      </c>
      <c r="N251" s="6" t="str">
        <f t="shared" si="21"/>
        <v>C83</v>
      </c>
      <c r="O251" s="5">
        <f t="shared" si="22"/>
        <v>10.616126060872373</v>
      </c>
      <c r="P251" s="22">
        <f>O251/Explications!$C$8</f>
        <v>0.3538708686957458</v>
      </c>
      <c r="Q251" s="7" t="str">
        <f t="shared" si="23"/>
        <v>C83</v>
      </c>
      <c r="R251" s="7" t="str">
        <f t="shared" si="24"/>
        <v>C2</v>
      </c>
      <c r="S251" s="18">
        <f t="shared" si="25"/>
        <v>10.616126060872373</v>
      </c>
      <c r="T251" s="18">
        <f>S251/Explications!$C$8</f>
        <v>0.3538708686957458</v>
      </c>
    </row>
    <row r="252" spans="7:20">
      <c r="G252" s="10" t="s">
        <v>15</v>
      </c>
      <c r="H252" s="10" t="s">
        <v>100</v>
      </c>
      <c r="I252" s="10">
        <v>46.888800000000003</v>
      </c>
      <c r="J252" s="10">
        <v>-71.291700000000006</v>
      </c>
      <c r="K252" s="10">
        <v>46.837600000000002</v>
      </c>
      <c r="L252" s="10">
        <v>-71.196299999999994</v>
      </c>
      <c r="M252" s="6" t="str">
        <f t="shared" si="20"/>
        <v>C2</v>
      </c>
      <c r="N252" s="6" t="str">
        <f t="shared" si="21"/>
        <v>C84</v>
      </c>
      <c r="O252" s="5">
        <f t="shared" si="22"/>
        <v>9.2206454034958725</v>
      </c>
      <c r="P252" s="22">
        <f>O252/Explications!$C$8</f>
        <v>0.30735484678319575</v>
      </c>
      <c r="Q252" s="7" t="str">
        <f t="shared" si="23"/>
        <v>C84</v>
      </c>
      <c r="R252" s="7" t="str">
        <f t="shared" si="24"/>
        <v>C2</v>
      </c>
      <c r="S252" s="18">
        <f t="shared" si="25"/>
        <v>9.2206454034958725</v>
      </c>
      <c r="T252" s="18">
        <f>S252/Explications!$C$8</f>
        <v>0.30735484678319575</v>
      </c>
    </row>
    <row r="253" spans="7:20">
      <c r="G253" s="10" t="s">
        <v>15</v>
      </c>
      <c r="H253" s="10" t="s">
        <v>101</v>
      </c>
      <c r="I253" s="10">
        <v>46.888800000000003</v>
      </c>
      <c r="J253" s="10">
        <v>-71.291700000000006</v>
      </c>
      <c r="K253" s="10">
        <v>46.7988</v>
      </c>
      <c r="L253" s="10">
        <v>-71.318200000000004</v>
      </c>
      <c r="M253" s="6" t="str">
        <f t="shared" si="20"/>
        <v>C2</v>
      </c>
      <c r="N253" s="6" t="str">
        <f t="shared" si="21"/>
        <v>C85</v>
      </c>
      <c r="O253" s="5">
        <f t="shared" si="22"/>
        <v>10.208482547531537</v>
      </c>
      <c r="P253" s="22">
        <f>O253/Explications!$C$8</f>
        <v>0.34028275158438454</v>
      </c>
      <c r="Q253" s="7" t="str">
        <f t="shared" si="23"/>
        <v>C85</v>
      </c>
      <c r="R253" s="7" t="str">
        <f t="shared" si="24"/>
        <v>C2</v>
      </c>
      <c r="S253" s="18">
        <f t="shared" si="25"/>
        <v>10.208482547531537</v>
      </c>
      <c r="T253" s="18">
        <f>S253/Explications!$C$8</f>
        <v>0.34028275158438454</v>
      </c>
    </row>
    <row r="254" spans="7:20">
      <c r="G254" s="10" t="s">
        <v>17</v>
      </c>
      <c r="H254" s="10" t="s">
        <v>18</v>
      </c>
      <c r="I254" s="10">
        <v>46.876800000000003</v>
      </c>
      <c r="J254" s="10">
        <v>-71.270899999999997</v>
      </c>
      <c r="K254" s="10">
        <v>46.908700000000003</v>
      </c>
      <c r="L254" s="10">
        <v>-71.373099999999994</v>
      </c>
      <c r="M254" s="6" t="str">
        <f t="shared" si="20"/>
        <v>C3</v>
      </c>
      <c r="N254" s="6" t="str">
        <f t="shared" si="21"/>
        <v>C4</v>
      </c>
      <c r="O254" s="5">
        <f t="shared" si="22"/>
        <v>8.5375964082845819</v>
      </c>
      <c r="P254" s="22">
        <f>O254/Explications!$C$8</f>
        <v>0.28458654694281937</v>
      </c>
      <c r="Q254" s="7" t="str">
        <f t="shared" si="23"/>
        <v>C4</v>
      </c>
      <c r="R254" s="7" t="str">
        <f t="shared" si="24"/>
        <v>C3</v>
      </c>
      <c r="S254" s="18">
        <f t="shared" si="25"/>
        <v>8.5375964082845819</v>
      </c>
      <c r="T254" s="18">
        <f>S254/Explications!$C$8</f>
        <v>0.28458654694281937</v>
      </c>
    </row>
    <row r="255" spans="7:20">
      <c r="G255" s="10" t="s">
        <v>17</v>
      </c>
      <c r="H255" s="10" t="s">
        <v>20</v>
      </c>
      <c r="I255" s="10">
        <v>46.876800000000003</v>
      </c>
      <c r="J255" s="10">
        <v>-71.270899999999997</v>
      </c>
      <c r="K255" s="10">
        <v>46.827500000000001</v>
      </c>
      <c r="L255" s="10">
        <v>-71.367199999999997</v>
      </c>
      <c r="M255" s="6" t="str">
        <f t="shared" si="20"/>
        <v>C3</v>
      </c>
      <c r="N255" s="6" t="str">
        <f t="shared" si="21"/>
        <v>C5</v>
      </c>
      <c r="O255" s="5">
        <f t="shared" si="22"/>
        <v>9.1476057257035457</v>
      </c>
      <c r="P255" s="22">
        <f>O255/Explications!$C$8</f>
        <v>0.30492019085678485</v>
      </c>
      <c r="Q255" s="7" t="str">
        <f t="shared" si="23"/>
        <v>C5</v>
      </c>
      <c r="R255" s="7" t="str">
        <f t="shared" si="24"/>
        <v>C3</v>
      </c>
      <c r="S255" s="18">
        <f t="shared" si="25"/>
        <v>9.1476057257035457</v>
      </c>
      <c r="T255" s="18">
        <f>S255/Explications!$C$8</f>
        <v>0.30492019085678485</v>
      </c>
    </row>
    <row r="256" spans="7:20">
      <c r="G256" s="10" t="s">
        <v>17</v>
      </c>
      <c r="H256" s="10" t="s">
        <v>21</v>
      </c>
      <c r="I256" s="10">
        <v>46.876800000000003</v>
      </c>
      <c r="J256" s="10">
        <v>-71.270899999999997</v>
      </c>
      <c r="K256" s="10">
        <v>46.8018</v>
      </c>
      <c r="L256" s="10">
        <v>-71.243099999999998</v>
      </c>
      <c r="M256" s="6" t="str">
        <f t="shared" si="20"/>
        <v>C3</v>
      </c>
      <c r="N256" s="6" t="str">
        <f t="shared" si="21"/>
        <v>C6</v>
      </c>
      <c r="O256" s="5">
        <f t="shared" si="22"/>
        <v>8.6035181805659384</v>
      </c>
      <c r="P256" s="22">
        <f>O256/Explications!$C$8</f>
        <v>0.28678393935219793</v>
      </c>
      <c r="Q256" s="7" t="str">
        <f t="shared" si="23"/>
        <v>C6</v>
      </c>
      <c r="R256" s="7" t="str">
        <f t="shared" si="24"/>
        <v>C3</v>
      </c>
      <c r="S256" s="18">
        <f t="shared" si="25"/>
        <v>8.6035181805659384</v>
      </c>
      <c r="T256" s="18">
        <f>S256/Explications!$C$8</f>
        <v>0.28678393935219793</v>
      </c>
    </row>
    <row r="257" spans="7:20">
      <c r="G257" s="10" t="s">
        <v>17</v>
      </c>
      <c r="H257" s="10" t="s">
        <v>23</v>
      </c>
      <c r="I257" s="10">
        <v>46.876800000000003</v>
      </c>
      <c r="J257" s="10">
        <v>-71.270899999999997</v>
      </c>
      <c r="K257" s="10">
        <v>46.794699999999999</v>
      </c>
      <c r="L257" s="10">
        <v>-71.254199999999997</v>
      </c>
      <c r="M257" s="6" t="str">
        <f t="shared" si="20"/>
        <v>C3</v>
      </c>
      <c r="N257" s="6" t="str">
        <f t="shared" si="21"/>
        <v>C7</v>
      </c>
      <c r="O257" s="5">
        <f t="shared" si="22"/>
        <v>9.2170637155860735</v>
      </c>
      <c r="P257" s="22">
        <f>O257/Explications!$C$8</f>
        <v>0.30723545718620243</v>
      </c>
      <c r="Q257" s="7" t="str">
        <f t="shared" si="23"/>
        <v>C7</v>
      </c>
      <c r="R257" s="7" t="str">
        <f t="shared" si="24"/>
        <v>C3</v>
      </c>
      <c r="S257" s="18">
        <f t="shared" si="25"/>
        <v>9.2170637155860735</v>
      </c>
      <c r="T257" s="18">
        <f>S257/Explications!$C$8</f>
        <v>0.30723545718620243</v>
      </c>
    </row>
    <row r="258" spans="7:20">
      <c r="G258" s="10" t="s">
        <v>17</v>
      </c>
      <c r="H258" s="10" t="s">
        <v>24</v>
      </c>
      <c r="I258" s="10">
        <v>46.876800000000003</v>
      </c>
      <c r="J258" s="10">
        <v>-71.270899999999997</v>
      </c>
      <c r="K258" s="10">
        <v>46.741</v>
      </c>
      <c r="L258" s="10">
        <v>-71.385499999999993</v>
      </c>
      <c r="M258" s="6" t="str">
        <f t="shared" si="20"/>
        <v>C3</v>
      </c>
      <c r="N258" s="6" t="str">
        <f t="shared" si="21"/>
        <v>C8</v>
      </c>
      <c r="O258" s="5">
        <f t="shared" si="22"/>
        <v>17.438063060519706</v>
      </c>
      <c r="P258" s="22">
        <f>O258/Explications!$C$8</f>
        <v>0.58126876868399024</v>
      </c>
      <c r="Q258" s="7" t="str">
        <f t="shared" si="23"/>
        <v>C8</v>
      </c>
      <c r="R258" s="7" t="str">
        <f t="shared" si="24"/>
        <v>C3</v>
      </c>
      <c r="S258" s="18">
        <f t="shared" si="25"/>
        <v>17.438063060519706</v>
      </c>
      <c r="T258" s="18">
        <f>S258/Explications!$C$8</f>
        <v>0.58126876868399024</v>
      </c>
    </row>
    <row r="259" spans="7:20">
      <c r="G259" s="10" t="s">
        <v>17</v>
      </c>
      <c r="H259" s="10" t="s">
        <v>25</v>
      </c>
      <c r="I259" s="10">
        <v>46.876800000000003</v>
      </c>
      <c r="J259" s="10">
        <v>-71.270899999999997</v>
      </c>
      <c r="K259" s="10">
        <v>46.839399999999998</v>
      </c>
      <c r="L259" s="10">
        <v>-71.282700000000006</v>
      </c>
      <c r="M259" s="10" t="str">
        <f t="shared" ref="M259" si="26">G259</f>
        <v>C3</v>
      </c>
      <c r="N259" s="10" t="str">
        <f t="shared" ref="N259" si="27">H259</f>
        <v>C9</v>
      </c>
      <c r="O259" s="5">
        <f t="shared" ref="O259:O286" si="28">ACOS(SIN(RADIANS(I259))*SIN(RADIANS(K259))+COS(RADIANS(I259))*COS(RADIANS(K259))*COS(RADIANS(J259-L259)))*6371</f>
        <v>4.2543760293849058</v>
      </c>
      <c r="P259" s="22">
        <f>O259/Explications!$C$8</f>
        <v>0.1418125343128302</v>
      </c>
      <c r="Q259" s="7" t="str">
        <f t="shared" si="23"/>
        <v>C9</v>
      </c>
      <c r="R259" s="7" t="str">
        <f t="shared" si="24"/>
        <v>C3</v>
      </c>
      <c r="S259" s="18">
        <f t="shared" si="25"/>
        <v>4.2543760293849058</v>
      </c>
      <c r="T259" s="18">
        <f>S259/Explications!$C$8</f>
        <v>0.1418125343128302</v>
      </c>
    </row>
    <row r="260" spans="7:20">
      <c r="G260" s="10" t="s">
        <v>17</v>
      </c>
      <c r="H260" s="10" t="s">
        <v>26</v>
      </c>
      <c r="I260" s="10">
        <v>46.876800000000003</v>
      </c>
      <c r="J260" s="10">
        <v>-71.270899999999997</v>
      </c>
      <c r="K260" s="10">
        <v>46.860799999999998</v>
      </c>
      <c r="L260" s="10">
        <v>-71.217699999999994</v>
      </c>
      <c r="M260" s="10" t="str">
        <f t="shared" ref="M260:M323" si="29">G260</f>
        <v>C3</v>
      </c>
      <c r="N260" s="10" t="str">
        <f t="shared" ref="N260:N323" si="30">H260</f>
        <v>C10</v>
      </c>
      <c r="O260" s="5">
        <f t="shared" si="28"/>
        <v>4.418333233930916</v>
      </c>
      <c r="P260" s="22">
        <f>O260/Explications!$C$8</f>
        <v>0.14727777446436388</v>
      </c>
      <c r="Q260" s="7" t="str">
        <f t="shared" ref="Q260:Q323" si="31">N260</f>
        <v>C10</v>
      </c>
      <c r="R260" s="7" t="str">
        <f t="shared" ref="R260:R323" si="32">M260</f>
        <v>C3</v>
      </c>
      <c r="S260" s="18">
        <f t="shared" ref="S260:S323" si="33">O260</f>
        <v>4.418333233930916</v>
      </c>
      <c r="T260" s="18">
        <f>S260/Explications!$C$8</f>
        <v>0.14727777446436388</v>
      </c>
    </row>
    <row r="261" spans="7:20">
      <c r="G261" s="10" t="s">
        <v>17</v>
      </c>
      <c r="H261" s="10" t="s">
        <v>27</v>
      </c>
      <c r="I261" s="10">
        <v>46.876800000000003</v>
      </c>
      <c r="J261" s="10">
        <v>-71.270899999999997</v>
      </c>
      <c r="K261" s="10">
        <v>46.868299999999998</v>
      </c>
      <c r="L261" s="10">
        <v>-71.167000000000002</v>
      </c>
      <c r="M261" s="10" t="str">
        <f t="shared" si="29"/>
        <v>C3</v>
      </c>
      <c r="N261" s="10" t="str">
        <f t="shared" si="30"/>
        <v>C11</v>
      </c>
      <c r="O261" s="5">
        <f t="shared" si="28"/>
        <v>7.9543588932969778</v>
      </c>
      <c r="P261" s="22">
        <f>O261/Explications!$C$8</f>
        <v>0.26514529644323259</v>
      </c>
      <c r="Q261" s="7" t="str">
        <f t="shared" si="31"/>
        <v>C11</v>
      </c>
      <c r="R261" s="7" t="str">
        <f t="shared" si="32"/>
        <v>C3</v>
      </c>
      <c r="S261" s="18">
        <f t="shared" si="33"/>
        <v>7.9543588932969778</v>
      </c>
      <c r="T261" s="18">
        <f>S261/Explications!$C$8</f>
        <v>0.26514529644323259</v>
      </c>
    </row>
    <row r="262" spans="7:20">
      <c r="G262" s="10" t="s">
        <v>17</v>
      </c>
      <c r="H262" s="10" t="s">
        <v>28</v>
      </c>
      <c r="I262" s="10">
        <v>46.876800000000003</v>
      </c>
      <c r="J262" s="10">
        <v>-71.270899999999997</v>
      </c>
      <c r="K262" s="10">
        <v>46.895099999999999</v>
      </c>
      <c r="L262" s="10">
        <v>-71.378600000000006</v>
      </c>
      <c r="M262" s="10" t="str">
        <f t="shared" si="29"/>
        <v>C3</v>
      </c>
      <c r="N262" s="10" t="str">
        <f t="shared" si="30"/>
        <v>C12</v>
      </c>
      <c r="O262" s="5">
        <f t="shared" si="28"/>
        <v>8.4339772299598916</v>
      </c>
      <c r="P262" s="22">
        <f>O262/Explications!$C$8</f>
        <v>0.2811325743319964</v>
      </c>
      <c r="Q262" s="7" t="str">
        <f t="shared" si="31"/>
        <v>C12</v>
      </c>
      <c r="R262" s="7" t="str">
        <f t="shared" si="32"/>
        <v>C3</v>
      </c>
      <c r="S262" s="18">
        <f t="shared" si="33"/>
        <v>8.4339772299598916</v>
      </c>
      <c r="T262" s="18">
        <f>S262/Explications!$C$8</f>
        <v>0.2811325743319964</v>
      </c>
    </row>
    <row r="263" spans="7:20">
      <c r="G263" s="10" t="s">
        <v>17</v>
      </c>
      <c r="H263" s="10" t="s">
        <v>29</v>
      </c>
      <c r="I263" s="10">
        <v>46.876800000000003</v>
      </c>
      <c r="J263" s="10">
        <v>-71.270899999999997</v>
      </c>
      <c r="K263" s="10">
        <v>46.8033</v>
      </c>
      <c r="L263" s="10">
        <v>-71.1691</v>
      </c>
      <c r="M263" s="10" t="str">
        <f t="shared" si="29"/>
        <v>C3</v>
      </c>
      <c r="N263" s="10" t="str">
        <f t="shared" si="30"/>
        <v>C13</v>
      </c>
      <c r="O263" s="5">
        <f t="shared" si="28"/>
        <v>11.258331440004099</v>
      </c>
      <c r="P263" s="22">
        <f>O263/Explications!$C$8</f>
        <v>0.37527771466680332</v>
      </c>
      <c r="Q263" s="7" t="str">
        <f t="shared" si="31"/>
        <v>C13</v>
      </c>
      <c r="R263" s="7" t="str">
        <f t="shared" si="32"/>
        <v>C3</v>
      </c>
      <c r="S263" s="18">
        <f t="shared" si="33"/>
        <v>11.258331440004099</v>
      </c>
      <c r="T263" s="18">
        <f>S263/Explications!$C$8</f>
        <v>0.37527771466680332</v>
      </c>
    </row>
    <row r="264" spans="7:20">
      <c r="G264" s="10" t="s">
        <v>17</v>
      </c>
      <c r="H264" s="10" t="s">
        <v>30</v>
      </c>
      <c r="I264" s="10">
        <v>46.876800000000003</v>
      </c>
      <c r="J264" s="10">
        <v>-71.270899999999997</v>
      </c>
      <c r="K264" s="10">
        <v>46.8596</v>
      </c>
      <c r="L264" s="10">
        <v>-71.267200000000003</v>
      </c>
      <c r="M264" s="10" t="str">
        <f t="shared" si="29"/>
        <v>C3</v>
      </c>
      <c r="N264" s="10" t="str">
        <f t="shared" si="30"/>
        <v>C14</v>
      </c>
      <c r="O264" s="5">
        <f t="shared" si="28"/>
        <v>1.9331260725953756</v>
      </c>
      <c r="P264" s="22">
        <f>O264/Explications!$C$8</f>
        <v>6.443753575317919E-2</v>
      </c>
      <c r="Q264" s="7" t="str">
        <f t="shared" si="31"/>
        <v>C14</v>
      </c>
      <c r="R264" s="7" t="str">
        <f t="shared" si="32"/>
        <v>C3</v>
      </c>
      <c r="S264" s="18">
        <f t="shared" si="33"/>
        <v>1.9331260725953756</v>
      </c>
      <c r="T264" s="18">
        <f>S264/Explications!$C$8</f>
        <v>6.443753575317919E-2</v>
      </c>
    </row>
    <row r="265" spans="7:20">
      <c r="G265" s="10" t="s">
        <v>17</v>
      </c>
      <c r="H265" s="10" t="s">
        <v>31</v>
      </c>
      <c r="I265" s="10">
        <v>46.876800000000003</v>
      </c>
      <c r="J265" s="10">
        <v>-71.270899999999997</v>
      </c>
      <c r="K265" s="10">
        <v>46.813499999999998</v>
      </c>
      <c r="L265" s="10">
        <v>-71.215900000000005</v>
      </c>
      <c r="M265" s="10" t="str">
        <f t="shared" si="29"/>
        <v>C3</v>
      </c>
      <c r="N265" s="10" t="str">
        <f t="shared" si="30"/>
        <v>C15</v>
      </c>
      <c r="O265" s="5">
        <f t="shared" si="28"/>
        <v>8.1877829237866173</v>
      </c>
      <c r="P265" s="22">
        <f>O265/Explications!$C$8</f>
        <v>0.27292609745955393</v>
      </c>
      <c r="Q265" s="7" t="str">
        <f t="shared" si="31"/>
        <v>C15</v>
      </c>
      <c r="R265" s="7" t="str">
        <f t="shared" si="32"/>
        <v>C3</v>
      </c>
      <c r="S265" s="18">
        <f t="shared" si="33"/>
        <v>8.1877829237866173</v>
      </c>
      <c r="T265" s="18">
        <f>S265/Explications!$C$8</f>
        <v>0.27292609745955393</v>
      </c>
    </row>
    <row r="266" spans="7:20">
      <c r="G266" s="10" t="s">
        <v>17</v>
      </c>
      <c r="H266" s="10" t="s">
        <v>32</v>
      </c>
      <c r="I266" s="10">
        <v>46.876800000000003</v>
      </c>
      <c r="J266" s="10">
        <v>-71.270899999999997</v>
      </c>
      <c r="K266" s="10">
        <v>46.733699999999999</v>
      </c>
      <c r="L266" s="10">
        <v>-71.270099999999999</v>
      </c>
      <c r="M266" s="10" t="str">
        <f t="shared" si="29"/>
        <v>C3</v>
      </c>
      <c r="N266" s="10" t="str">
        <f t="shared" si="30"/>
        <v>C16</v>
      </c>
      <c r="O266" s="5">
        <f t="shared" si="28"/>
        <v>15.912110500062127</v>
      </c>
      <c r="P266" s="22">
        <f>O266/Explications!$C$8</f>
        <v>0.53040368333540422</v>
      </c>
      <c r="Q266" s="7" t="str">
        <f t="shared" si="31"/>
        <v>C16</v>
      </c>
      <c r="R266" s="7" t="str">
        <f t="shared" si="32"/>
        <v>C3</v>
      </c>
      <c r="S266" s="18">
        <f t="shared" si="33"/>
        <v>15.912110500062127</v>
      </c>
      <c r="T266" s="18">
        <f>S266/Explications!$C$8</f>
        <v>0.53040368333540422</v>
      </c>
    </row>
    <row r="267" spans="7:20">
      <c r="G267" s="10" t="s">
        <v>17</v>
      </c>
      <c r="H267" s="10" t="s">
        <v>33</v>
      </c>
      <c r="I267" s="10">
        <v>46.876800000000003</v>
      </c>
      <c r="J267" s="10">
        <v>-71.270899999999997</v>
      </c>
      <c r="K267" s="10">
        <v>46.8035</v>
      </c>
      <c r="L267" s="10">
        <v>-71.3553</v>
      </c>
      <c r="M267" s="10" t="str">
        <f t="shared" si="29"/>
        <v>C3</v>
      </c>
      <c r="N267" s="10" t="str">
        <f t="shared" si="30"/>
        <v>C17</v>
      </c>
      <c r="O267" s="5">
        <f t="shared" si="28"/>
        <v>10.375116095091343</v>
      </c>
      <c r="P267" s="22">
        <f>O267/Explications!$C$8</f>
        <v>0.34583720316971145</v>
      </c>
      <c r="Q267" s="7" t="str">
        <f t="shared" si="31"/>
        <v>C17</v>
      </c>
      <c r="R267" s="7" t="str">
        <f t="shared" si="32"/>
        <v>C3</v>
      </c>
      <c r="S267" s="18">
        <f t="shared" si="33"/>
        <v>10.375116095091343</v>
      </c>
      <c r="T267" s="18">
        <f>S267/Explications!$C$8</f>
        <v>0.34583720316971145</v>
      </c>
    </row>
    <row r="268" spans="7:20">
      <c r="G268" s="10" t="s">
        <v>17</v>
      </c>
      <c r="H268" s="10" t="s">
        <v>34</v>
      </c>
      <c r="I268" s="10">
        <v>46.876800000000003</v>
      </c>
      <c r="J268" s="10">
        <v>-71.270899999999997</v>
      </c>
      <c r="K268" s="10">
        <v>46.730200000000004</v>
      </c>
      <c r="L268" s="10">
        <v>-71.274100000000004</v>
      </c>
      <c r="M268" s="10" t="str">
        <f t="shared" si="29"/>
        <v>C3</v>
      </c>
      <c r="N268" s="10" t="str">
        <f t="shared" si="30"/>
        <v>C18</v>
      </c>
      <c r="O268" s="5">
        <f t="shared" si="28"/>
        <v>16.302995720257876</v>
      </c>
      <c r="P268" s="22">
        <f>O268/Explications!$C$8</f>
        <v>0.54343319067526252</v>
      </c>
      <c r="Q268" s="7" t="str">
        <f t="shared" si="31"/>
        <v>C18</v>
      </c>
      <c r="R268" s="7" t="str">
        <f t="shared" si="32"/>
        <v>C3</v>
      </c>
      <c r="S268" s="18">
        <f t="shared" si="33"/>
        <v>16.302995720257876</v>
      </c>
      <c r="T268" s="18">
        <f>S268/Explications!$C$8</f>
        <v>0.54343319067526252</v>
      </c>
    </row>
    <row r="269" spans="7:20">
      <c r="G269" s="10" t="s">
        <v>17</v>
      </c>
      <c r="H269" s="10" t="s">
        <v>35</v>
      </c>
      <c r="I269" s="10">
        <v>46.876800000000003</v>
      </c>
      <c r="J269" s="10">
        <v>-71.270899999999997</v>
      </c>
      <c r="K269" s="10">
        <v>46.785600000000002</v>
      </c>
      <c r="L269" s="10">
        <v>-71.245500000000007</v>
      </c>
      <c r="M269" s="10" t="str">
        <f t="shared" si="29"/>
        <v>C3</v>
      </c>
      <c r="N269" s="10" t="str">
        <f t="shared" si="30"/>
        <v>C19</v>
      </c>
      <c r="O269" s="5">
        <f t="shared" si="28"/>
        <v>10.323425942433348</v>
      </c>
      <c r="P269" s="22">
        <f>O269/Explications!$C$8</f>
        <v>0.3441141980811116</v>
      </c>
      <c r="Q269" s="7" t="str">
        <f t="shared" si="31"/>
        <v>C19</v>
      </c>
      <c r="R269" s="7" t="str">
        <f t="shared" si="32"/>
        <v>C3</v>
      </c>
      <c r="S269" s="18">
        <f t="shared" si="33"/>
        <v>10.323425942433348</v>
      </c>
      <c r="T269" s="18">
        <f>S269/Explications!$C$8</f>
        <v>0.3441141980811116</v>
      </c>
    </row>
    <row r="270" spans="7:20">
      <c r="G270" s="10" t="s">
        <v>17</v>
      </c>
      <c r="H270" s="10" t="s">
        <v>36</v>
      </c>
      <c r="I270" s="10">
        <v>46.876800000000003</v>
      </c>
      <c r="J270" s="10">
        <v>-71.270899999999997</v>
      </c>
      <c r="K270" s="10">
        <v>46.8215</v>
      </c>
      <c r="L270" s="10">
        <v>-71.355400000000003</v>
      </c>
      <c r="M270" s="10" t="str">
        <f t="shared" si="29"/>
        <v>C3</v>
      </c>
      <c r="N270" s="10" t="str">
        <f t="shared" si="30"/>
        <v>C20</v>
      </c>
      <c r="O270" s="5">
        <f t="shared" si="28"/>
        <v>8.8941560103768538</v>
      </c>
      <c r="P270" s="22">
        <f>O270/Explications!$C$8</f>
        <v>0.29647186701256178</v>
      </c>
      <c r="Q270" s="7" t="str">
        <f t="shared" si="31"/>
        <v>C20</v>
      </c>
      <c r="R270" s="7" t="str">
        <f t="shared" si="32"/>
        <v>C3</v>
      </c>
      <c r="S270" s="18">
        <f t="shared" si="33"/>
        <v>8.8941560103768538</v>
      </c>
      <c r="T270" s="18">
        <f>S270/Explications!$C$8</f>
        <v>0.29647186701256178</v>
      </c>
    </row>
    <row r="271" spans="7:20">
      <c r="G271" s="10" t="s">
        <v>17</v>
      </c>
      <c r="H271" s="10" t="s">
        <v>37</v>
      </c>
      <c r="I271" s="10">
        <v>46.876800000000003</v>
      </c>
      <c r="J271" s="10">
        <v>-71.270899999999997</v>
      </c>
      <c r="K271" s="10">
        <v>46.8093</v>
      </c>
      <c r="L271" s="10">
        <v>-71.2273</v>
      </c>
      <c r="M271" s="10" t="str">
        <f t="shared" si="29"/>
        <v>C3</v>
      </c>
      <c r="N271" s="10" t="str">
        <f t="shared" si="30"/>
        <v>C21</v>
      </c>
      <c r="O271" s="5">
        <f t="shared" si="28"/>
        <v>8.2055700461454641</v>
      </c>
      <c r="P271" s="22">
        <f>O271/Explications!$C$8</f>
        <v>0.27351900153818215</v>
      </c>
      <c r="Q271" s="7" t="str">
        <f t="shared" si="31"/>
        <v>C21</v>
      </c>
      <c r="R271" s="7" t="str">
        <f t="shared" si="32"/>
        <v>C3</v>
      </c>
      <c r="S271" s="18">
        <f t="shared" si="33"/>
        <v>8.2055700461454641</v>
      </c>
      <c r="T271" s="18">
        <f>S271/Explications!$C$8</f>
        <v>0.27351900153818215</v>
      </c>
    </row>
    <row r="272" spans="7:20">
      <c r="G272" s="10" t="s">
        <v>17</v>
      </c>
      <c r="H272" s="10" t="s">
        <v>38</v>
      </c>
      <c r="I272" s="10">
        <v>46.876800000000003</v>
      </c>
      <c r="J272" s="10">
        <v>-71.270899999999997</v>
      </c>
      <c r="K272" s="10">
        <v>46.781300000000002</v>
      </c>
      <c r="L272" s="10">
        <v>-71.301000000000002</v>
      </c>
      <c r="M272" s="10" t="str">
        <f t="shared" si="29"/>
        <v>C3</v>
      </c>
      <c r="N272" s="10" t="str">
        <f t="shared" si="30"/>
        <v>C22</v>
      </c>
      <c r="O272" s="5">
        <f t="shared" si="28"/>
        <v>10.863210367795146</v>
      </c>
      <c r="P272" s="22">
        <f>O272/Explications!$C$8</f>
        <v>0.36210701225983821</v>
      </c>
      <c r="Q272" s="7" t="str">
        <f t="shared" si="31"/>
        <v>C22</v>
      </c>
      <c r="R272" s="7" t="str">
        <f t="shared" si="32"/>
        <v>C3</v>
      </c>
      <c r="S272" s="18">
        <f t="shared" si="33"/>
        <v>10.863210367795146</v>
      </c>
      <c r="T272" s="18">
        <f>S272/Explications!$C$8</f>
        <v>0.36210701225983821</v>
      </c>
    </row>
    <row r="273" spans="7:20">
      <c r="G273" s="10" t="s">
        <v>17</v>
      </c>
      <c r="H273" s="10" t="s">
        <v>39</v>
      </c>
      <c r="I273" s="10">
        <v>46.876800000000003</v>
      </c>
      <c r="J273" s="10">
        <v>-71.270899999999997</v>
      </c>
      <c r="K273" s="10">
        <v>46.844900000000003</v>
      </c>
      <c r="L273" s="10">
        <v>-71.251400000000004</v>
      </c>
      <c r="M273" s="10" t="str">
        <f t="shared" si="29"/>
        <v>C3</v>
      </c>
      <c r="N273" s="10" t="str">
        <f t="shared" si="30"/>
        <v>C23</v>
      </c>
      <c r="O273" s="5">
        <f t="shared" si="28"/>
        <v>3.8445055615115638</v>
      </c>
      <c r="P273" s="22">
        <f>O273/Explications!$C$8</f>
        <v>0.12815018538371878</v>
      </c>
      <c r="Q273" s="7" t="str">
        <f t="shared" si="31"/>
        <v>C23</v>
      </c>
      <c r="R273" s="7" t="str">
        <f t="shared" si="32"/>
        <v>C3</v>
      </c>
      <c r="S273" s="18">
        <f t="shared" si="33"/>
        <v>3.8445055615115638</v>
      </c>
      <c r="T273" s="18">
        <f>S273/Explications!$C$8</f>
        <v>0.12815018538371878</v>
      </c>
    </row>
    <row r="274" spans="7:20">
      <c r="G274" s="10" t="s">
        <v>17</v>
      </c>
      <c r="H274" s="10" t="s">
        <v>40</v>
      </c>
      <c r="I274" s="10">
        <v>46.876800000000003</v>
      </c>
      <c r="J274" s="10">
        <v>-71.270899999999997</v>
      </c>
      <c r="K274" s="10">
        <v>46.805500000000002</v>
      </c>
      <c r="L274" s="10">
        <v>-71.2196</v>
      </c>
      <c r="M274" s="10" t="str">
        <f t="shared" si="29"/>
        <v>C3</v>
      </c>
      <c r="N274" s="10" t="str">
        <f t="shared" si="30"/>
        <v>C24</v>
      </c>
      <c r="O274" s="5">
        <f t="shared" si="28"/>
        <v>8.8363421397315527</v>
      </c>
      <c r="P274" s="22">
        <f>O274/Explications!$C$8</f>
        <v>0.29454473799105174</v>
      </c>
      <c r="Q274" s="7" t="str">
        <f t="shared" si="31"/>
        <v>C24</v>
      </c>
      <c r="R274" s="7" t="str">
        <f t="shared" si="32"/>
        <v>C3</v>
      </c>
      <c r="S274" s="18">
        <f t="shared" si="33"/>
        <v>8.8363421397315527</v>
      </c>
      <c r="T274" s="18">
        <f>S274/Explications!$C$8</f>
        <v>0.29454473799105174</v>
      </c>
    </row>
    <row r="275" spans="7:20">
      <c r="G275" s="10" t="s">
        <v>17</v>
      </c>
      <c r="H275" s="10" t="s">
        <v>41</v>
      </c>
      <c r="I275" s="10">
        <v>46.876800000000003</v>
      </c>
      <c r="J275" s="10">
        <v>-71.270899999999997</v>
      </c>
      <c r="K275" s="10">
        <v>46.734900000000003</v>
      </c>
      <c r="L275" s="10">
        <v>-71.266199999999998</v>
      </c>
      <c r="M275" s="10" t="str">
        <f t="shared" si="29"/>
        <v>C3</v>
      </c>
      <c r="N275" s="10" t="str">
        <f t="shared" si="30"/>
        <v>C25</v>
      </c>
      <c r="O275" s="5">
        <f t="shared" si="28"/>
        <v>15.782614464183139</v>
      </c>
      <c r="P275" s="22">
        <f>O275/Explications!$C$8</f>
        <v>0.52608714880610463</v>
      </c>
      <c r="Q275" s="7" t="str">
        <f t="shared" si="31"/>
        <v>C25</v>
      </c>
      <c r="R275" s="7" t="str">
        <f t="shared" si="32"/>
        <v>C3</v>
      </c>
      <c r="S275" s="18">
        <f t="shared" si="33"/>
        <v>15.782614464183139</v>
      </c>
      <c r="T275" s="18">
        <f>S275/Explications!$C$8</f>
        <v>0.52608714880610463</v>
      </c>
    </row>
    <row r="276" spans="7:20">
      <c r="G276" s="10" t="s">
        <v>17</v>
      </c>
      <c r="H276" s="10" t="s">
        <v>42</v>
      </c>
      <c r="I276" s="10">
        <v>46.876800000000003</v>
      </c>
      <c r="J276" s="10">
        <v>-71.270899999999997</v>
      </c>
      <c r="K276" s="10">
        <v>46.817700000000002</v>
      </c>
      <c r="L276" s="10">
        <v>-71.214100000000002</v>
      </c>
      <c r="M276" s="10" t="str">
        <f t="shared" si="29"/>
        <v>C3</v>
      </c>
      <c r="N276" s="10" t="str">
        <f t="shared" si="30"/>
        <v>C26</v>
      </c>
      <c r="O276" s="5">
        <f t="shared" si="28"/>
        <v>7.864229654325964</v>
      </c>
      <c r="P276" s="22">
        <f>O276/Explications!$C$8</f>
        <v>0.26214098847753214</v>
      </c>
      <c r="Q276" s="7" t="str">
        <f t="shared" si="31"/>
        <v>C26</v>
      </c>
      <c r="R276" s="7" t="str">
        <f t="shared" si="32"/>
        <v>C3</v>
      </c>
      <c r="S276" s="18">
        <f t="shared" si="33"/>
        <v>7.864229654325964</v>
      </c>
      <c r="T276" s="18">
        <f>S276/Explications!$C$8</f>
        <v>0.26214098847753214</v>
      </c>
    </row>
    <row r="277" spans="7:20">
      <c r="G277" s="10" t="s">
        <v>17</v>
      </c>
      <c r="H277" s="10" t="s">
        <v>43</v>
      </c>
      <c r="I277" s="10">
        <v>46.876800000000003</v>
      </c>
      <c r="J277" s="10">
        <v>-71.270899999999997</v>
      </c>
      <c r="K277" s="10">
        <v>46.603000000000002</v>
      </c>
      <c r="L277" s="10">
        <v>-71.490600000000001</v>
      </c>
      <c r="M277" s="10" t="str">
        <f t="shared" si="29"/>
        <v>C3</v>
      </c>
      <c r="N277" s="10" t="str">
        <f t="shared" si="30"/>
        <v>C27</v>
      </c>
      <c r="O277" s="5">
        <f t="shared" si="28"/>
        <v>34.74470947417602</v>
      </c>
      <c r="P277" s="22">
        <f>O277/Explications!$C$8</f>
        <v>1.158156982472534</v>
      </c>
      <c r="Q277" s="7" t="str">
        <f t="shared" si="31"/>
        <v>C27</v>
      </c>
      <c r="R277" s="7" t="str">
        <f t="shared" si="32"/>
        <v>C3</v>
      </c>
      <c r="S277" s="18">
        <f t="shared" si="33"/>
        <v>34.74470947417602</v>
      </c>
      <c r="T277" s="18">
        <f>S277/Explications!$C$8</f>
        <v>1.158156982472534</v>
      </c>
    </row>
    <row r="278" spans="7:20">
      <c r="G278" s="10" t="s">
        <v>17</v>
      </c>
      <c r="H278" s="10" t="s">
        <v>44</v>
      </c>
      <c r="I278" s="10">
        <v>46.876800000000003</v>
      </c>
      <c r="J278" s="10">
        <v>-71.270899999999997</v>
      </c>
      <c r="K278" s="10">
        <v>47.000500000000002</v>
      </c>
      <c r="L278" s="10">
        <v>-71.388400000000004</v>
      </c>
      <c r="M278" s="10" t="str">
        <f t="shared" si="29"/>
        <v>C3</v>
      </c>
      <c r="N278" s="10" t="str">
        <f t="shared" si="30"/>
        <v>C28</v>
      </c>
      <c r="O278" s="5">
        <f t="shared" si="28"/>
        <v>16.394376245976314</v>
      </c>
      <c r="P278" s="22">
        <f>O278/Explications!$C$8</f>
        <v>0.54647920819921048</v>
      </c>
      <c r="Q278" s="7" t="str">
        <f t="shared" si="31"/>
        <v>C28</v>
      </c>
      <c r="R278" s="7" t="str">
        <f t="shared" si="32"/>
        <v>C3</v>
      </c>
      <c r="S278" s="18">
        <f t="shared" si="33"/>
        <v>16.394376245976314</v>
      </c>
      <c r="T278" s="18">
        <f>S278/Explications!$C$8</f>
        <v>0.54647920819921048</v>
      </c>
    </row>
    <row r="279" spans="7:20">
      <c r="G279" s="10" t="s">
        <v>17</v>
      </c>
      <c r="H279" s="10" t="s">
        <v>45</v>
      </c>
      <c r="I279" s="10">
        <v>46.876800000000003</v>
      </c>
      <c r="J279" s="10">
        <v>-71.270899999999997</v>
      </c>
      <c r="K279" s="10">
        <v>46.839100000000002</v>
      </c>
      <c r="L279" s="10">
        <v>-71.245699999999999</v>
      </c>
      <c r="M279" s="10" t="str">
        <f t="shared" si="29"/>
        <v>C3</v>
      </c>
      <c r="N279" s="10" t="str">
        <f t="shared" si="30"/>
        <v>C29</v>
      </c>
      <c r="O279" s="5">
        <f t="shared" si="28"/>
        <v>4.609203032489777</v>
      </c>
      <c r="P279" s="22">
        <f>O279/Explications!$C$8</f>
        <v>0.15364010108299256</v>
      </c>
      <c r="Q279" s="7" t="str">
        <f t="shared" si="31"/>
        <v>C29</v>
      </c>
      <c r="R279" s="7" t="str">
        <f t="shared" si="32"/>
        <v>C3</v>
      </c>
      <c r="S279" s="18">
        <f t="shared" si="33"/>
        <v>4.609203032489777</v>
      </c>
      <c r="T279" s="18">
        <f>S279/Explications!$C$8</f>
        <v>0.15364010108299256</v>
      </c>
    </row>
    <row r="280" spans="7:20">
      <c r="G280" s="10" t="s">
        <v>17</v>
      </c>
      <c r="H280" s="10" t="s">
        <v>46</v>
      </c>
      <c r="I280" s="10">
        <v>46.876800000000003</v>
      </c>
      <c r="J280" s="10">
        <v>-71.270899999999997</v>
      </c>
      <c r="K280" s="10">
        <v>46.865699999999997</v>
      </c>
      <c r="L280" s="10">
        <v>-71.27</v>
      </c>
      <c r="M280" s="10" t="str">
        <f t="shared" si="29"/>
        <v>C3</v>
      </c>
      <c r="N280" s="10" t="str">
        <f t="shared" si="30"/>
        <v>C30</v>
      </c>
      <c r="O280" s="5">
        <f t="shared" si="28"/>
        <v>1.2361583786538857</v>
      </c>
      <c r="P280" s="22">
        <f>O280/Explications!$C$8</f>
        <v>4.1205279288462855E-2</v>
      </c>
      <c r="Q280" s="7" t="str">
        <f t="shared" si="31"/>
        <v>C30</v>
      </c>
      <c r="R280" s="7" t="str">
        <f t="shared" si="32"/>
        <v>C3</v>
      </c>
      <c r="S280" s="18">
        <f t="shared" si="33"/>
        <v>1.2361583786538857</v>
      </c>
      <c r="T280" s="18">
        <f>S280/Explications!$C$8</f>
        <v>4.1205279288462855E-2</v>
      </c>
    </row>
    <row r="281" spans="7:20">
      <c r="G281" s="10" t="s">
        <v>17</v>
      </c>
      <c r="H281" s="10" t="s">
        <v>47</v>
      </c>
      <c r="I281" s="10">
        <v>46.876800000000003</v>
      </c>
      <c r="J281" s="10">
        <v>-71.270899999999997</v>
      </c>
      <c r="K281" s="10">
        <v>46.805500000000002</v>
      </c>
      <c r="L281" s="10">
        <v>-71.217299999999994</v>
      </c>
      <c r="M281" s="10" t="str">
        <f t="shared" si="29"/>
        <v>C3</v>
      </c>
      <c r="N281" s="10" t="str">
        <f t="shared" si="30"/>
        <v>C31</v>
      </c>
      <c r="O281" s="5">
        <f t="shared" si="28"/>
        <v>8.9149714360871783</v>
      </c>
      <c r="P281" s="22">
        <f>O281/Explications!$C$8</f>
        <v>0.2971657145362393</v>
      </c>
      <c r="Q281" s="7" t="str">
        <f t="shared" si="31"/>
        <v>C31</v>
      </c>
      <c r="R281" s="7" t="str">
        <f t="shared" si="32"/>
        <v>C3</v>
      </c>
      <c r="S281" s="18">
        <f t="shared" si="33"/>
        <v>8.9149714360871783</v>
      </c>
      <c r="T281" s="18">
        <f>S281/Explications!$C$8</f>
        <v>0.2971657145362393</v>
      </c>
    </row>
    <row r="282" spans="7:20">
      <c r="G282" s="10" t="s">
        <v>17</v>
      </c>
      <c r="H282" s="10" t="s">
        <v>48</v>
      </c>
      <c r="I282" s="10">
        <v>46.876800000000003</v>
      </c>
      <c r="J282" s="10">
        <v>-71.270899999999997</v>
      </c>
      <c r="K282" s="10">
        <v>46.792299999999997</v>
      </c>
      <c r="L282" s="10">
        <v>-71.172899999999998</v>
      </c>
      <c r="M282" s="10" t="str">
        <f t="shared" si="29"/>
        <v>C3</v>
      </c>
      <c r="N282" s="10" t="str">
        <f t="shared" si="30"/>
        <v>C32</v>
      </c>
      <c r="O282" s="5">
        <f t="shared" si="28"/>
        <v>11.994086044801799</v>
      </c>
      <c r="P282" s="22">
        <f>O282/Explications!$C$8</f>
        <v>0.39980286816005994</v>
      </c>
      <c r="Q282" s="7" t="str">
        <f t="shared" si="31"/>
        <v>C32</v>
      </c>
      <c r="R282" s="7" t="str">
        <f t="shared" si="32"/>
        <v>C3</v>
      </c>
      <c r="S282" s="18">
        <f t="shared" si="33"/>
        <v>11.994086044801799</v>
      </c>
      <c r="T282" s="18">
        <f>S282/Explications!$C$8</f>
        <v>0.39980286816005994</v>
      </c>
    </row>
    <row r="283" spans="7:20">
      <c r="G283" s="10" t="s">
        <v>17</v>
      </c>
      <c r="H283" s="10" t="s">
        <v>49</v>
      </c>
      <c r="I283" s="10">
        <v>46.876800000000003</v>
      </c>
      <c r="J283" s="10">
        <v>-71.270899999999997</v>
      </c>
      <c r="K283" s="10">
        <v>46.7883</v>
      </c>
      <c r="L283" s="10">
        <v>-71.131200000000007</v>
      </c>
      <c r="M283" s="10" t="str">
        <f t="shared" si="29"/>
        <v>C3</v>
      </c>
      <c r="N283" s="10" t="str">
        <f t="shared" si="30"/>
        <v>C33</v>
      </c>
      <c r="O283" s="5">
        <f t="shared" si="28"/>
        <v>14.483755754561145</v>
      </c>
      <c r="P283" s="22">
        <f>O283/Explications!$C$8</f>
        <v>0.48279185848537148</v>
      </c>
      <c r="Q283" s="7" t="str">
        <f t="shared" si="31"/>
        <v>C33</v>
      </c>
      <c r="R283" s="7" t="str">
        <f t="shared" si="32"/>
        <v>C3</v>
      </c>
      <c r="S283" s="18">
        <f t="shared" si="33"/>
        <v>14.483755754561145</v>
      </c>
      <c r="T283" s="18">
        <f>S283/Explications!$C$8</f>
        <v>0.48279185848537148</v>
      </c>
    </row>
    <row r="284" spans="7:20">
      <c r="G284" s="10" t="s">
        <v>17</v>
      </c>
      <c r="H284" s="10" t="s">
        <v>50</v>
      </c>
      <c r="I284" s="10">
        <v>46.876800000000003</v>
      </c>
      <c r="J284" s="10">
        <v>-71.270899999999997</v>
      </c>
      <c r="K284" s="10">
        <v>46.8611</v>
      </c>
      <c r="L284" s="10">
        <v>-71.268799999999999</v>
      </c>
      <c r="M284" s="10" t="str">
        <f t="shared" si="29"/>
        <v>C3</v>
      </c>
      <c r="N284" s="10" t="str">
        <f t="shared" si="30"/>
        <v>C34</v>
      </c>
      <c r="O284" s="5">
        <f t="shared" si="28"/>
        <v>1.7530445354992144</v>
      </c>
      <c r="P284" s="22">
        <f>O284/Explications!$C$8</f>
        <v>5.8434817849973814E-2</v>
      </c>
      <c r="Q284" s="7" t="str">
        <f t="shared" si="31"/>
        <v>C34</v>
      </c>
      <c r="R284" s="7" t="str">
        <f t="shared" si="32"/>
        <v>C3</v>
      </c>
      <c r="S284" s="18">
        <f t="shared" si="33"/>
        <v>1.7530445354992144</v>
      </c>
      <c r="T284" s="18">
        <f>S284/Explications!$C$8</f>
        <v>5.8434817849973814E-2</v>
      </c>
    </row>
    <row r="285" spans="7:20">
      <c r="G285" s="10" t="s">
        <v>17</v>
      </c>
      <c r="H285" s="10" t="s">
        <v>51</v>
      </c>
      <c r="I285" s="10">
        <v>46.876800000000003</v>
      </c>
      <c r="J285" s="10">
        <v>-71.270899999999997</v>
      </c>
      <c r="K285" s="10">
        <v>46.869700000000002</v>
      </c>
      <c r="L285" s="10">
        <v>-71.205200000000005</v>
      </c>
      <c r="M285" s="10" t="str">
        <f t="shared" si="29"/>
        <v>C3</v>
      </c>
      <c r="N285" s="10" t="str">
        <f t="shared" si="30"/>
        <v>C35</v>
      </c>
      <c r="O285" s="5">
        <f t="shared" si="28"/>
        <v>5.0561672659400205</v>
      </c>
      <c r="P285" s="22">
        <f>O285/Explications!$C$8</f>
        <v>0.16853890886466735</v>
      </c>
      <c r="Q285" s="7" t="str">
        <f t="shared" si="31"/>
        <v>C35</v>
      </c>
      <c r="R285" s="7" t="str">
        <f t="shared" si="32"/>
        <v>C3</v>
      </c>
      <c r="S285" s="18">
        <f t="shared" si="33"/>
        <v>5.0561672659400205</v>
      </c>
      <c r="T285" s="18">
        <f>S285/Explications!$C$8</f>
        <v>0.16853890886466735</v>
      </c>
    </row>
    <row r="286" spans="7:20">
      <c r="G286" s="10" t="s">
        <v>17</v>
      </c>
      <c r="H286" s="10" t="s">
        <v>52</v>
      </c>
      <c r="I286" s="10">
        <v>46.876800000000003</v>
      </c>
      <c r="J286" s="10">
        <v>-71.270899999999997</v>
      </c>
      <c r="K286" s="10">
        <v>46.774099999999997</v>
      </c>
      <c r="L286" s="10">
        <v>-71.174000000000007</v>
      </c>
      <c r="M286" s="10" t="str">
        <f t="shared" si="29"/>
        <v>C3</v>
      </c>
      <c r="N286" s="10" t="str">
        <f t="shared" si="30"/>
        <v>C36</v>
      </c>
      <c r="O286" s="5">
        <f t="shared" si="28"/>
        <v>13.5927043480742</v>
      </c>
      <c r="P286" s="22">
        <f>O286/Explications!$C$8</f>
        <v>0.45309014493580668</v>
      </c>
      <c r="Q286" s="7" t="str">
        <f t="shared" si="31"/>
        <v>C36</v>
      </c>
      <c r="R286" s="7" t="str">
        <f t="shared" si="32"/>
        <v>C3</v>
      </c>
      <c r="S286" s="18">
        <f t="shared" si="33"/>
        <v>13.5927043480742</v>
      </c>
      <c r="T286" s="18">
        <f>S286/Explications!$C$8</f>
        <v>0.45309014493580668</v>
      </c>
    </row>
    <row r="287" spans="7:20">
      <c r="G287" s="10" t="s">
        <v>17</v>
      </c>
      <c r="H287" s="10" t="s">
        <v>53</v>
      </c>
      <c r="I287" s="10">
        <v>46.876800000000003</v>
      </c>
      <c r="J287" s="10">
        <v>-71.270899999999997</v>
      </c>
      <c r="K287" s="10">
        <v>46.808500000000002</v>
      </c>
      <c r="L287" s="10">
        <v>-71.326599999999999</v>
      </c>
      <c r="M287" s="10" t="str">
        <f t="shared" si="29"/>
        <v>C3</v>
      </c>
      <c r="N287" s="10" t="str">
        <f t="shared" si="30"/>
        <v>C37</v>
      </c>
      <c r="O287" s="5">
        <f t="shared" ref="O287:O350" si="34">ACOS(SIN(RADIANS(I287))*SIN(RADIANS(K287))+COS(RADIANS(I287))*COS(RADIANS(K287))*COS(RADIANS(J287-L287)))*6371</f>
        <v>8.6962863746037868</v>
      </c>
      <c r="P287" s="22">
        <f>O287/Explications!$C$8</f>
        <v>0.28987621248679291</v>
      </c>
      <c r="Q287" s="7" t="str">
        <f t="shared" si="31"/>
        <v>C37</v>
      </c>
      <c r="R287" s="7" t="str">
        <f t="shared" si="32"/>
        <v>C3</v>
      </c>
      <c r="S287" s="18">
        <f t="shared" si="33"/>
        <v>8.6962863746037868</v>
      </c>
      <c r="T287" s="18">
        <f>S287/Explications!$C$8</f>
        <v>0.28987621248679291</v>
      </c>
    </row>
    <row r="288" spans="7:20">
      <c r="G288" s="10" t="s">
        <v>17</v>
      </c>
      <c r="H288" s="10" t="s">
        <v>54</v>
      </c>
      <c r="I288" s="10">
        <v>46.876800000000003</v>
      </c>
      <c r="J288" s="10">
        <v>-71.270899999999997</v>
      </c>
      <c r="K288" s="10">
        <v>46.797499999999999</v>
      </c>
      <c r="L288" s="10">
        <v>-71.306100000000001</v>
      </c>
      <c r="M288" s="10" t="str">
        <f t="shared" si="29"/>
        <v>C3</v>
      </c>
      <c r="N288" s="10" t="str">
        <f t="shared" si="30"/>
        <v>C38</v>
      </c>
      <c r="O288" s="5">
        <f t="shared" si="34"/>
        <v>9.2153078633648526</v>
      </c>
      <c r="P288" s="22">
        <f>O288/Explications!$C$8</f>
        <v>0.30717692877882841</v>
      </c>
      <c r="Q288" s="7" t="str">
        <f t="shared" si="31"/>
        <v>C38</v>
      </c>
      <c r="R288" s="7" t="str">
        <f t="shared" si="32"/>
        <v>C3</v>
      </c>
      <c r="S288" s="18">
        <f t="shared" si="33"/>
        <v>9.2153078633648526</v>
      </c>
      <c r="T288" s="18">
        <f>S288/Explications!$C$8</f>
        <v>0.30717692877882841</v>
      </c>
    </row>
    <row r="289" spans="7:20">
      <c r="G289" s="10" t="s">
        <v>17</v>
      </c>
      <c r="H289" s="10" t="s">
        <v>55</v>
      </c>
      <c r="I289" s="10">
        <v>46.876800000000003</v>
      </c>
      <c r="J289" s="10">
        <v>-71.270899999999997</v>
      </c>
      <c r="K289" s="10">
        <v>46.8155</v>
      </c>
      <c r="L289" s="10">
        <v>-71.268199999999993</v>
      </c>
      <c r="M289" s="10" t="str">
        <f t="shared" si="29"/>
        <v>C3</v>
      </c>
      <c r="N289" s="10" t="str">
        <f t="shared" si="30"/>
        <v>C39</v>
      </c>
      <c r="O289" s="5">
        <f t="shared" si="34"/>
        <v>6.8193413226911685</v>
      </c>
      <c r="P289" s="22">
        <f>O289/Explications!$C$8</f>
        <v>0.22731137742303895</v>
      </c>
      <c r="Q289" s="7" t="str">
        <f t="shared" si="31"/>
        <v>C39</v>
      </c>
      <c r="R289" s="7" t="str">
        <f t="shared" si="32"/>
        <v>C3</v>
      </c>
      <c r="S289" s="18">
        <f t="shared" si="33"/>
        <v>6.8193413226911685</v>
      </c>
      <c r="T289" s="18">
        <f>S289/Explications!$C$8</f>
        <v>0.22731137742303895</v>
      </c>
    </row>
    <row r="290" spans="7:20">
      <c r="G290" s="10" t="s">
        <v>17</v>
      </c>
      <c r="H290" s="10" t="s">
        <v>56</v>
      </c>
      <c r="I290" s="10">
        <v>46.876800000000003</v>
      </c>
      <c r="J290" s="10">
        <v>-71.270899999999997</v>
      </c>
      <c r="K290" s="10">
        <v>46.866700000000002</v>
      </c>
      <c r="L290" s="10">
        <v>-71.215900000000005</v>
      </c>
      <c r="M290" s="10" t="str">
        <f t="shared" si="29"/>
        <v>C3</v>
      </c>
      <c r="N290" s="10" t="str">
        <f t="shared" si="30"/>
        <v>C40</v>
      </c>
      <c r="O290" s="5">
        <f t="shared" si="34"/>
        <v>4.3291241254010728</v>
      </c>
      <c r="P290" s="22">
        <f>O290/Explications!$C$8</f>
        <v>0.1443041375133691</v>
      </c>
      <c r="Q290" s="7" t="str">
        <f t="shared" si="31"/>
        <v>C40</v>
      </c>
      <c r="R290" s="7" t="str">
        <f t="shared" si="32"/>
        <v>C3</v>
      </c>
      <c r="S290" s="18">
        <f t="shared" si="33"/>
        <v>4.3291241254010728</v>
      </c>
      <c r="T290" s="18">
        <f>S290/Explications!$C$8</f>
        <v>0.1443041375133691</v>
      </c>
    </row>
    <row r="291" spans="7:20">
      <c r="G291" s="10" t="s">
        <v>17</v>
      </c>
      <c r="H291" s="10" t="s">
        <v>57</v>
      </c>
      <c r="I291" s="10">
        <v>46.876800000000003</v>
      </c>
      <c r="J291" s="10">
        <v>-71.270899999999997</v>
      </c>
      <c r="K291" s="10">
        <v>46.762099999999997</v>
      </c>
      <c r="L291" s="10">
        <v>-71.235399999999998</v>
      </c>
      <c r="M291" s="10" t="str">
        <f t="shared" si="29"/>
        <v>C3</v>
      </c>
      <c r="N291" s="10" t="str">
        <f t="shared" si="30"/>
        <v>C41</v>
      </c>
      <c r="O291" s="5">
        <f t="shared" si="34"/>
        <v>13.036969158498701</v>
      </c>
      <c r="P291" s="22">
        <f>O291/Explications!$C$8</f>
        <v>0.4345656386166234</v>
      </c>
      <c r="Q291" s="7" t="str">
        <f t="shared" si="31"/>
        <v>C41</v>
      </c>
      <c r="R291" s="7" t="str">
        <f t="shared" si="32"/>
        <v>C3</v>
      </c>
      <c r="S291" s="18">
        <f t="shared" si="33"/>
        <v>13.036969158498701</v>
      </c>
      <c r="T291" s="18">
        <f>S291/Explications!$C$8</f>
        <v>0.4345656386166234</v>
      </c>
    </row>
    <row r="292" spans="7:20">
      <c r="G292" s="10" t="s">
        <v>17</v>
      </c>
      <c r="H292" s="10" t="s">
        <v>58</v>
      </c>
      <c r="I292" s="10">
        <v>46.876800000000003</v>
      </c>
      <c r="J292" s="10">
        <v>-71.270899999999997</v>
      </c>
      <c r="K292" s="10">
        <v>46.8157</v>
      </c>
      <c r="L292" s="10">
        <v>-71.2042</v>
      </c>
      <c r="M292" s="10" t="str">
        <f t="shared" si="29"/>
        <v>C3</v>
      </c>
      <c r="N292" s="10" t="str">
        <f t="shared" si="30"/>
        <v>C42</v>
      </c>
      <c r="O292" s="5">
        <f t="shared" si="34"/>
        <v>8.4788563292797345</v>
      </c>
      <c r="P292" s="22">
        <f>O292/Explications!$C$8</f>
        <v>0.28262854430932449</v>
      </c>
      <c r="Q292" s="7" t="str">
        <f t="shared" si="31"/>
        <v>C42</v>
      </c>
      <c r="R292" s="7" t="str">
        <f t="shared" si="32"/>
        <v>C3</v>
      </c>
      <c r="S292" s="18">
        <f t="shared" si="33"/>
        <v>8.4788563292797345</v>
      </c>
      <c r="T292" s="18">
        <f>S292/Explications!$C$8</f>
        <v>0.28262854430932449</v>
      </c>
    </row>
    <row r="293" spans="7:20">
      <c r="G293" s="10" t="s">
        <v>17</v>
      </c>
      <c r="H293" s="10" t="s">
        <v>59</v>
      </c>
      <c r="I293" s="10">
        <v>46.876800000000003</v>
      </c>
      <c r="J293" s="10">
        <v>-71.270899999999997</v>
      </c>
      <c r="K293" s="10">
        <v>46.707000000000001</v>
      </c>
      <c r="L293" s="10">
        <v>-71.217100000000002</v>
      </c>
      <c r="M293" s="10" t="str">
        <f t="shared" si="29"/>
        <v>C3</v>
      </c>
      <c r="N293" s="10" t="str">
        <f t="shared" si="30"/>
        <v>C43</v>
      </c>
      <c r="O293" s="5">
        <f t="shared" si="34"/>
        <v>19.320032034767376</v>
      </c>
      <c r="P293" s="22">
        <f>O293/Explications!$C$8</f>
        <v>0.6440010678255792</v>
      </c>
      <c r="Q293" s="7" t="str">
        <f t="shared" si="31"/>
        <v>C43</v>
      </c>
      <c r="R293" s="7" t="str">
        <f t="shared" si="32"/>
        <v>C3</v>
      </c>
      <c r="S293" s="18">
        <f t="shared" si="33"/>
        <v>19.320032034767376</v>
      </c>
      <c r="T293" s="18">
        <f>S293/Explications!$C$8</f>
        <v>0.6440010678255792</v>
      </c>
    </row>
    <row r="294" spans="7:20">
      <c r="G294" s="10" t="s">
        <v>17</v>
      </c>
      <c r="H294" s="10" t="s">
        <v>60</v>
      </c>
      <c r="I294" s="10">
        <v>46.876800000000003</v>
      </c>
      <c r="J294" s="10">
        <v>-71.270899999999997</v>
      </c>
      <c r="K294" s="10">
        <v>46.802900000000001</v>
      </c>
      <c r="L294" s="10">
        <v>-71.228899999999996</v>
      </c>
      <c r="M294" s="10" t="str">
        <f t="shared" si="29"/>
        <v>C3</v>
      </c>
      <c r="N294" s="10" t="str">
        <f t="shared" si="30"/>
        <v>C44</v>
      </c>
      <c r="O294" s="5">
        <f t="shared" si="34"/>
        <v>8.8164351817203759</v>
      </c>
      <c r="P294" s="22">
        <f>O294/Explications!$C$8</f>
        <v>0.29388117272401254</v>
      </c>
      <c r="Q294" s="7" t="str">
        <f t="shared" si="31"/>
        <v>C44</v>
      </c>
      <c r="R294" s="7" t="str">
        <f t="shared" si="32"/>
        <v>C3</v>
      </c>
      <c r="S294" s="18">
        <f t="shared" si="33"/>
        <v>8.8164351817203759</v>
      </c>
      <c r="T294" s="18">
        <f>S294/Explications!$C$8</f>
        <v>0.29388117272401254</v>
      </c>
    </row>
    <row r="295" spans="7:20">
      <c r="G295" s="10" t="s">
        <v>17</v>
      </c>
      <c r="H295" s="10" t="s">
        <v>61</v>
      </c>
      <c r="I295" s="10">
        <v>46.876800000000003</v>
      </c>
      <c r="J295" s="10">
        <v>-71.270899999999997</v>
      </c>
      <c r="K295" s="10">
        <v>46.796900000000001</v>
      </c>
      <c r="L295" s="10">
        <v>-71.3078</v>
      </c>
      <c r="M295" s="10" t="str">
        <f t="shared" si="29"/>
        <v>C3</v>
      </c>
      <c r="N295" s="10" t="str">
        <f t="shared" si="30"/>
        <v>C45</v>
      </c>
      <c r="O295" s="5">
        <f t="shared" si="34"/>
        <v>9.3173071386777497</v>
      </c>
      <c r="P295" s="22">
        <f>O295/Explications!$C$8</f>
        <v>0.31057690462259163</v>
      </c>
      <c r="Q295" s="7" t="str">
        <f t="shared" si="31"/>
        <v>C45</v>
      </c>
      <c r="R295" s="7" t="str">
        <f t="shared" si="32"/>
        <v>C3</v>
      </c>
      <c r="S295" s="18">
        <f t="shared" si="33"/>
        <v>9.3173071386777497</v>
      </c>
      <c r="T295" s="18">
        <f>S295/Explications!$C$8</f>
        <v>0.31057690462259163</v>
      </c>
    </row>
    <row r="296" spans="7:20">
      <c r="G296" s="10" t="s">
        <v>17</v>
      </c>
      <c r="H296" s="10" t="s">
        <v>62</v>
      </c>
      <c r="I296" s="10">
        <v>46.876800000000003</v>
      </c>
      <c r="J296" s="10">
        <v>-71.270899999999997</v>
      </c>
      <c r="K296" s="10">
        <v>46.803600000000003</v>
      </c>
      <c r="L296" s="10">
        <v>-71.231099999999998</v>
      </c>
      <c r="M296" s="10" t="str">
        <f t="shared" si="29"/>
        <v>C3</v>
      </c>
      <c r="N296" s="10" t="str">
        <f t="shared" si="30"/>
        <v>C46</v>
      </c>
      <c r="O296" s="5">
        <f t="shared" si="34"/>
        <v>8.684187827436018</v>
      </c>
      <c r="P296" s="22">
        <f>O296/Explications!$C$8</f>
        <v>0.28947292758120058</v>
      </c>
      <c r="Q296" s="7" t="str">
        <f t="shared" si="31"/>
        <v>C46</v>
      </c>
      <c r="R296" s="7" t="str">
        <f t="shared" si="32"/>
        <v>C3</v>
      </c>
      <c r="S296" s="18">
        <f t="shared" si="33"/>
        <v>8.684187827436018</v>
      </c>
      <c r="T296" s="18">
        <f>S296/Explications!$C$8</f>
        <v>0.28947292758120058</v>
      </c>
    </row>
    <row r="297" spans="7:20">
      <c r="G297" s="10" t="s">
        <v>17</v>
      </c>
      <c r="H297" s="10" t="s">
        <v>63</v>
      </c>
      <c r="I297" s="10">
        <v>46.876800000000003</v>
      </c>
      <c r="J297" s="10">
        <v>-71.270899999999997</v>
      </c>
      <c r="K297" s="10">
        <v>46.802399999999999</v>
      </c>
      <c r="L297" s="10">
        <v>-71.269800000000004</v>
      </c>
      <c r="M297" s="10" t="str">
        <f t="shared" si="29"/>
        <v>C3</v>
      </c>
      <c r="N297" s="10" t="str">
        <f t="shared" si="30"/>
        <v>C47</v>
      </c>
      <c r="O297" s="5">
        <f t="shared" si="34"/>
        <v>8.2733256221892173</v>
      </c>
      <c r="P297" s="22">
        <f>O297/Explications!$C$8</f>
        <v>0.27577752073964057</v>
      </c>
      <c r="Q297" s="7" t="str">
        <f t="shared" si="31"/>
        <v>C47</v>
      </c>
      <c r="R297" s="7" t="str">
        <f t="shared" si="32"/>
        <v>C3</v>
      </c>
      <c r="S297" s="18">
        <f t="shared" si="33"/>
        <v>8.2733256221892173</v>
      </c>
      <c r="T297" s="18">
        <f>S297/Explications!$C$8</f>
        <v>0.27577752073964057</v>
      </c>
    </row>
    <row r="298" spans="7:20">
      <c r="G298" s="10" t="s">
        <v>17</v>
      </c>
      <c r="H298" s="10" t="s">
        <v>64</v>
      </c>
      <c r="I298" s="10">
        <v>46.876800000000003</v>
      </c>
      <c r="J298" s="10">
        <v>-71.270899999999997</v>
      </c>
      <c r="K298" s="10">
        <v>46.826799999999999</v>
      </c>
      <c r="L298" s="10">
        <v>-71.224199999999996</v>
      </c>
      <c r="M298" s="10" t="str">
        <f t="shared" si="29"/>
        <v>C3</v>
      </c>
      <c r="N298" s="10" t="str">
        <f t="shared" si="30"/>
        <v>C48</v>
      </c>
      <c r="O298" s="5">
        <f t="shared" si="34"/>
        <v>6.5971560892750309</v>
      </c>
      <c r="P298" s="22">
        <f>O298/Explications!$C$8</f>
        <v>0.21990520297583435</v>
      </c>
      <c r="Q298" s="7" t="str">
        <f t="shared" si="31"/>
        <v>C48</v>
      </c>
      <c r="R298" s="7" t="str">
        <f t="shared" si="32"/>
        <v>C3</v>
      </c>
      <c r="S298" s="18">
        <f t="shared" si="33"/>
        <v>6.5971560892750309</v>
      </c>
      <c r="T298" s="18">
        <f>S298/Explications!$C$8</f>
        <v>0.21990520297583435</v>
      </c>
    </row>
    <row r="299" spans="7:20">
      <c r="G299" s="10" t="s">
        <v>17</v>
      </c>
      <c r="H299" s="10" t="s">
        <v>65</v>
      </c>
      <c r="I299" s="10">
        <v>46.876800000000003</v>
      </c>
      <c r="J299" s="10">
        <v>-71.270899999999997</v>
      </c>
      <c r="K299" s="10">
        <v>46.864100000000001</v>
      </c>
      <c r="L299" s="10">
        <v>-71.255499999999998</v>
      </c>
      <c r="M299" s="10" t="str">
        <f t="shared" si="29"/>
        <v>C3</v>
      </c>
      <c r="N299" s="10" t="str">
        <f t="shared" si="30"/>
        <v>C49</v>
      </c>
      <c r="O299" s="5">
        <f t="shared" si="34"/>
        <v>1.8343229783892319</v>
      </c>
      <c r="P299" s="22">
        <f>O299/Explications!$C$8</f>
        <v>6.1144099279641061E-2</v>
      </c>
      <c r="Q299" s="7" t="str">
        <f t="shared" si="31"/>
        <v>C49</v>
      </c>
      <c r="R299" s="7" t="str">
        <f t="shared" si="32"/>
        <v>C3</v>
      </c>
      <c r="S299" s="18">
        <f t="shared" si="33"/>
        <v>1.8343229783892319</v>
      </c>
      <c r="T299" s="18">
        <f>S299/Explications!$C$8</f>
        <v>6.1144099279641061E-2</v>
      </c>
    </row>
    <row r="300" spans="7:20">
      <c r="G300" s="10" t="s">
        <v>17</v>
      </c>
      <c r="H300" s="10" t="s">
        <v>66</v>
      </c>
      <c r="I300" s="10">
        <v>46.876800000000003</v>
      </c>
      <c r="J300" s="10">
        <v>-71.270899999999997</v>
      </c>
      <c r="K300" s="10">
        <v>46.843800000000002</v>
      </c>
      <c r="L300" s="10">
        <v>-71.247299999999996</v>
      </c>
      <c r="M300" s="10" t="str">
        <f t="shared" si="29"/>
        <v>C3</v>
      </c>
      <c r="N300" s="10" t="str">
        <f t="shared" si="30"/>
        <v>C50</v>
      </c>
      <c r="O300" s="5">
        <f t="shared" si="34"/>
        <v>4.0846682462108657</v>
      </c>
      <c r="P300" s="22">
        <f>O300/Explications!$C$8</f>
        <v>0.13615560820702885</v>
      </c>
      <c r="Q300" s="7" t="str">
        <f t="shared" si="31"/>
        <v>C50</v>
      </c>
      <c r="R300" s="7" t="str">
        <f t="shared" si="32"/>
        <v>C3</v>
      </c>
      <c r="S300" s="18">
        <f t="shared" si="33"/>
        <v>4.0846682462108657</v>
      </c>
      <c r="T300" s="18">
        <f>S300/Explications!$C$8</f>
        <v>0.13615560820702885</v>
      </c>
    </row>
    <row r="301" spans="7:20">
      <c r="G301" s="10" t="s">
        <v>17</v>
      </c>
      <c r="H301" s="10" t="s">
        <v>67</v>
      </c>
      <c r="I301" s="10">
        <v>46.876800000000003</v>
      </c>
      <c r="J301" s="10">
        <v>-71.270899999999997</v>
      </c>
      <c r="K301" s="10">
        <v>46.765599999999999</v>
      </c>
      <c r="L301" s="10">
        <v>-71.312100000000001</v>
      </c>
      <c r="M301" s="10" t="str">
        <f t="shared" si="29"/>
        <v>C3</v>
      </c>
      <c r="N301" s="10" t="str">
        <f t="shared" si="30"/>
        <v>C51</v>
      </c>
      <c r="O301" s="5">
        <f t="shared" si="34"/>
        <v>12.756069759506989</v>
      </c>
      <c r="P301" s="22">
        <f>O301/Explications!$C$8</f>
        <v>0.42520232531689961</v>
      </c>
      <c r="Q301" s="7" t="str">
        <f t="shared" si="31"/>
        <v>C51</v>
      </c>
      <c r="R301" s="7" t="str">
        <f t="shared" si="32"/>
        <v>C3</v>
      </c>
      <c r="S301" s="18">
        <f t="shared" si="33"/>
        <v>12.756069759506989</v>
      </c>
      <c r="T301" s="18">
        <f>S301/Explications!$C$8</f>
        <v>0.42520232531689961</v>
      </c>
    </row>
    <row r="302" spans="7:20">
      <c r="G302" s="10" t="s">
        <v>17</v>
      </c>
      <c r="H302" s="10" t="s">
        <v>68</v>
      </c>
      <c r="I302" s="10">
        <v>46.876800000000003</v>
      </c>
      <c r="J302" s="10">
        <v>-71.270899999999997</v>
      </c>
      <c r="K302" s="10">
        <v>46.787599999999998</v>
      </c>
      <c r="L302" s="10">
        <v>-71.288600000000002</v>
      </c>
      <c r="M302" s="10" t="str">
        <f t="shared" si="29"/>
        <v>C3</v>
      </c>
      <c r="N302" s="10" t="str">
        <f t="shared" si="30"/>
        <v>C52</v>
      </c>
      <c r="O302" s="5">
        <f t="shared" si="34"/>
        <v>10.009565294590628</v>
      </c>
      <c r="P302" s="22">
        <f>O302/Explications!$C$8</f>
        <v>0.33365217648635426</v>
      </c>
      <c r="Q302" s="7" t="str">
        <f t="shared" si="31"/>
        <v>C52</v>
      </c>
      <c r="R302" s="7" t="str">
        <f t="shared" si="32"/>
        <v>C3</v>
      </c>
      <c r="S302" s="18">
        <f t="shared" si="33"/>
        <v>10.009565294590628</v>
      </c>
      <c r="T302" s="18">
        <f>S302/Explications!$C$8</f>
        <v>0.33365217648635426</v>
      </c>
    </row>
    <row r="303" spans="7:20">
      <c r="G303" s="10" t="s">
        <v>17</v>
      </c>
      <c r="H303" s="10" t="s">
        <v>69</v>
      </c>
      <c r="I303" s="10">
        <v>46.876800000000003</v>
      </c>
      <c r="J303" s="10">
        <v>-71.270899999999997</v>
      </c>
      <c r="K303" s="10">
        <v>46.764600000000002</v>
      </c>
      <c r="L303" s="10">
        <v>-71.308300000000003</v>
      </c>
      <c r="M303" s="10" t="str">
        <f t="shared" si="29"/>
        <v>C3</v>
      </c>
      <c r="N303" s="10" t="str">
        <f t="shared" si="30"/>
        <v>C53</v>
      </c>
      <c r="O303" s="5">
        <f t="shared" si="34"/>
        <v>12.796502454087745</v>
      </c>
      <c r="P303" s="22">
        <f>O303/Explications!$C$8</f>
        <v>0.42655008180292486</v>
      </c>
      <c r="Q303" s="7" t="str">
        <f t="shared" si="31"/>
        <v>C53</v>
      </c>
      <c r="R303" s="7" t="str">
        <f t="shared" si="32"/>
        <v>C3</v>
      </c>
      <c r="S303" s="18">
        <f t="shared" si="33"/>
        <v>12.796502454087745</v>
      </c>
      <c r="T303" s="18">
        <f>S303/Explications!$C$8</f>
        <v>0.42655008180292486</v>
      </c>
    </row>
    <row r="304" spans="7:20">
      <c r="G304" s="10" t="s">
        <v>17</v>
      </c>
      <c r="H304" s="10" t="s">
        <v>70</v>
      </c>
      <c r="I304" s="10">
        <v>46.876800000000003</v>
      </c>
      <c r="J304" s="10">
        <v>-71.270899999999997</v>
      </c>
      <c r="K304" s="10">
        <v>46.849699999999999</v>
      </c>
      <c r="L304" s="10">
        <v>-71.097399999999993</v>
      </c>
      <c r="M304" s="10" t="str">
        <f t="shared" si="29"/>
        <v>C3</v>
      </c>
      <c r="N304" s="10" t="str">
        <f t="shared" si="30"/>
        <v>C54</v>
      </c>
      <c r="O304" s="5">
        <f t="shared" si="34"/>
        <v>13.530781302503577</v>
      </c>
      <c r="P304" s="22">
        <f>O304/Explications!$C$8</f>
        <v>0.45102604341678593</v>
      </c>
      <c r="Q304" s="7" t="str">
        <f t="shared" si="31"/>
        <v>C54</v>
      </c>
      <c r="R304" s="7" t="str">
        <f t="shared" si="32"/>
        <v>C3</v>
      </c>
      <c r="S304" s="18">
        <f t="shared" si="33"/>
        <v>13.530781302503577</v>
      </c>
      <c r="T304" s="18">
        <f>S304/Explications!$C$8</f>
        <v>0.45102604341678593</v>
      </c>
    </row>
    <row r="305" spans="7:20">
      <c r="G305" s="10" t="s">
        <v>17</v>
      </c>
      <c r="H305" s="10" t="s">
        <v>71</v>
      </c>
      <c r="I305" s="10">
        <v>46.876800000000003</v>
      </c>
      <c r="J305" s="10">
        <v>-71.270899999999997</v>
      </c>
      <c r="K305" s="10">
        <v>46.788899999999998</v>
      </c>
      <c r="L305" s="10">
        <v>-71.321399999999997</v>
      </c>
      <c r="M305" s="10" t="str">
        <f t="shared" si="29"/>
        <v>C3</v>
      </c>
      <c r="N305" s="10" t="str">
        <f t="shared" si="30"/>
        <v>C55</v>
      </c>
      <c r="O305" s="5">
        <f t="shared" si="34"/>
        <v>10.501893687401591</v>
      </c>
      <c r="P305" s="22">
        <f>O305/Explications!$C$8</f>
        <v>0.35006312291338637</v>
      </c>
      <c r="Q305" s="7" t="str">
        <f t="shared" si="31"/>
        <v>C55</v>
      </c>
      <c r="R305" s="7" t="str">
        <f t="shared" si="32"/>
        <v>C3</v>
      </c>
      <c r="S305" s="18">
        <f t="shared" si="33"/>
        <v>10.501893687401591</v>
      </c>
      <c r="T305" s="18">
        <f>S305/Explications!$C$8</f>
        <v>0.35006312291338637</v>
      </c>
    </row>
    <row r="306" spans="7:20">
      <c r="G306" s="10" t="s">
        <v>17</v>
      </c>
      <c r="H306" s="10" t="s">
        <v>72</v>
      </c>
      <c r="I306" s="10">
        <v>46.876800000000003</v>
      </c>
      <c r="J306" s="10">
        <v>-71.270899999999997</v>
      </c>
      <c r="K306" s="10">
        <v>46.795400000000001</v>
      </c>
      <c r="L306" s="10">
        <v>-71.232600000000005</v>
      </c>
      <c r="M306" s="10" t="str">
        <f t="shared" si="29"/>
        <v>C3</v>
      </c>
      <c r="N306" s="10" t="str">
        <f t="shared" si="30"/>
        <v>C56</v>
      </c>
      <c r="O306" s="5">
        <f t="shared" si="34"/>
        <v>9.5085828572835638</v>
      </c>
      <c r="P306" s="22">
        <f>O306/Explications!$C$8</f>
        <v>0.31695276190945215</v>
      </c>
      <c r="Q306" s="7" t="str">
        <f t="shared" si="31"/>
        <v>C56</v>
      </c>
      <c r="R306" s="7" t="str">
        <f t="shared" si="32"/>
        <v>C3</v>
      </c>
      <c r="S306" s="18">
        <f t="shared" si="33"/>
        <v>9.5085828572835638</v>
      </c>
      <c r="T306" s="18">
        <f>S306/Explications!$C$8</f>
        <v>0.31695276190945215</v>
      </c>
    </row>
    <row r="307" spans="7:20">
      <c r="G307" s="10" t="s">
        <v>17</v>
      </c>
      <c r="H307" s="10" t="s">
        <v>73</v>
      </c>
      <c r="I307" s="10">
        <v>46.876800000000003</v>
      </c>
      <c r="J307" s="10">
        <v>-71.270899999999997</v>
      </c>
      <c r="K307" s="10">
        <v>46.801200000000001</v>
      </c>
      <c r="L307" s="10">
        <v>-71.224999999999994</v>
      </c>
      <c r="M307" s="10" t="str">
        <f t="shared" si="29"/>
        <v>C3</v>
      </c>
      <c r="N307" s="10" t="str">
        <f t="shared" si="30"/>
        <v>C57</v>
      </c>
      <c r="O307" s="5">
        <f t="shared" si="34"/>
        <v>9.1025048012364831</v>
      </c>
      <c r="P307" s="22">
        <f>O307/Explications!$C$8</f>
        <v>0.30341682670788278</v>
      </c>
      <c r="Q307" s="7" t="str">
        <f t="shared" si="31"/>
        <v>C57</v>
      </c>
      <c r="R307" s="7" t="str">
        <f t="shared" si="32"/>
        <v>C3</v>
      </c>
      <c r="S307" s="18">
        <f t="shared" si="33"/>
        <v>9.1025048012364831</v>
      </c>
      <c r="T307" s="18">
        <f>S307/Explications!$C$8</f>
        <v>0.30341682670788278</v>
      </c>
    </row>
    <row r="308" spans="7:20">
      <c r="G308" s="10" t="s">
        <v>17</v>
      </c>
      <c r="H308" s="10" t="s">
        <v>74</v>
      </c>
      <c r="I308" s="10">
        <v>46.876800000000003</v>
      </c>
      <c r="J308" s="10">
        <v>-71.270899999999997</v>
      </c>
      <c r="K308" s="10">
        <v>46.773200000000003</v>
      </c>
      <c r="L308" s="10">
        <v>-71.275899999999993</v>
      </c>
      <c r="M308" s="10" t="str">
        <f t="shared" si="29"/>
        <v>C3</v>
      </c>
      <c r="N308" s="10" t="str">
        <f t="shared" si="30"/>
        <v>C58</v>
      </c>
      <c r="O308" s="5">
        <f t="shared" si="34"/>
        <v>11.526073816533559</v>
      </c>
      <c r="P308" s="22">
        <f>O308/Explications!$C$8</f>
        <v>0.38420246055111862</v>
      </c>
      <c r="Q308" s="7" t="str">
        <f t="shared" si="31"/>
        <v>C58</v>
      </c>
      <c r="R308" s="7" t="str">
        <f t="shared" si="32"/>
        <v>C3</v>
      </c>
      <c r="S308" s="18">
        <f t="shared" si="33"/>
        <v>11.526073816533559</v>
      </c>
      <c r="T308" s="18">
        <f>S308/Explications!$C$8</f>
        <v>0.38420246055111862</v>
      </c>
    </row>
    <row r="309" spans="7:20">
      <c r="G309" s="10" t="s">
        <v>17</v>
      </c>
      <c r="H309" s="10" t="s">
        <v>75</v>
      </c>
      <c r="I309" s="10">
        <v>46.876800000000003</v>
      </c>
      <c r="J309" s="10">
        <v>-71.270899999999997</v>
      </c>
      <c r="K309" s="10">
        <v>46.814399999999999</v>
      </c>
      <c r="L309" s="10">
        <v>-71.225700000000003</v>
      </c>
      <c r="M309" s="10" t="str">
        <f t="shared" si="29"/>
        <v>C3</v>
      </c>
      <c r="N309" s="10" t="str">
        <f t="shared" si="30"/>
        <v>C59</v>
      </c>
      <c r="O309" s="5">
        <f t="shared" si="34"/>
        <v>7.7434434276772128</v>
      </c>
      <c r="P309" s="22">
        <f>O309/Explications!$C$8</f>
        <v>0.25811478092257378</v>
      </c>
      <c r="Q309" s="7" t="str">
        <f t="shared" si="31"/>
        <v>C59</v>
      </c>
      <c r="R309" s="7" t="str">
        <f t="shared" si="32"/>
        <v>C3</v>
      </c>
      <c r="S309" s="18">
        <f t="shared" si="33"/>
        <v>7.7434434276772128</v>
      </c>
      <c r="T309" s="18">
        <f>S309/Explications!$C$8</f>
        <v>0.25811478092257378</v>
      </c>
    </row>
    <row r="310" spans="7:20">
      <c r="G310" s="10" t="s">
        <v>17</v>
      </c>
      <c r="H310" s="10" t="s">
        <v>76</v>
      </c>
      <c r="I310" s="10">
        <v>46.876800000000003</v>
      </c>
      <c r="J310" s="10">
        <v>-71.270899999999997</v>
      </c>
      <c r="K310" s="10">
        <v>46.772500000000001</v>
      </c>
      <c r="L310" s="10">
        <v>-71.276300000000006</v>
      </c>
      <c r="M310" s="10" t="str">
        <f t="shared" si="29"/>
        <v>C3</v>
      </c>
      <c r="N310" s="10" t="str">
        <f t="shared" si="30"/>
        <v>C60</v>
      </c>
      <c r="O310" s="5">
        <f t="shared" si="34"/>
        <v>11.604905799337775</v>
      </c>
      <c r="P310" s="22">
        <f>O310/Explications!$C$8</f>
        <v>0.38683019331125917</v>
      </c>
      <c r="Q310" s="7" t="str">
        <f t="shared" si="31"/>
        <v>C60</v>
      </c>
      <c r="R310" s="7" t="str">
        <f t="shared" si="32"/>
        <v>C3</v>
      </c>
      <c r="S310" s="18">
        <f t="shared" si="33"/>
        <v>11.604905799337775</v>
      </c>
      <c r="T310" s="18">
        <f>S310/Explications!$C$8</f>
        <v>0.38683019331125917</v>
      </c>
    </row>
    <row r="311" spans="7:20">
      <c r="G311" s="10" t="s">
        <v>17</v>
      </c>
      <c r="H311" s="10" t="s">
        <v>77</v>
      </c>
      <c r="I311" s="10">
        <v>46.876800000000003</v>
      </c>
      <c r="J311" s="10">
        <v>-71.270899999999997</v>
      </c>
      <c r="K311" s="10">
        <v>46.810899999999997</v>
      </c>
      <c r="L311" s="10">
        <v>-71.215599999999995</v>
      </c>
      <c r="M311" s="10" t="str">
        <f t="shared" si="29"/>
        <v>C3</v>
      </c>
      <c r="N311" s="10" t="str">
        <f t="shared" si="30"/>
        <v>C61</v>
      </c>
      <c r="O311" s="5">
        <f t="shared" si="34"/>
        <v>8.4489919542989647</v>
      </c>
      <c r="P311" s="22">
        <f>O311/Explications!$C$8</f>
        <v>0.28163306514329883</v>
      </c>
      <c r="Q311" s="7" t="str">
        <f t="shared" si="31"/>
        <v>C61</v>
      </c>
      <c r="R311" s="7" t="str">
        <f t="shared" si="32"/>
        <v>C3</v>
      </c>
      <c r="S311" s="18">
        <f t="shared" si="33"/>
        <v>8.4489919542989647</v>
      </c>
      <c r="T311" s="18">
        <f>S311/Explications!$C$8</f>
        <v>0.28163306514329883</v>
      </c>
    </row>
    <row r="312" spans="7:20">
      <c r="G312" s="10" t="s">
        <v>17</v>
      </c>
      <c r="H312" s="10" t="s">
        <v>78</v>
      </c>
      <c r="I312" s="10">
        <v>46.876800000000003</v>
      </c>
      <c r="J312" s="10">
        <v>-71.270899999999997</v>
      </c>
      <c r="K312" s="10">
        <v>46.795200000000001</v>
      </c>
      <c r="L312" s="10">
        <v>-71.245099999999994</v>
      </c>
      <c r="M312" s="10" t="str">
        <f t="shared" si="29"/>
        <v>C3</v>
      </c>
      <c r="N312" s="10" t="str">
        <f t="shared" si="30"/>
        <v>C62</v>
      </c>
      <c r="O312" s="5">
        <f t="shared" si="34"/>
        <v>9.2833210270106719</v>
      </c>
      <c r="P312" s="22">
        <f>O312/Explications!$C$8</f>
        <v>0.30944403423368905</v>
      </c>
      <c r="Q312" s="7" t="str">
        <f t="shared" si="31"/>
        <v>C62</v>
      </c>
      <c r="R312" s="7" t="str">
        <f t="shared" si="32"/>
        <v>C3</v>
      </c>
      <c r="S312" s="18">
        <f t="shared" si="33"/>
        <v>9.2833210270106719</v>
      </c>
      <c r="T312" s="18">
        <f>S312/Explications!$C$8</f>
        <v>0.30944403423368905</v>
      </c>
    </row>
    <row r="313" spans="7:20">
      <c r="G313" s="10" t="s">
        <v>17</v>
      </c>
      <c r="H313" s="10" t="s">
        <v>79</v>
      </c>
      <c r="I313" s="10">
        <v>46.876800000000003</v>
      </c>
      <c r="J313" s="10">
        <v>-71.270899999999997</v>
      </c>
      <c r="K313" s="10">
        <v>46.822000000000003</v>
      </c>
      <c r="L313" s="10">
        <v>-71.345699999999994</v>
      </c>
      <c r="M313" s="10" t="str">
        <f t="shared" si="29"/>
        <v>C3</v>
      </c>
      <c r="N313" s="10" t="str">
        <f t="shared" si="30"/>
        <v>C63</v>
      </c>
      <c r="O313" s="5">
        <f t="shared" si="34"/>
        <v>8.3359766737653231</v>
      </c>
      <c r="P313" s="22">
        <f>O313/Explications!$C$8</f>
        <v>0.27786588912551075</v>
      </c>
      <c r="Q313" s="7" t="str">
        <f t="shared" si="31"/>
        <v>C63</v>
      </c>
      <c r="R313" s="7" t="str">
        <f t="shared" si="32"/>
        <v>C3</v>
      </c>
      <c r="S313" s="18">
        <f t="shared" si="33"/>
        <v>8.3359766737653231</v>
      </c>
      <c r="T313" s="18">
        <f>S313/Explications!$C$8</f>
        <v>0.27786588912551075</v>
      </c>
    </row>
    <row r="314" spans="7:20">
      <c r="G314" s="10" t="s">
        <v>17</v>
      </c>
      <c r="H314" s="10" t="s">
        <v>80</v>
      </c>
      <c r="I314" s="10">
        <v>46.876800000000003</v>
      </c>
      <c r="J314" s="10">
        <v>-71.270899999999997</v>
      </c>
      <c r="K314" s="10">
        <v>46.779400000000003</v>
      </c>
      <c r="L314" s="10">
        <v>-71.350399999999993</v>
      </c>
      <c r="M314" s="10" t="str">
        <f t="shared" si="29"/>
        <v>C3</v>
      </c>
      <c r="N314" s="10" t="str">
        <f t="shared" si="30"/>
        <v>C64</v>
      </c>
      <c r="O314" s="5">
        <f t="shared" si="34"/>
        <v>12.40477078021277</v>
      </c>
      <c r="P314" s="22">
        <f>O314/Explications!$C$8</f>
        <v>0.41349235934042566</v>
      </c>
      <c r="Q314" s="7" t="str">
        <f t="shared" si="31"/>
        <v>C64</v>
      </c>
      <c r="R314" s="7" t="str">
        <f t="shared" si="32"/>
        <v>C3</v>
      </c>
      <c r="S314" s="18">
        <f t="shared" si="33"/>
        <v>12.40477078021277</v>
      </c>
      <c r="T314" s="18">
        <f>S314/Explications!$C$8</f>
        <v>0.41349235934042566</v>
      </c>
    </row>
    <row r="315" spans="7:20">
      <c r="G315" s="10" t="s">
        <v>17</v>
      </c>
      <c r="H315" s="10" t="s">
        <v>81</v>
      </c>
      <c r="I315" s="10">
        <v>46.876800000000003</v>
      </c>
      <c r="J315" s="10">
        <v>-71.270899999999997</v>
      </c>
      <c r="K315" s="10">
        <v>46.772300000000001</v>
      </c>
      <c r="L315" s="10">
        <v>-71.279799999999994</v>
      </c>
      <c r="M315" s="10" t="str">
        <f t="shared" si="29"/>
        <v>C3</v>
      </c>
      <c r="N315" s="10" t="str">
        <f t="shared" si="30"/>
        <v>C65</v>
      </c>
      <c r="O315" s="5">
        <f t="shared" si="34"/>
        <v>11.639583170103217</v>
      </c>
      <c r="P315" s="22">
        <f>O315/Explications!$C$8</f>
        <v>0.38798610567010722</v>
      </c>
      <c r="Q315" s="7" t="str">
        <f t="shared" si="31"/>
        <v>C65</v>
      </c>
      <c r="R315" s="7" t="str">
        <f t="shared" si="32"/>
        <v>C3</v>
      </c>
      <c r="S315" s="18">
        <f t="shared" si="33"/>
        <v>11.639583170103217</v>
      </c>
      <c r="T315" s="18">
        <f>S315/Explications!$C$8</f>
        <v>0.38798610567010722</v>
      </c>
    </row>
    <row r="316" spans="7:20">
      <c r="G316" s="10" t="s">
        <v>17</v>
      </c>
      <c r="H316" s="10" t="s">
        <v>82</v>
      </c>
      <c r="I316" s="10">
        <v>46.876800000000003</v>
      </c>
      <c r="J316" s="10">
        <v>-71.270899999999997</v>
      </c>
      <c r="K316" s="10">
        <v>46.814900000000002</v>
      </c>
      <c r="L316" s="10">
        <v>-71.225200000000001</v>
      </c>
      <c r="M316" s="10" t="str">
        <f t="shared" si="29"/>
        <v>C3</v>
      </c>
      <c r="N316" s="10" t="str">
        <f t="shared" si="30"/>
        <v>C66</v>
      </c>
      <c r="O316" s="5">
        <f t="shared" si="34"/>
        <v>7.7107231485272738</v>
      </c>
      <c r="P316" s="22">
        <f>O316/Explications!$C$8</f>
        <v>0.2570241049509091</v>
      </c>
      <c r="Q316" s="7" t="str">
        <f t="shared" si="31"/>
        <v>C66</v>
      </c>
      <c r="R316" s="7" t="str">
        <f t="shared" si="32"/>
        <v>C3</v>
      </c>
      <c r="S316" s="18">
        <f t="shared" si="33"/>
        <v>7.7107231485272738</v>
      </c>
      <c r="T316" s="18">
        <f>S316/Explications!$C$8</f>
        <v>0.2570241049509091</v>
      </c>
    </row>
    <row r="317" spans="7:20">
      <c r="G317" s="10" t="s">
        <v>17</v>
      </c>
      <c r="H317" s="10" t="s">
        <v>83</v>
      </c>
      <c r="I317" s="10">
        <v>46.876800000000003</v>
      </c>
      <c r="J317" s="10">
        <v>-71.270899999999997</v>
      </c>
      <c r="K317" s="10">
        <v>46.814700000000002</v>
      </c>
      <c r="L317" s="10">
        <v>-71.207300000000004</v>
      </c>
      <c r="M317" s="10" t="str">
        <f t="shared" si="29"/>
        <v>C3</v>
      </c>
      <c r="N317" s="10" t="str">
        <f t="shared" si="30"/>
        <v>C67</v>
      </c>
      <c r="O317" s="5">
        <f t="shared" si="34"/>
        <v>8.4307999197832952</v>
      </c>
      <c r="P317" s="22">
        <f>O317/Explications!$C$8</f>
        <v>0.28102666399277648</v>
      </c>
      <c r="Q317" s="7" t="str">
        <f t="shared" si="31"/>
        <v>C67</v>
      </c>
      <c r="R317" s="7" t="str">
        <f t="shared" si="32"/>
        <v>C3</v>
      </c>
      <c r="S317" s="18">
        <f t="shared" si="33"/>
        <v>8.4307999197832952</v>
      </c>
      <c r="T317" s="18">
        <f>S317/Explications!$C$8</f>
        <v>0.28102666399277648</v>
      </c>
    </row>
    <row r="318" spans="7:20">
      <c r="G318" s="10" t="s">
        <v>17</v>
      </c>
      <c r="H318" s="10" t="s">
        <v>84</v>
      </c>
      <c r="I318" s="10">
        <v>46.876800000000003</v>
      </c>
      <c r="J318" s="10">
        <v>-71.270899999999997</v>
      </c>
      <c r="K318" s="10">
        <v>46.815600000000003</v>
      </c>
      <c r="L318" s="10">
        <v>-71.2029</v>
      </c>
      <c r="M318" s="10" t="str">
        <f t="shared" si="29"/>
        <v>C3</v>
      </c>
      <c r="N318" s="10" t="str">
        <f t="shared" si="30"/>
        <v>C68</v>
      </c>
      <c r="O318" s="5">
        <f t="shared" si="34"/>
        <v>8.5472281000433785</v>
      </c>
      <c r="P318" s="22">
        <f>O318/Explications!$C$8</f>
        <v>0.28490760333477927</v>
      </c>
      <c r="Q318" s="7" t="str">
        <f t="shared" si="31"/>
        <v>C68</v>
      </c>
      <c r="R318" s="7" t="str">
        <f t="shared" si="32"/>
        <v>C3</v>
      </c>
      <c r="S318" s="18">
        <f t="shared" si="33"/>
        <v>8.5472281000433785</v>
      </c>
      <c r="T318" s="18">
        <f>S318/Explications!$C$8</f>
        <v>0.28490760333477927</v>
      </c>
    </row>
    <row r="319" spans="7:20">
      <c r="G319" s="10" t="s">
        <v>17</v>
      </c>
      <c r="H319" s="10" t="s">
        <v>85</v>
      </c>
      <c r="I319" s="10">
        <v>46.876800000000003</v>
      </c>
      <c r="J319" s="10">
        <v>-71.270899999999997</v>
      </c>
      <c r="K319" s="10">
        <v>46.821899999999999</v>
      </c>
      <c r="L319" s="10">
        <v>-71.249899999999997</v>
      </c>
      <c r="M319" s="10" t="str">
        <f t="shared" si="29"/>
        <v>C3</v>
      </c>
      <c r="N319" s="10" t="str">
        <f t="shared" si="30"/>
        <v>C69</v>
      </c>
      <c r="O319" s="5">
        <f t="shared" si="34"/>
        <v>6.3100407543452075</v>
      </c>
      <c r="P319" s="22">
        <f>O319/Explications!$C$8</f>
        <v>0.21033469181150691</v>
      </c>
      <c r="Q319" s="7" t="str">
        <f t="shared" si="31"/>
        <v>C69</v>
      </c>
      <c r="R319" s="7" t="str">
        <f t="shared" si="32"/>
        <v>C3</v>
      </c>
      <c r="S319" s="18">
        <f t="shared" si="33"/>
        <v>6.3100407543452075</v>
      </c>
      <c r="T319" s="18">
        <f>S319/Explications!$C$8</f>
        <v>0.21033469181150691</v>
      </c>
    </row>
    <row r="320" spans="7:20">
      <c r="G320" s="10" t="s">
        <v>17</v>
      </c>
      <c r="H320" s="10" t="s">
        <v>86</v>
      </c>
      <c r="I320" s="10">
        <v>46.876800000000003</v>
      </c>
      <c r="J320" s="10">
        <v>-71.270899999999997</v>
      </c>
      <c r="K320" s="10">
        <v>46.8872</v>
      </c>
      <c r="L320" s="10">
        <v>-71.27</v>
      </c>
      <c r="M320" s="10" t="str">
        <f t="shared" si="29"/>
        <v>C3</v>
      </c>
      <c r="N320" s="10" t="str">
        <f t="shared" si="30"/>
        <v>C70</v>
      </c>
      <c r="O320" s="5">
        <f t="shared" si="34"/>
        <v>1.1584484330727489</v>
      </c>
      <c r="P320" s="22">
        <f>O320/Explications!$C$8</f>
        <v>3.8614947769091627E-2</v>
      </c>
      <c r="Q320" s="7" t="str">
        <f t="shared" si="31"/>
        <v>C70</v>
      </c>
      <c r="R320" s="7" t="str">
        <f t="shared" si="32"/>
        <v>C3</v>
      </c>
      <c r="S320" s="18">
        <f t="shared" si="33"/>
        <v>1.1584484330727489</v>
      </c>
      <c r="T320" s="18">
        <f>S320/Explications!$C$8</f>
        <v>3.8614947769091627E-2</v>
      </c>
    </row>
    <row r="321" spans="7:20">
      <c r="G321" s="10" t="s">
        <v>17</v>
      </c>
      <c r="H321" s="10" t="s">
        <v>87</v>
      </c>
      <c r="I321" s="10">
        <v>46.876800000000003</v>
      </c>
      <c r="J321" s="10">
        <v>-71.270899999999997</v>
      </c>
      <c r="K321" s="10">
        <v>46.816299999999998</v>
      </c>
      <c r="L321" s="10">
        <v>-71.210300000000004</v>
      </c>
      <c r="M321" s="10" t="str">
        <f t="shared" si="29"/>
        <v>C3</v>
      </c>
      <c r="N321" s="10" t="str">
        <f t="shared" si="30"/>
        <v>C71</v>
      </c>
      <c r="O321" s="5">
        <f t="shared" si="34"/>
        <v>8.1545820788078824</v>
      </c>
      <c r="P321" s="22">
        <f>O321/Explications!$C$8</f>
        <v>0.27181940262692944</v>
      </c>
      <c r="Q321" s="7" t="str">
        <f t="shared" si="31"/>
        <v>C71</v>
      </c>
      <c r="R321" s="7" t="str">
        <f t="shared" si="32"/>
        <v>C3</v>
      </c>
      <c r="S321" s="18">
        <f t="shared" si="33"/>
        <v>8.1545820788078824</v>
      </c>
      <c r="T321" s="18">
        <f>S321/Explications!$C$8</f>
        <v>0.27181940262692944</v>
      </c>
    </row>
    <row r="322" spans="7:20">
      <c r="G322" s="10" t="s">
        <v>17</v>
      </c>
      <c r="H322" s="10" t="s">
        <v>88</v>
      </c>
      <c r="I322" s="10">
        <v>46.876800000000003</v>
      </c>
      <c r="J322" s="10">
        <v>-71.270899999999997</v>
      </c>
      <c r="K322" s="10">
        <v>46.807000000000002</v>
      </c>
      <c r="L322" s="10">
        <v>-71.3566</v>
      </c>
      <c r="M322" s="10" t="str">
        <f t="shared" si="29"/>
        <v>C3</v>
      </c>
      <c r="N322" s="10" t="str">
        <f t="shared" si="30"/>
        <v>C72</v>
      </c>
      <c r="O322" s="5">
        <f t="shared" si="34"/>
        <v>10.135428534802704</v>
      </c>
      <c r="P322" s="22">
        <f>O322/Explications!$C$8</f>
        <v>0.33784761782675682</v>
      </c>
      <c r="Q322" s="7" t="str">
        <f t="shared" si="31"/>
        <v>C72</v>
      </c>
      <c r="R322" s="7" t="str">
        <f t="shared" si="32"/>
        <v>C3</v>
      </c>
      <c r="S322" s="18">
        <f t="shared" si="33"/>
        <v>10.135428534802704</v>
      </c>
      <c r="T322" s="18">
        <f>S322/Explications!$C$8</f>
        <v>0.33784761782675682</v>
      </c>
    </row>
    <row r="323" spans="7:20">
      <c r="G323" s="10" t="s">
        <v>17</v>
      </c>
      <c r="H323" s="10" t="s">
        <v>89</v>
      </c>
      <c r="I323" s="10">
        <v>46.876800000000003</v>
      </c>
      <c r="J323" s="10">
        <v>-71.270899999999997</v>
      </c>
      <c r="K323" s="10">
        <v>46.822899999999997</v>
      </c>
      <c r="L323" s="10">
        <v>-71.341899999999995</v>
      </c>
      <c r="M323" s="10" t="str">
        <f t="shared" si="29"/>
        <v>C3</v>
      </c>
      <c r="N323" s="10" t="str">
        <f t="shared" si="30"/>
        <v>C73</v>
      </c>
      <c r="O323" s="5">
        <f t="shared" si="34"/>
        <v>8.0668593777757138</v>
      </c>
      <c r="P323" s="22">
        <f>O323/Explications!$C$8</f>
        <v>0.26889531259252381</v>
      </c>
      <c r="Q323" s="7" t="str">
        <f t="shared" si="31"/>
        <v>C73</v>
      </c>
      <c r="R323" s="7" t="str">
        <f t="shared" si="32"/>
        <v>C3</v>
      </c>
      <c r="S323" s="18">
        <f t="shared" si="33"/>
        <v>8.0668593777757138</v>
      </c>
      <c r="T323" s="18">
        <f>S323/Explications!$C$8</f>
        <v>0.26889531259252381</v>
      </c>
    </row>
    <row r="324" spans="7:20">
      <c r="G324" s="10" t="s">
        <v>17</v>
      </c>
      <c r="H324" s="10" t="s">
        <v>90</v>
      </c>
      <c r="I324" s="10">
        <v>46.876800000000003</v>
      </c>
      <c r="J324" s="10">
        <v>-71.270899999999997</v>
      </c>
      <c r="K324" s="10">
        <v>46.730699999999999</v>
      </c>
      <c r="L324" s="10">
        <v>-71.261099999999999</v>
      </c>
      <c r="M324" s="10" t="str">
        <f t="shared" ref="M324:M387" si="35">G324</f>
        <v>C3</v>
      </c>
      <c r="N324" s="10" t="str">
        <f t="shared" ref="N324:N387" si="36">H324</f>
        <v>C74</v>
      </c>
      <c r="O324" s="5">
        <f t="shared" si="34"/>
        <v>16.262693641036691</v>
      </c>
      <c r="P324" s="22">
        <f>O324/Explications!$C$8</f>
        <v>0.54208978803455632</v>
      </c>
      <c r="Q324" s="7" t="str">
        <f t="shared" ref="Q324:Q387" si="37">N324</f>
        <v>C74</v>
      </c>
      <c r="R324" s="7" t="str">
        <f t="shared" ref="R324:R387" si="38">M324</f>
        <v>C3</v>
      </c>
      <c r="S324" s="18">
        <f t="shared" ref="S324:S387" si="39">O324</f>
        <v>16.262693641036691</v>
      </c>
      <c r="T324" s="18">
        <f>S324/Explications!$C$8</f>
        <v>0.54208978803455632</v>
      </c>
    </row>
    <row r="325" spans="7:20">
      <c r="G325" s="10" t="s">
        <v>17</v>
      </c>
      <c r="H325" s="10" t="s">
        <v>91</v>
      </c>
      <c r="I325" s="10">
        <v>46.876800000000003</v>
      </c>
      <c r="J325" s="10">
        <v>-71.270899999999997</v>
      </c>
      <c r="K325" s="10">
        <v>46.840600000000002</v>
      </c>
      <c r="L325" s="10">
        <v>-71.289100000000005</v>
      </c>
      <c r="M325" s="10" t="str">
        <f t="shared" si="35"/>
        <v>C3</v>
      </c>
      <c r="N325" s="10" t="str">
        <f t="shared" si="36"/>
        <v>C75</v>
      </c>
      <c r="O325" s="5">
        <f t="shared" si="34"/>
        <v>4.2564888432740045</v>
      </c>
      <c r="P325" s="22">
        <f>O325/Explications!$C$8</f>
        <v>0.14188296144246682</v>
      </c>
      <c r="Q325" s="7" t="str">
        <f t="shared" si="37"/>
        <v>C75</v>
      </c>
      <c r="R325" s="7" t="str">
        <f t="shared" si="38"/>
        <v>C3</v>
      </c>
      <c r="S325" s="18">
        <f t="shared" si="39"/>
        <v>4.2564888432740045</v>
      </c>
      <c r="T325" s="18">
        <f>S325/Explications!$C$8</f>
        <v>0.14188296144246682</v>
      </c>
    </row>
    <row r="326" spans="7:20">
      <c r="G326" s="10" t="s">
        <v>17</v>
      </c>
      <c r="H326" s="10" t="s">
        <v>92</v>
      </c>
      <c r="I326" s="10">
        <v>46.876800000000003</v>
      </c>
      <c r="J326" s="10">
        <v>-71.270899999999997</v>
      </c>
      <c r="K326" s="10">
        <v>46.840600000000002</v>
      </c>
      <c r="L326" s="10">
        <v>-71.281599999999997</v>
      </c>
      <c r="M326" s="10" t="str">
        <f t="shared" si="35"/>
        <v>C3</v>
      </c>
      <c r="N326" s="10" t="str">
        <f t="shared" si="36"/>
        <v>C76</v>
      </c>
      <c r="O326" s="5">
        <f t="shared" si="34"/>
        <v>4.1066523377948982</v>
      </c>
      <c r="P326" s="22">
        <f>O326/Explications!$C$8</f>
        <v>0.13688841125982995</v>
      </c>
      <c r="Q326" s="7" t="str">
        <f t="shared" si="37"/>
        <v>C76</v>
      </c>
      <c r="R326" s="7" t="str">
        <f t="shared" si="38"/>
        <v>C3</v>
      </c>
      <c r="S326" s="18">
        <f t="shared" si="39"/>
        <v>4.1066523377948982</v>
      </c>
      <c r="T326" s="18">
        <f>S326/Explications!$C$8</f>
        <v>0.13688841125982995</v>
      </c>
    </row>
    <row r="327" spans="7:20">
      <c r="G327" s="10" t="s">
        <v>17</v>
      </c>
      <c r="H327" s="10" t="s">
        <v>93</v>
      </c>
      <c r="I327" s="10">
        <v>46.876800000000003</v>
      </c>
      <c r="J327" s="10">
        <v>-71.270899999999997</v>
      </c>
      <c r="K327" s="10">
        <v>46.839399999999998</v>
      </c>
      <c r="L327" s="10">
        <v>-71.282600000000002</v>
      </c>
      <c r="M327" s="10" t="str">
        <f t="shared" si="35"/>
        <v>C3</v>
      </c>
      <c r="N327" s="10" t="str">
        <f t="shared" si="36"/>
        <v>C77</v>
      </c>
      <c r="O327" s="5">
        <f t="shared" si="34"/>
        <v>4.2527789704134502</v>
      </c>
      <c r="P327" s="22">
        <f>O327/Explications!$C$8</f>
        <v>0.14175929901378168</v>
      </c>
      <c r="Q327" s="7" t="str">
        <f t="shared" si="37"/>
        <v>C77</v>
      </c>
      <c r="R327" s="7" t="str">
        <f t="shared" si="38"/>
        <v>C3</v>
      </c>
      <c r="S327" s="18">
        <f t="shared" si="39"/>
        <v>4.2527789704134502</v>
      </c>
      <c r="T327" s="18">
        <f>S327/Explications!$C$8</f>
        <v>0.14175929901378168</v>
      </c>
    </row>
    <row r="328" spans="7:20">
      <c r="G328" s="10" t="s">
        <v>17</v>
      </c>
      <c r="H328" s="10" t="s">
        <v>94</v>
      </c>
      <c r="I328" s="10">
        <v>46.876800000000003</v>
      </c>
      <c r="J328" s="10">
        <v>-71.270899999999997</v>
      </c>
      <c r="K328" s="10">
        <v>46.788499999999999</v>
      </c>
      <c r="L328" s="10">
        <v>-71.282399999999996</v>
      </c>
      <c r="M328" s="10" t="str">
        <f t="shared" si="35"/>
        <v>C3</v>
      </c>
      <c r="N328" s="10" t="str">
        <f t="shared" si="36"/>
        <v>C78</v>
      </c>
      <c r="O328" s="5">
        <f t="shared" si="34"/>
        <v>9.8574084295207971</v>
      </c>
      <c r="P328" s="22">
        <f>O328/Explications!$C$8</f>
        <v>0.32858028098402658</v>
      </c>
      <c r="Q328" s="7" t="str">
        <f t="shared" si="37"/>
        <v>C78</v>
      </c>
      <c r="R328" s="7" t="str">
        <f t="shared" si="38"/>
        <v>C3</v>
      </c>
      <c r="S328" s="18">
        <f t="shared" si="39"/>
        <v>9.8574084295207971</v>
      </c>
      <c r="T328" s="18">
        <f>S328/Explications!$C$8</f>
        <v>0.32858028098402658</v>
      </c>
    </row>
    <row r="329" spans="7:20">
      <c r="G329" s="10" t="s">
        <v>17</v>
      </c>
      <c r="H329" s="10" t="s">
        <v>95</v>
      </c>
      <c r="I329" s="10">
        <v>46.876800000000003</v>
      </c>
      <c r="J329" s="10">
        <v>-71.270899999999997</v>
      </c>
      <c r="K329" s="10">
        <v>46.840699999999998</v>
      </c>
      <c r="L329" s="10">
        <v>-71.325400000000002</v>
      </c>
      <c r="M329" s="10" t="str">
        <f t="shared" si="35"/>
        <v>C3</v>
      </c>
      <c r="N329" s="10" t="str">
        <f t="shared" si="36"/>
        <v>C79</v>
      </c>
      <c r="O329" s="5">
        <f t="shared" si="34"/>
        <v>5.7693383924307025</v>
      </c>
      <c r="P329" s="22">
        <f>O329/Explications!$C$8</f>
        <v>0.19231127974769008</v>
      </c>
      <c r="Q329" s="7" t="str">
        <f t="shared" si="37"/>
        <v>C79</v>
      </c>
      <c r="R329" s="7" t="str">
        <f t="shared" si="38"/>
        <v>C3</v>
      </c>
      <c r="S329" s="18">
        <f t="shared" si="39"/>
        <v>5.7693383924307025</v>
      </c>
      <c r="T329" s="18">
        <f>S329/Explications!$C$8</f>
        <v>0.19231127974769008</v>
      </c>
    </row>
    <row r="330" spans="7:20">
      <c r="G330" s="10" t="s">
        <v>17</v>
      </c>
      <c r="H330" s="10" t="s">
        <v>96</v>
      </c>
      <c r="I330" s="10">
        <v>46.876800000000003</v>
      </c>
      <c r="J330" s="10">
        <v>-71.270899999999997</v>
      </c>
      <c r="K330" s="10">
        <v>46.798400000000001</v>
      </c>
      <c r="L330" s="10">
        <v>-71.183199999999999</v>
      </c>
      <c r="M330" s="10" t="str">
        <f t="shared" si="35"/>
        <v>C3</v>
      </c>
      <c r="N330" s="10" t="str">
        <f t="shared" si="36"/>
        <v>C80</v>
      </c>
      <c r="O330" s="5">
        <f t="shared" si="34"/>
        <v>10.977194983653959</v>
      </c>
      <c r="P330" s="22">
        <f>O330/Explications!$C$8</f>
        <v>0.36590649945513198</v>
      </c>
      <c r="Q330" s="7" t="str">
        <f t="shared" si="37"/>
        <v>C80</v>
      </c>
      <c r="R330" s="7" t="str">
        <f t="shared" si="38"/>
        <v>C3</v>
      </c>
      <c r="S330" s="18">
        <f t="shared" si="39"/>
        <v>10.977194983653959</v>
      </c>
      <c r="T330" s="18">
        <f>S330/Explications!$C$8</f>
        <v>0.36590649945513198</v>
      </c>
    </row>
    <row r="331" spans="7:20">
      <c r="G331" s="10" t="s">
        <v>17</v>
      </c>
      <c r="H331" s="10" t="s">
        <v>97</v>
      </c>
      <c r="I331" s="10">
        <v>46.876800000000003</v>
      </c>
      <c r="J331" s="10">
        <v>-71.270899999999997</v>
      </c>
      <c r="K331" s="10">
        <v>46.724800000000002</v>
      </c>
      <c r="L331" s="10">
        <v>-71.2988</v>
      </c>
      <c r="M331" s="10" t="str">
        <f t="shared" si="35"/>
        <v>C3</v>
      </c>
      <c r="N331" s="10" t="str">
        <f t="shared" si="36"/>
        <v>C81</v>
      </c>
      <c r="O331" s="5">
        <f t="shared" si="34"/>
        <v>17.034523771264134</v>
      </c>
      <c r="P331" s="22">
        <f>O331/Explications!$C$8</f>
        <v>0.56781745904213776</v>
      </c>
      <c r="Q331" s="7" t="str">
        <f t="shared" si="37"/>
        <v>C81</v>
      </c>
      <c r="R331" s="7" t="str">
        <f t="shared" si="38"/>
        <v>C3</v>
      </c>
      <c r="S331" s="18">
        <f t="shared" si="39"/>
        <v>17.034523771264134</v>
      </c>
      <c r="T331" s="18">
        <f>S331/Explications!$C$8</f>
        <v>0.56781745904213776</v>
      </c>
    </row>
    <row r="332" spans="7:20">
      <c r="G332" s="10" t="s">
        <v>17</v>
      </c>
      <c r="H332" s="10" t="s">
        <v>98</v>
      </c>
      <c r="I332" s="10">
        <v>46.876800000000003</v>
      </c>
      <c r="J332" s="10">
        <v>-71.270899999999997</v>
      </c>
      <c r="K332" s="10">
        <v>46.795499999999997</v>
      </c>
      <c r="L332" s="10">
        <v>-71.242900000000006</v>
      </c>
      <c r="M332" s="10" t="str">
        <f t="shared" si="35"/>
        <v>C3</v>
      </c>
      <c r="N332" s="10" t="str">
        <f t="shared" si="36"/>
        <v>C82</v>
      </c>
      <c r="O332" s="5">
        <f t="shared" si="34"/>
        <v>9.2876604582711639</v>
      </c>
      <c r="P332" s="22">
        <f>O332/Explications!$C$8</f>
        <v>0.30958868194237216</v>
      </c>
      <c r="Q332" s="7" t="str">
        <f t="shared" si="37"/>
        <v>C82</v>
      </c>
      <c r="R332" s="7" t="str">
        <f t="shared" si="38"/>
        <v>C3</v>
      </c>
      <c r="S332" s="18">
        <f t="shared" si="39"/>
        <v>9.2876604582711639</v>
      </c>
      <c r="T332" s="18">
        <f>S332/Explications!$C$8</f>
        <v>0.30958868194237216</v>
      </c>
    </row>
    <row r="333" spans="7:20">
      <c r="G333" s="10" t="s">
        <v>17</v>
      </c>
      <c r="H333" s="10" t="s">
        <v>99</v>
      </c>
      <c r="I333" s="10">
        <v>46.876800000000003</v>
      </c>
      <c r="J333" s="10">
        <v>-71.270899999999997</v>
      </c>
      <c r="K333" s="10">
        <v>46.8157</v>
      </c>
      <c r="L333" s="10">
        <v>-71.201899999999995</v>
      </c>
      <c r="M333" s="10" t="str">
        <f t="shared" si="35"/>
        <v>C3</v>
      </c>
      <c r="N333" s="10" t="str">
        <f t="shared" si="36"/>
        <v>C83</v>
      </c>
      <c r="O333" s="5">
        <f t="shared" si="34"/>
        <v>8.5846521467811421</v>
      </c>
      <c r="P333" s="22">
        <f>O333/Explications!$C$8</f>
        <v>0.28615507155937142</v>
      </c>
      <c r="Q333" s="7" t="str">
        <f t="shared" si="37"/>
        <v>C83</v>
      </c>
      <c r="R333" s="7" t="str">
        <f t="shared" si="38"/>
        <v>C3</v>
      </c>
      <c r="S333" s="18">
        <f t="shared" si="39"/>
        <v>8.5846521467811421</v>
      </c>
      <c r="T333" s="18">
        <f>S333/Explications!$C$8</f>
        <v>0.28615507155937142</v>
      </c>
    </row>
    <row r="334" spans="7:20">
      <c r="G334" s="10" t="s">
        <v>17</v>
      </c>
      <c r="H334" s="10" t="s">
        <v>100</v>
      </c>
      <c r="I334" s="10">
        <v>46.876800000000003</v>
      </c>
      <c r="J334" s="10">
        <v>-71.270899999999997</v>
      </c>
      <c r="K334" s="10">
        <v>46.837600000000002</v>
      </c>
      <c r="L334" s="10">
        <v>-71.196299999999994</v>
      </c>
      <c r="M334" s="10" t="str">
        <f t="shared" si="35"/>
        <v>C3</v>
      </c>
      <c r="N334" s="10" t="str">
        <f t="shared" si="36"/>
        <v>C84</v>
      </c>
      <c r="O334" s="5">
        <f t="shared" si="34"/>
        <v>7.1536935837326601</v>
      </c>
      <c r="P334" s="22">
        <f>O334/Explications!$C$8</f>
        <v>0.23845645279108868</v>
      </c>
      <c r="Q334" s="7" t="str">
        <f t="shared" si="37"/>
        <v>C84</v>
      </c>
      <c r="R334" s="7" t="str">
        <f t="shared" si="38"/>
        <v>C3</v>
      </c>
      <c r="S334" s="18">
        <f t="shared" si="39"/>
        <v>7.1536935837326601</v>
      </c>
      <c r="T334" s="18">
        <f>S334/Explications!$C$8</f>
        <v>0.23845645279108868</v>
      </c>
    </row>
    <row r="335" spans="7:20">
      <c r="G335" s="10" t="s">
        <v>17</v>
      </c>
      <c r="H335" s="10" t="s">
        <v>101</v>
      </c>
      <c r="I335" s="10">
        <v>46.876800000000003</v>
      </c>
      <c r="J335" s="10">
        <v>-71.270899999999997</v>
      </c>
      <c r="K335" s="10">
        <v>46.7988</v>
      </c>
      <c r="L335" s="10">
        <v>-71.318200000000004</v>
      </c>
      <c r="M335" s="10" t="str">
        <f t="shared" si="35"/>
        <v>C3</v>
      </c>
      <c r="N335" s="10" t="str">
        <f t="shared" si="36"/>
        <v>C85</v>
      </c>
      <c r="O335" s="5">
        <f t="shared" si="34"/>
        <v>9.389837729440508</v>
      </c>
      <c r="P335" s="22">
        <f>O335/Explications!$C$8</f>
        <v>0.31299459098135024</v>
      </c>
      <c r="Q335" s="7" t="str">
        <f t="shared" si="37"/>
        <v>C85</v>
      </c>
      <c r="R335" s="7" t="str">
        <f t="shared" si="38"/>
        <v>C3</v>
      </c>
      <c r="S335" s="18">
        <f t="shared" si="39"/>
        <v>9.389837729440508</v>
      </c>
      <c r="T335" s="18">
        <f>S335/Explications!$C$8</f>
        <v>0.31299459098135024</v>
      </c>
    </row>
    <row r="336" spans="7:20">
      <c r="G336" s="10" t="s">
        <v>18</v>
      </c>
      <c r="H336" s="10" t="s">
        <v>20</v>
      </c>
      <c r="I336" s="10">
        <v>46.908700000000003</v>
      </c>
      <c r="J336" s="10">
        <v>-71.373099999999994</v>
      </c>
      <c r="K336" s="10">
        <v>46.827500000000001</v>
      </c>
      <c r="L336" s="10">
        <v>-71.367199999999997</v>
      </c>
      <c r="M336" s="10" t="str">
        <f t="shared" si="35"/>
        <v>C4</v>
      </c>
      <c r="N336" s="10" t="str">
        <f t="shared" si="36"/>
        <v>C5</v>
      </c>
      <c r="O336" s="5">
        <f t="shared" si="34"/>
        <v>9.0401617804640484</v>
      </c>
      <c r="P336" s="22">
        <f>O336/Explications!$C$8</f>
        <v>0.30133872601546829</v>
      </c>
      <c r="Q336" s="7" t="str">
        <f t="shared" si="37"/>
        <v>C5</v>
      </c>
      <c r="R336" s="7" t="str">
        <f t="shared" si="38"/>
        <v>C4</v>
      </c>
      <c r="S336" s="18">
        <f t="shared" si="39"/>
        <v>9.0401617804640484</v>
      </c>
      <c r="T336" s="18">
        <f>S336/Explications!$C$8</f>
        <v>0.30133872601546829</v>
      </c>
    </row>
    <row r="337" spans="7:20">
      <c r="G337" s="10" t="s">
        <v>18</v>
      </c>
      <c r="H337" s="10" t="s">
        <v>21</v>
      </c>
      <c r="I337" s="10">
        <v>46.908700000000003</v>
      </c>
      <c r="J337" s="10">
        <v>-71.373099999999994</v>
      </c>
      <c r="K337" s="10">
        <v>46.8018</v>
      </c>
      <c r="L337" s="10">
        <v>-71.243099999999998</v>
      </c>
      <c r="M337" s="10" t="str">
        <f t="shared" si="35"/>
        <v>C4</v>
      </c>
      <c r="N337" s="10" t="str">
        <f t="shared" si="36"/>
        <v>C6</v>
      </c>
      <c r="O337" s="5">
        <f t="shared" si="34"/>
        <v>15.459996037785224</v>
      </c>
      <c r="P337" s="22">
        <f>O337/Explications!$C$8</f>
        <v>0.51533320125950743</v>
      </c>
      <c r="Q337" s="7" t="str">
        <f t="shared" si="37"/>
        <v>C6</v>
      </c>
      <c r="R337" s="7" t="str">
        <f t="shared" si="38"/>
        <v>C4</v>
      </c>
      <c r="S337" s="18">
        <f t="shared" si="39"/>
        <v>15.459996037785224</v>
      </c>
      <c r="T337" s="18">
        <f>S337/Explications!$C$8</f>
        <v>0.51533320125950743</v>
      </c>
    </row>
    <row r="338" spans="7:20">
      <c r="G338" s="10" t="s">
        <v>18</v>
      </c>
      <c r="H338" s="10" t="s">
        <v>23</v>
      </c>
      <c r="I338" s="10">
        <v>46.908700000000003</v>
      </c>
      <c r="J338" s="10">
        <v>-71.373099999999994</v>
      </c>
      <c r="K338" s="10">
        <v>46.794699999999999</v>
      </c>
      <c r="L338" s="10">
        <v>-71.254199999999997</v>
      </c>
      <c r="M338" s="10" t="str">
        <f t="shared" si="35"/>
        <v>C4</v>
      </c>
      <c r="N338" s="10" t="str">
        <f t="shared" si="36"/>
        <v>C7</v>
      </c>
      <c r="O338" s="5">
        <f t="shared" si="34"/>
        <v>15.570475189125252</v>
      </c>
      <c r="P338" s="22">
        <f>O338/Explications!$C$8</f>
        <v>0.51901583963750841</v>
      </c>
      <c r="Q338" s="7" t="str">
        <f t="shared" si="37"/>
        <v>C7</v>
      </c>
      <c r="R338" s="7" t="str">
        <f t="shared" si="38"/>
        <v>C4</v>
      </c>
      <c r="S338" s="18">
        <f t="shared" si="39"/>
        <v>15.570475189125252</v>
      </c>
      <c r="T338" s="18">
        <f>S338/Explications!$C$8</f>
        <v>0.51901583963750841</v>
      </c>
    </row>
    <row r="339" spans="7:20">
      <c r="G339" s="10" t="s">
        <v>18</v>
      </c>
      <c r="H339" s="10" t="s">
        <v>24</v>
      </c>
      <c r="I339" s="10">
        <v>46.908700000000003</v>
      </c>
      <c r="J339" s="10">
        <v>-71.373099999999994</v>
      </c>
      <c r="K339" s="10">
        <v>46.741</v>
      </c>
      <c r="L339" s="10">
        <v>-71.385499999999993</v>
      </c>
      <c r="M339" s="10" t="str">
        <f t="shared" si="35"/>
        <v>C4</v>
      </c>
      <c r="N339" s="10" t="str">
        <f t="shared" si="36"/>
        <v>C8</v>
      </c>
      <c r="O339" s="5">
        <f t="shared" si="34"/>
        <v>18.671239375722312</v>
      </c>
      <c r="P339" s="22">
        <f>O339/Explications!$C$8</f>
        <v>0.62237464585741042</v>
      </c>
      <c r="Q339" s="7" t="str">
        <f t="shared" si="37"/>
        <v>C8</v>
      </c>
      <c r="R339" s="7" t="str">
        <f t="shared" si="38"/>
        <v>C4</v>
      </c>
      <c r="S339" s="18">
        <f t="shared" si="39"/>
        <v>18.671239375722312</v>
      </c>
      <c r="T339" s="18">
        <f>S339/Explications!$C$8</f>
        <v>0.62237464585741042</v>
      </c>
    </row>
    <row r="340" spans="7:20">
      <c r="G340" s="10" t="s">
        <v>18</v>
      </c>
      <c r="H340" s="10" t="s">
        <v>25</v>
      </c>
      <c r="I340" s="10">
        <v>46.908700000000003</v>
      </c>
      <c r="J340" s="10">
        <v>-71.373099999999994</v>
      </c>
      <c r="K340" s="10">
        <v>46.839399999999998</v>
      </c>
      <c r="L340" s="10">
        <v>-71.282700000000006</v>
      </c>
      <c r="M340" s="10" t="str">
        <f t="shared" si="35"/>
        <v>C4</v>
      </c>
      <c r="N340" s="10" t="str">
        <f t="shared" si="36"/>
        <v>C9</v>
      </c>
      <c r="O340" s="5">
        <f t="shared" si="34"/>
        <v>10.324651214416152</v>
      </c>
      <c r="P340" s="22">
        <f>O340/Explications!$C$8</f>
        <v>0.34415504048053841</v>
      </c>
      <c r="Q340" s="7" t="str">
        <f t="shared" si="37"/>
        <v>C9</v>
      </c>
      <c r="R340" s="7" t="str">
        <f t="shared" si="38"/>
        <v>C4</v>
      </c>
      <c r="S340" s="18">
        <f t="shared" si="39"/>
        <v>10.324651214416152</v>
      </c>
      <c r="T340" s="18">
        <f>S340/Explications!$C$8</f>
        <v>0.34415504048053841</v>
      </c>
    </row>
    <row r="341" spans="7:20">
      <c r="G341" s="10" t="s">
        <v>18</v>
      </c>
      <c r="H341" s="10" t="s">
        <v>26</v>
      </c>
      <c r="I341" s="10">
        <v>46.908700000000003</v>
      </c>
      <c r="J341" s="10">
        <v>-71.373099999999994</v>
      </c>
      <c r="K341" s="10">
        <v>46.860799999999998</v>
      </c>
      <c r="L341" s="10">
        <v>-71.217699999999994</v>
      </c>
      <c r="M341" s="10" t="str">
        <f t="shared" si="35"/>
        <v>C4</v>
      </c>
      <c r="N341" s="10" t="str">
        <f t="shared" si="36"/>
        <v>C10</v>
      </c>
      <c r="O341" s="5">
        <f t="shared" si="34"/>
        <v>12.955601194711939</v>
      </c>
      <c r="P341" s="22">
        <f>O341/Explications!$C$8</f>
        <v>0.43185337315706462</v>
      </c>
      <c r="Q341" s="7" t="str">
        <f t="shared" si="37"/>
        <v>C10</v>
      </c>
      <c r="R341" s="7" t="str">
        <f t="shared" si="38"/>
        <v>C4</v>
      </c>
      <c r="S341" s="18">
        <f t="shared" si="39"/>
        <v>12.955601194711939</v>
      </c>
      <c r="T341" s="18">
        <f>S341/Explications!$C$8</f>
        <v>0.43185337315706462</v>
      </c>
    </row>
    <row r="342" spans="7:20">
      <c r="G342" s="10" t="s">
        <v>18</v>
      </c>
      <c r="H342" s="10" t="s">
        <v>27</v>
      </c>
      <c r="I342" s="10">
        <v>46.908700000000003</v>
      </c>
      <c r="J342" s="10">
        <v>-71.373099999999994</v>
      </c>
      <c r="K342" s="10">
        <v>46.868299999999998</v>
      </c>
      <c r="L342" s="10">
        <v>-71.167000000000002</v>
      </c>
      <c r="M342" s="10" t="str">
        <f t="shared" si="35"/>
        <v>C4</v>
      </c>
      <c r="N342" s="10" t="str">
        <f t="shared" si="36"/>
        <v>C11</v>
      </c>
      <c r="O342" s="5">
        <f t="shared" si="34"/>
        <v>16.29363959233125</v>
      </c>
      <c r="P342" s="22">
        <f>O342/Explications!$C$8</f>
        <v>0.54312131974437494</v>
      </c>
      <c r="Q342" s="7" t="str">
        <f t="shared" si="37"/>
        <v>C11</v>
      </c>
      <c r="R342" s="7" t="str">
        <f t="shared" si="38"/>
        <v>C4</v>
      </c>
      <c r="S342" s="18">
        <f t="shared" si="39"/>
        <v>16.29363959233125</v>
      </c>
      <c r="T342" s="18">
        <f>S342/Explications!$C$8</f>
        <v>0.54312131974437494</v>
      </c>
    </row>
    <row r="343" spans="7:20">
      <c r="G343" s="10" t="s">
        <v>18</v>
      </c>
      <c r="H343" s="10" t="s">
        <v>28</v>
      </c>
      <c r="I343" s="10">
        <v>46.908700000000003</v>
      </c>
      <c r="J343" s="10">
        <v>-71.373099999999994</v>
      </c>
      <c r="K343" s="10">
        <v>46.895099999999999</v>
      </c>
      <c r="L343" s="10">
        <v>-71.378600000000006</v>
      </c>
      <c r="M343" s="10" t="str">
        <f t="shared" si="35"/>
        <v>C4</v>
      </c>
      <c r="N343" s="10" t="str">
        <f t="shared" si="36"/>
        <v>C12</v>
      </c>
      <c r="O343" s="5">
        <f t="shared" si="34"/>
        <v>1.5689190661969652</v>
      </c>
      <c r="P343" s="22">
        <f>O343/Explications!$C$8</f>
        <v>5.2297302206565505E-2</v>
      </c>
      <c r="Q343" s="7" t="str">
        <f t="shared" si="37"/>
        <v>C12</v>
      </c>
      <c r="R343" s="7" t="str">
        <f t="shared" si="38"/>
        <v>C4</v>
      </c>
      <c r="S343" s="18">
        <f t="shared" si="39"/>
        <v>1.5689190661969652</v>
      </c>
      <c r="T343" s="18">
        <f>S343/Explications!$C$8</f>
        <v>5.2297302206565505E-2</v>
      </c>
    </row>
    <row r="344" spans="7:20">
      <c r="G344" s="10" t="s">
        <v>18</v>
      </c>
      <c r="H344" s="10" t="s">
        <v>29</v>
      </c>
      <c r="I344" s="10">
        <v>46.908700000000003</v>
      </c>
      <c r="J344" s="10">
        <v>-71.373099999999994</v>
      </c>
      <c r="K344" s="10">
        <v>46.8033</v>
      </c>
      <c r="L344" s="10">
        <v>-71.1691</v>
      </c>
      <c r="M344" s="10" t="str">
        <f t="shared" si="35"/>
        <v>C4</v>
      </c>
      <c r="N344" s="10" t="str">
        <f t="shared" si="36"/>
        <v>C13</v>
      </c>
      <c r="O344" s="5">
        <f t="shared" si="34"/>
        <v>19.441626894901837</v>
      </c>
      <c r="P344" s="22">
        <f>O344/Explications!$C$8</f>
        <v>0.64805422983006122</v>
      </c>
      <c r="Q344" s="7" t="str">
        <f t="shared" si="37"/>
        <v>C13</v>
      </c>
      <c r="R344" s="7" t="str">
        <f t="shared" si="38"/>
        <v>C4</v>
      </c>
      <c r="S344" s="18">
        <f t="shared" si="39"/>
        <v>19.441626894901837</v>
      </c>
      <c r="T344" s="18">
        <f>S344/Explications!$C$8</f>
        <v>0.64805422983006122</v>
      </c>
    </row>
    <row r="345" spans="7:20">
      <c r="G345" s="10" t="s">
        <v>18</v>
      </c>
      <c r="H345" s="10" t="s">
        <v>30</v>
      </c>
      <c r="I345" s="10">
        <v>46.908700000000003</v>
      </c>
      <c r="J345" s="10">
        <v>-71.373099999999994</v>
      </c>
      <c r="K345" s="10">
        <v>46.8596</v>
      </c>
      <c r="L345" s="10">
        <v>-71.267200000000003</v>
      </c>
      <c r="M345" s="10" t="str">
        <f t="shared" si="35"/>
        <v>C4</v>
      </c>
      <c r="N345" s="10" t="str">
        <f t="shared" si="36"/>
        <v>C14</v>
      </c>
      <c r="O345" s="5">
        <f t="shared" si="34"/>
        <v>9.7253830438910267</v>
      </c>
      <c r="P345" s="22">
        <f>O345/Explications!$C$8</f>
        <v>0.32417943479636757</v>
      </c>
      <c r="Q345" s="7" t="str">
        <f t="shared" si="37"/>
        <v>C14</v>
      </c>
      <c r="R345" s="7" t="str">
        <f t="shared" si="38"/>
        <v>C4</v>
      </c>
      <c r="S345" s="18">
        <f t="shared" si="39"/>
        <v>9.7253830438910267</v>
      </c>
      <c r="T345" s="18">
        <f>S345/Explications!$C$8</f>
        <v>0.32417943479636757</v>
      </c>
    </row>
    <row r="346" spans="7:20">
      <c r="G346" s="10" t="s">
        <v>18</v>
      </c>
      <c r="H346" s="10" t="s">
        <v>31</v>
      </c>
      <c r="I346" s="10">
        <v>46.908700000000003</v>
      </c>
      <c r="J346" s="10">
        <v>-71.373099999999994</v>
      </c>
      <c r="K346" s="10">
        <v>46.813499999999998</v>
      </c>
      <c r="L346" s="10">
        <v>-71.215900000000005</v>
      </c>
      <c r="M346" s="10" t="str">
        <f t="shared" si="35"/>
        <v>C4</v>
      </c>
      <c r="N346" s="10" t="str">
        <f t="shared" si="36"/>
        <v>C15</v>
      </c>
      <c r="O346" s="5">
        <f t="shared" si="34"/>
        <v>15.965984997509937</v>
      </c>
      <c r="P346" s="22">
        <f>O346/Explications!$C$8</f>
        <v>0.53219949991699789</v>
      </c>
      <c r="Q346" s="7" t="str">
        <f t="shared" si="37"/>
        <v>C15</v>
      </c>
      <c r="R346" s="7" t="str">
        <f t="shared" si="38"/>
        <v>C4</v>
      </c>
      <c r="S346" s="18">
        <f t="shared" si="39"/>
        <v>15.965984997509937</v>
      </c>
      <c r="T346" s="18">
        <f>S346/Explications!$C$8</f>
        <v>0.53219949991699789</v>
      </c>
    </row>
    <row r="347" spans="7:20">
      <c r="G347" s="10" t="s">
        <v>18</v>
      </c>
      <c r="H347" s="10" t="s">
        <v>32</v>
      </c>
      <c r="I347" s="10">
        <v>46.908700000000003</v>
      </c>
      <c r="J347" s="10">
        <v>-71.373099999999994</v>
      </c>
      <c r="K347" s="10">
        <v>46.733699999999999</v>
      </c>
      <c r="L347" s="10">
        <v>-71.270099999999999</v>
      </c>
      <c r="M347" s="10" t="str">
        <f t="shared" si="35"/>
        <v>C4</v>
      </c>
      <c r="N347" s="10" t="str">
        <f t="shared" si="36"/>
        <v>C16</v>
      </c>
      <c r="O347" s="5">
        <f t="shared" si="34"/>
        <v>20.978004436972356</v>
      </c>
      <c r="P347" s="22">
        <f>O347/Explications!$C$8</f>
        <v>0.69926681456574513</v>
      </c>
      <c r="Q347" s="7" t="str">
        <f t="shared" si="37"/>
        <v>C16</v>
      </c>
      <c r="R347" s="7" t="str">
        <f t="shared" si="38"/>
        <v>C4</v>
      </c>
      <c r="S347" s="18">
        <f t="shared" si="39"/>
        <v>20.978004436972356</v>
      </c>
      <c r="T347" s="18">
        <f>S347/Explications!$C$8</f>
        <v>0.69926681456574513</v>
      </c>
    </row>
    <row r="348" spans="7:20">
      <c r="G348" s="10" t="s">
        <v>18</v>
      </c>
      <c r="H348" s="10" t="s">
        <v>33</v>
      </c>
      <c r="I348" s="10">
        <v>46.908700000000003</v>
      </c>
      <c r="J348" s="10">
        <v>-71.373099999999994</v>
      </c>
      <c r="K348" s="10">
        <v>46.8035</v>
      </c>
      <c r="L348" s="10">
        <v>-71.3553</v>
      </c>
      <c r="M348" s="10" t="str">
        <f t="shared" si="35"/>
        <v>C4</v>
      </c>
      <c r="N348" s="10" t="str">
        <f t="shared" si="36"/>
        <v>C17</v>
      </c>
      <c r="O348" s="5">
        <f t="shared" si="34"/>
        <v>11.775749025591207</v>
      </c>
      <c r="P348" s="22">
        <f>O348/Explications!$C$8</f>
        <v>0.39252496751970689</v>
      </c>
      <c r="Q348" s="7" t="str">
        <f t="shared" si="37"/>
        <v>C17</v>
      </c>
      <c r="R348" s="7" t="str">
        <f t="shared" si="38"/>
        <v>C4</v>
      </c>
      <c r="S348" s="18">
        <f t="shared" si="39"/>
        <v>11.775749025591207</v>
      </c>
      <c r="T348" s="18">
        <f>S348/Explications!$C$8</f>
        <v>0.39252496751970689</v>
      </c>
    </row>
    <row r="349" spans="7:20">
      <c r="G349" s="10" t="s">
        <v>18</v>
      </c>
      <c r="H349" s="10" t="s">
        <v>34</v>
      </c>
      <c r="I349" s="10">
        <v>46.908700000000003</v>
      </c>
      <c r="J349" s="10">
        <v>-71.373099999999994</v>
      </c>
      <c r="K349" s="10">
        <v>46.730200000000004</v>
      </c>
      <c r="L349" s="10">
        <v>-71.274100000000004</v>
      </c>
      <c r="M349" s="10" t="str">
        <f t="shared" si="35"/>
        <v>C4</v>
      </c>
      <c r="N349" s="10" t="str">
        <f t="shared" si="36"/>
        <v>C18</v>
      </c>
      <c r="O349" s="5">
        <f t="shared" si="34"/>
        <v>21.229702669076744</v>
      </c>
      <c r="P349" s="22">
        <f>O349/Explications!$C$8</f>
        <v>0.70765675563589148</v>
      </c>
      <c r="Q349" s="7" t="str">
        <f t="shared" si="37"/>
        <v>C18</v>
      </c>
      <c r="R349" s="7" t="str">
        <f t="shared" si="38"/>
        <v>C4</v>
      </c>
      <c r="S349" s="18">
        <f t="shared" si="39"/>
        <v>21.229702669076744</v>
      </c>
      <c r="T349" s="18">
        <f>S349/Explications!$C$8</f>
        <v>0.70765675563589148</v>
      </c>
    </row>
    <row r="350" spans="7:20">
      <c r="G350" s="10" t="s">
        <v>18</v>
      </c>
      <c r="H350" s="10" t="s">
        <v>35</v>
      </c>
      <c r="I350" s="10">
        <v>46.908700000000003</v>
      </c>
      <c r="J350" s="10">
        <v>-71.373099999999994</v>
      </c>
      <c r="K350" s="10">
        <v>46.785600000000002</v>
      </c>
      <c r="L350" s="10">
        <v>-71.245500000000007</v>
      </c>
      <c r="M350" s="10" t="str">
        <f t="shared" si="35"/>
        <v>C4</v>
      </c>
      <c r="N350" s="10" t="str">
        <f t="shared" si="36"/>
        <v>C19</v>
      </c>
      <c r="O350" s="5">
        <f t="shared" si="34"/>
        <v>16.778991607572848</v>
      </c>
      <c r="P350" s="22">
        <f>O350/Explications!$C$8</f>
        <v>0.55929972025242825</v>
      </c>
      <c r="Q350" s="7" t="str">
        <f t="shared" si="37"/>
        <v>C19</v>
      </c>
      <c r="R350" s="7" t="str">
        <f t="shared" si="38"/>
        <v>C4</v>
      </c>
      <c r="S350" s="18">
        <f t="shared" si="39"/>
        <v>16.778991607572848</v>
      </c>
      <c r="T350" s="18">
        <f>S350/Explications!$C$8</f>
        <v>0.55929972025242825</v>
      </c>
    </row>
    <row r="351" spans="7:20">
      <c r="G351" s="10" t="s">
        <v>18</v>
      </c>
      <c r="H351" s="10" t="s">
        <v>36</v>
      </c>
      <c r="I351" s="10">
        <v>46.908700000000003</v>
      </c>
      <c r="J351" s="10">
        <v>-71.373099999999994</v>
      </c>
      <c r="K351" s="10">
        <v>46.8215</v>
      </c>
      <c r="L351" s="10">
        <v>-71.355400000000003</v>
      </c>
      <c r="M351" s="10" t="str">
        <f t="shared" si="35"/>
        <v>C4</v>
      </c>
      <c r="N351" s="10" t="str">
        <f t="shared" si="36"/>
        <v>C20</v>
      </c>
      <c r="O351" s="5">
        <f t="shared" ref="O351:O414" si="40">ACOS(SIN(RADIANS(I351))*SIN(RADIANS(K351))+COS(RADIANS(I351))*COS(RADIANS(K351))*COS(RADIANS(J351-L351)))*6371</f>
        <v>9.7891291047531688</v>
      </c>
      <c r="P351" s="22">
        <f>O351/Explications!$C$8</f>
        <v>0.32630430349177231</v>
      </c>
      <c r="Q351" s="7" t="str">
        <f t="shared" si="37"/>
        <v>C20</v>
      </c>
      <c r="R351" s="7" t="str">
        <f t="shared" si="38"/>
        <v>C4</v>
      </c>
      <c r="S351" s="18">
        <f t="shared" si="39"/>
        <v>9.7891291047531688</v>
      </c>
      <c r="T351" s="18">
        <f>S351/Explications!$C$8</f>
        <v>0.32630430349177231</v>
      </c>
    </row>
    <row r="352" spans="7:20">
      <c r="G352" s="10" t="s">
        <v>18</v>
      </c>
      <c r="H352" s="10" t="s">
        <v>37</v>
      </c>
      <c r="I352" s="10">
        <v>46.908700000000003</v>
      </c>
      <c r="J352" s="10">
        <v>-71.373099999999994</v>
      </c>
      <c r="K352" s="10">
        <v>46.8093</v>
      </c>
      <c r="L352" s="10">
        <v>-71.2273</v>
      </c>
      <c r="M352" s="10" t="str">
        <f t="shared" si="35"/>
        <v>C4</v>
      </c>
      <c r="N352" s="10" t="str">
        <f t="shared" si="36"/>
        <v>C21</v>
      </c>
      <c r="O352" s="5">
        <f t="shared" si="40"/>
        <v>15.654386401676081</v>
      </c>
      <c r="P352" s="22">
        <f>O352/Explications!$C$8</f>
        <v>0.52181288005586934</v>
      </c>
      <c r="Q352" s="7" t="str">
        <f t="shared" si="37"/>
        <v>C21</v>
      </c>
      <c r="R352" s="7" t="str">
        <f t="shared" si="38"/>
        <v>C4</v>
      </c>
      <c r="S352" s="18">
        <f t="shared" si="39"/>
        <v>15.654386401676081</v>
      </c>
      <c r="T352" s="18">
        <f>S352/Explications!$C$8</f>
        <v>0.52181288005586934</v>
      </c>
    </row>
    <row r="353" spans="7:20">
      <c r="G353" s="10" t="s">
        <v>18</v>
      </c>
      <c r="H353" s="10" t="s">
        <v>38</v>
      </c>
      <c r="I353" s="10">
        <v>46.908700000000003</v>
      </c>
      <c r="J353" s="10">
        <v>-71.373099999999994</v>
      </c>
      <c r="K353" s="10">
        <v>46.781300000000002</v>
      </c>
      <c r="L353" s="10">
        <v>-71.301000000000002</v>
      </c>
      <c r="M353" s="10" t="str">
        <f t="shared" si="35"/>
        <v>C4</v>
      </c>
      <c r="N353" s="10" t="str">
        <f t="shared" si="36"/>
        <v>C22</v>
      </c>
      <c r="O353" s="5">
        <f t="shared" si="40"/>
        <v>15.190496963443938</v>
      </c>
      <c r="P353" s="22">
        <f>O353/Explications!$C$8</f>
        <v>0.50634989878146464</v>
      </c>
      <c r="Q353" s="7" t="str">
        <f t="shared" si="37"/>
        <v>C22</v>
      </c>
      <c r="R353" s="7" t="str">
        <f t="shared" si="38"/>
        <v>C4</v>
      </c>
      <c r="S353" s="18">
        <f t="shared" si="39"/>
        <v>15.190496963443938</v>
      </c>
      <c r="T353" s="18">
        <f>S353/Explications!$C$8</f>
        <v>0.50634989878146464</v>
      </c>
    </row>
    <row r="354" spans="7:20">
      <c r="G354" s="10" t="s">
        <v>18</v>
      </c>
      <c r="H354" s="10" t="s">
        <v>39</v>
      </c>
      <c r="I354" s="10">
        <v>46.908700000000003</v>
      </c>
      <c r="J354" s="10">
        <v>-71.373099999999994</v>
      </c>
      <c r="K354" s="10">
        <v>46.844900000000003</v>
      </c>
      <c r="L354" s="10">
        <v>-71.251400000000004</v>
      </c>
      <c r="M354" s="10" t="str">
        <f t="shared" si="35"/>
        <v>C4</v>
      </c>
      <c r="N354" s="10" t="str">
        <f t="shared" si="36"/>
        <v>C23</v>
      </c>
      <c r="O354" s="5">
        <f t="shared" si="40"/>
        <v>11.657491176961459</v>
      </c>
      <c r="P354" s="22">
        <f>O354/Explications!$C$8</f>
        <v>0.38858303923204862</v>
      </c>
      <c r="Q354" s="7" t="str">
        <f t="shared" si="37"/>
        <v>C23</v>
      </c>
      <c r="R354" s="7" t="str">
        <f t="shared" si="38"/>
        <v>C4</v>
      </c>
      <c r="S354" s="18">
        <f t="shared" si="39"/>
        <v>11.657491176961459</v>
      </c>
      <c r="T354" s="18">
        <f>S354/Explications!$C$8</f>
        <v>0.38858303923204862</v>
      </c>
    </row>
    <row r="355" spans="7:20">
      <c r="G355" s="10" t="s">
        <v>18</v>
      </c>
      <c r="H355" s="10" t="s">
        <v>40</v>
      </c>
      <c r="I355" s="10">
        <v>46.908700000000003</v>
      </c>
      <c r="J355" s="10">
        <v>-71.373099999999994</v>
      </c>
      <c r="K355" s="10">
        <v>46.805500000000002</v>
      </c>
      <c r="L355" s="10">
        <v>-71.2196</v>
      </c>
      <c r="M355" s="10" t="str">
        <f t="shared" si="35"/>
        <v>C4</v>
      </c>
      <c r="N355" s="10" t="str">
        <f t="shared" si="36"/>
        <v>C24</v>
      </c>
      <c r="O355" s="5">
        <f t="shared" si="40"/>
        <v>16.36801839485797</v>
      </c>
      <c r="P355" s="22">
        <f>O355/Explications!$C$8</f>
        <v>0.54560061316193231</v>
      </c>
      <c r="Q355" s="7" t="str">
        <f t="shared" si="37"/>
        <v>C24</v>
      </c>
      <c r="R355" s="7" t="str">
        <f t="shared" si="38"/>
        <v>C4</v>
      </c>
      <c r="S355" s="18">
        <f t="shared" si="39"/>
        <v>16.36801839485797</v>
      </c>
      <c r="T355" s="18">
        <f>S355/Explications!$C$8</f>
        <v>0.54560061316193231</v>
      </c>
    </row>
    <row r="356" spans="7:20">
      <c r="G356" s="10" t="s">
        <v>18</v>
      </c>
      <c r="H356" s="10" t="s">
        <v>41</v>
      </c>
      <c r="I356" s="10">
        <v>46.908700000000003</v>
      </c>
      <c r="J356" s="10">
        <v>-71.373099999999994</v>
      </c>
      <c r="K356" s="10">
        <v>46.734900000000003</v>
      </c>
      <c r="L356" s="10">
        <v>-71.266199999999998</v>
      </c>
      <c r="M356" s="10" t="str">
        <f t="shared" si="35"/>
        <v>C4</v>
      </c>
      <c r="N356" s="10" t="str">
        <f t="shared" si="36"/>
        <v>C25</v>
      </c>
      <c r="O356" s="5">
        <f t="shared" si="40"/>
        <v>20.967575944561268</v>
      </c>
      <c r="P356" s="22">
        <f>O356/Explications!$C$8</f>
        <v>0.69891919815204229</v>
      </c>
      <c r="Q356" s="7" t="str">
        <f t="shared" si="37"/>
        <v>C25</v>
      </c>
      <c r="R356" s="7" t="str">
        <f t="shared" si="38"/>
        <v>C4</v>
      </c>
      <c r="S356" s="18">
        <f t="shared" si="39"/>
        <v>20.967575944561268</v>
      </c>
      <c r="T356" s="18">
        <f>S356/Explications!$C$8</f>
        <v>0.69891919815204229</v>
      </c>
    </row>
    <row r="357" spans="7:20">
      <c r="G357" s="10" t="s">
        <v>18</v>
      </c>
      <c r="H357" s="10" t="s">
        <v>42</v>
      </c>
      <c r="I357" s="10">
        <v>46.908700000000003</v>
      </c>
      <c r="J357" s="10">
        <v>-71.373099999999994</v>
      </c>
      <c r="K357" s="10">
        <v>46.817700000000002</v>
      </c>
      <c r="L357" s="10">
        <v>-71.214100000000002</v>
      </c>
      <c r="M357" s="10" t="str">
        <f t="shared" si="35"/>
        <v>C4</v>
      </c>
      <c r="N357" s="10" t="str">
        <f t="shared" si="36"/>
        <v>C26</v>
      </c>
      <c r="O357" s="5">
        <f t="shared" si="40"/>
        <v>15.764582930338586</v>
      </c>
      <c r="P357" s="22">
        <f>O357/Explications!$C$8</f>
        <v>0.52548609767795285</v>
      </c>
      <c r="Q357" s="7" t="str">
        <f t="shared" si="37"/>
        <v>C26</v>
      </c>
      <c r="R357" s="7" t="str">
        <f t="shared" si="38"/>
        <v>C4</v>
      </c>
      <c r="S357" s="18">
        <f t="shared" si="39"/>
        <v>15.764582930338586</v>
      </c>
      <c r="T357" s="18">
        <f>S357/Explications!$C$8</f>
        <v>0.52548609767795285</v>
      </c>
    </row>
    <row r="358" spans="7:20">
      <c r="G358" s="10" t="s">
        <v>18</v>
      </c>
      <c r="H358" s="10" t="s">
        <v>43</v>
      </c>
      <c r="I358" s="10">
        <v>46.908700000000003</v>
      </c>
      <c r="J358" s="10">
        <v>-71.373099999999994</v>
      </c>
      <c r="K358" s="10">
        <v>46.603000000000002</v>
      </c>
      <c r="L358" s="10">
        <v>-71.490600000000001</v>
      </c>
      <c r="M358" s="10" t="str">
        <f t="shared" si="35"/>
        <v>C4</v>
      </c>
      <c r="N358" s="10" t="str">
        <f t="shared" si="36"/>
        <v>C27</v>
      </c>
      <c r="O358" s="5">
        <f t="shared" si="40"/>
        <v>35.151091318583525</v>
      </c>
      <c r="P358" s="22">
        <f>O358/Explications!$C$8</f>
        <v>1.1717030439527842</v>
      </c>
      <c r="Q358" s="7" t="str">
        <f t="shared" si="37"/>
        <v>C27</v>
      </c>
      <c r="R358" s="7" t="str">
        <f t="shared" si="38"/>
        <v>C4</v>
      </c>
      <c r="S358" s="18">
        <f t="shared" si="39"/>
        <v>35.151091318583525</v>
      </c>
      <c r="T358" s="18">
        <f>S358/Explications!$C$8</f>
        <v>1.1717030439527842</v>
      </c>
    </row>
    <row r="359" spans="7:20">
      <c r="G359" s="10" t="s">
        <v>18</v>
      </c>
      <c r="H359" s="10" t="s">
        <v>44</v>
      </c>
      <c r="I359" s="10">
        <v>46.908700000000003</v>
      </c>
      <c r="J359" s="10">
        <v>-71.373099999999994</v>
      </c>
      <c r="K359" s="10">
        <v>47.000500000000002</v>
      </c>
      <c r="L359" s="10">
        <v>-71.388400000000004</v>
      </c>
      <c r="M359" s="10" t="str">
        <f t="shared" si="35"/>
        <v>C4</v>
      </c>
      <c r="N359" s="10" t="str">
        <f t="shared" si="36"/>
        <v>C28</v>
      </c>
      <c r="O359" s="5">
        <f t="shared" si="40"/>
        <v>10.273535883375189</v>
      </c>
      <c r="P359" s="22">
        <f>O359/Explications!$C$8</f>
        <v>0.3424511961125063</v>
      </c>
      <c r="Q359" s="7" t="str">
        <f t="shared" si="37"/>
        <v>C28</v>
      </c>
      <c r="R359" s="7" t="str">
        <f t="shared" si="38"/>
        <v>C4</v>
      </c>
      <c r="S359" s="18">
        <f t="shared" si="39"/>
        <v>10.273535883375189</v>
      </c>
      <c r="T359" s="18">
        <f>S359/Explications!$C$8</f>
        <v>0.3424511961125063</v>
      </c>
    </row>
    <row r="360" spans="7:20">
      <c r="G360" s="10" t="s">
        <v>18</v>
      </c>
      <c r="H360" s="10" t="s">
        <v>45</v>
      </c>
      <c r="I360" s="10">
        <v>46.908700000000003</v>
      </c>
      <c r="J360" s="10">
        <v>-71.373099999999994</v>
      </c>
      <c r="K360" s="10">
        <v>46.839100000000002</v>
      </c>
      <c r="L360" s="10">
        <v>-71.245699999999999</v>
      </c>
      <c r="M360" s="10" t="str">
        <f t="shared" si="35"/>
        <v>C4</v>
      </c>
      <c r="N360" s="10" t="str">
        <f t="shared" si="36"/>
        <v>C29</v>
      </c>
      <c r="O360" s="5">
        <f t="shared" si="40"/>
        <v>12.396650518375932</v>
      </c>
      <c r="P360" s="22">
        <f>O360/Explications!$C$8</f>
        <v>0.41322168394586439</v>
      </c>
      <c r="Q360" s="7" t="str">
        <f t="shared" si="37"/>
        <v>C29</v>
      </c>
      <c r="R360" s="7" t="str">
        <f t="shared" si="38"/>
        <v>C4</v>
      </c>
      <c r="S360" s="18">
        <f t="shared" si="39"/>
        <v>12.396650518375932</v>
      </c>
      <c r="T360" s="18">
        <f>S360/Explications!$C$8</f>
        <v>0.41322168394586439</v>
      </c>
    </row>
    <row r="361" spans="7:20">
      <c r="G361" s="10" t="s">
        <v>18</v>
      </c>
      <c r="H361" s="10" t="s">
        <v>46</v>
      </c>
      <c r="I361" s="10">
        <v>46.908700000000003</v>
      </c>
      <c r="J361" s="10">
        <v>-71.373099999999994</v>
      </c>
      <c r="K361" s="10">
        <v>46.865699999999997</v>
      </c>
      <c r="L361" s="10">
        <v>-71.27</v>
      </c>
      <c r="M361" s="10" t="str">
        <f t="shared" si="35"/>
        <v>C4</v>
      </c>
      <c r="N361" s="10" t="str">
        <f t="shared" si="36"/>
        <v>C30</v>
      </c>
      <c r="O361" s="5">
        <f t="shared" si="40"/>
        <v>9.1787622684357792</v>
      </c>
      <c r="P361" s="22">
        <f>O361/Explications!$C$8</f>
        <v>0.30595874228119263</v>
      </c>
      <c r="Q361" s="7" t="str">
        <f t="shared" si="37"/>
        <v>C30</v>
      </c>
      <c r="R361" s="7" t="str">
        <f t="shared" si="38"/>
        <v>C4</v>
      </c>
      <c r="S361" s="18">
        <f t="shared" si="39"/>
        <v>9.1787622684357792</v>
      </c>
      <c r="T361" s="18">
        <f>S361/Explications!$C$8</f>
        <v>0.30595874228119263</v>
      </c>
    </row>
    <row r="362" spans="7:20">
      <c r="G362" s="10" t="s">
        <v>18</v>
      </c>
      <c r="H362" s="10" t="s">
        <v>47</v>
      </c>
      <c r="I362" s="10">
        <v>46.908700000000003</v>
      </c>
      <c r="J362" s="10">
        <v>-71.373099999999994</v>
      </c>
      <c r="K362" s="10">
        <v>46.805500000000002</v>
      </c>
      <c r="L362" s="10">
        <v>-71.217299999999994</v>
      </c>
      <c r="M362" s="10" t="str">
        <f t="shared" si="35"/>
        <v>C4</v>
      </c>
      <c r="N362" s="10" t="str">
        <f t="shared" si="36"/>
        <v>C31</v>
      </c>
      <c r="O362" s="5">
        <f t="shared" si="40"/>
        <v>16.493181821450634</v>
      </c>
      <c r="P362" s="22">
        <f>O362/Explications!$C$8</f>
        <v>0.54977272738168781</v>
      </c>
      <c r="Q362" s="7" t="str">
        <f t="shared" si="37"/>
        <v>C31</v>
      </c>
      <c r="R362" s="7" t="str">
        <f t="shared" si="38"/>
        <v>C4</v>
      </c>
      <c r="S362" s="18">
        <f t="shared" si="39"/>
        <v>16.493181821450634</v>
      </c>
      <c r="T362" s="18">
        <f>S362/Explications!$C$8</f>
        <v>0.54977272738168781</v>
      </c>
    </row>
    <row r="363" spans="7:20">
      <c r="G363" s="10" t="s">
        <v>18</v>
      </c>
      <c r="H363" s="10" t="s">
        <v>48</v>
      </c>
      <c r="I363" s="10">
        <v>46.908700000000003</v>
      </c>
      <c r="J363" s="10">
        <v>-71.373099999999994</v>
      </c>
      <c r="K363" s="10">
        <v>46.792299999999997</v>
      </c>
      <c r="L363" s="10">
        <v>-71.172899999999998</v>
      </c>
      <c r="M363" s="10" t="str">
        <f t="shared" si="35"/>
        <v>C4</v>
      </c>
      <c r="N363" s="10" t="str">
        <f t="shared" si="36"/>
        <v>C32</v>
      </c>
      <c r="O363" s="5">
        <f t="shared" si="40"/>
        <v>19.98274111460297</v>
      </c>
      <c r="P363" s="22">
        <f>O363/Explications!$C$8</f>
        <v>0.6660913704867657</v>
      </c>
      <c r="Q363" s="7" t="str">
        <f t="shared" si="37"/>
        <v>C32</v>
      </c>
      <c r="R363" s="7" t="str">
        <f t="shared" si="38"/>
        <v>C4</v>
      </c>
      <c r="S363" s="18">
        <f t="shared" si="39"/>
        <v>19.98274111460297</v>
      </c>
      <c r="T363" s="18">
        <f>S363/Explications!$C$8</f>
        <v>0.6660913704867657</v>
      </c>
    </row>
    <row r="364" spans="7:20">
      <c r="G364" s="10" t="s">
        <v>18</v>
      </c>
      <c r="H364" s="10" t="s">
        <v>49</v>
      </c>
      <c r="I364" s="10">
        <v>46.908700000000003</v>
      </c>
      <c r="J364" s="10">
        <v>-71.373099999999994</v>
      </c>
      <c r="K364" s="10">
        <v>46.7883</v>
      </c>
      <c r="L364" s="10">
        <v>-71.131200000000007</v>
      </c>
      <c r="M364" s="10" t="str">
        <f t="shared" si="35"/>
        <v>C4</v>
      </c>
      <c r="N364" s="10" t="str">
        <f t="shared" si="36"/>
        <v>C33</v>
      </c>
      <c r="O364" s="5">
        <f t="shared" si="40"/>
        <v>22.752165059519278</v>
      </c>
      <c r="P364" s="22">
        <f>O364/Explications!$C$8</f>
        <v>0.75840550198397594</v>
      </c>
      <c r="Q364" s="7" t="str">
        <f t="shared" si="37"/>
        <v>C33</v>
      </c>
      <c r="R364" s="7" t="str">
        <f t="shared" si="38"/>
        <v>C4</v>
      </c>
      <c r="S364" s="18">
        <f t="shared" si="39"/>
        <v>22.752165059519278</v>
      </c>
      <c r="T364" s="18">
        <f>S364/Explications!$C$8</f>
        <v>0.75840550198397594</v>
      </c>
    </row>
    <row r="365" spans="7:20">
      <c r="G365" s="10" t="s">
        <v>18</v>
      </c>
      <c r="H365" s="10" t="s">
        <v>50</v>
      </c>
      <c r="I365" s="10">
        <v>46.908700000000003</v>
      </c>
      <c r="J365" s="10">
        <v>-71.373099999999994</v>
      </c>
      <c r="K365" s="10">
        <v>46.8611</v>
      </c>
      <c r="L365" s="10">
        <v>-71.268799999999999</v>
      </c>
      <c r="M365" s="10" t="str">
        <f t="shared" si="35"/>
        <v>C4</v>
      </c>
      <c r="N365" s="10" t="str">
        <f t="shared" si="36"/>
        <v>C34</v>
      </c>
      <c r="O365" s="5">
        <f t="shared" si="40"/>
        <v>9.5312822983789012</v>
      </c>
      <c r="P365" s="22">
        <f>O365/Explications!$C$8</f>
        <v>0.31770940994596336</v>
      </c>
      <c r="Q365" s="7" t="str">
        <f t="shared" si="37"/>
        <v>C34</v>
      </c>
      <c r="R365" s="7" t="str">
        <f t="shared" si="38"/>
        <v>C4</v>
      </c>
      <c r="S365" s="18">
        <f t="shared" si="39"/>
        <v>9.5312822983789012</v>
      </c>
      <c r="T365" s="18">
        <f>S365/Explications!$C$8</f>
        <v>0.31770940994596336</v>
      </c>
    </row>
    <row r="366" spans="7:20">
      <c r="G366" s="10" t="s">
        <v>18</v>
      </c>
      <c r="H366" s="10" t="s">
        <v>51</v>
      </c>
      <c r="I366" s="10">
        <v>46.908700000000003</v>
      </c>
      <c r="J366" s="10">
        <v>-71.373099999999994</v>
      </c>
      <c r="K366" s="10">
        <v>46.869700000000002</v>
      </c>
      <c r="L366" s="10">
        <v>-71.205200000000005</v>
      </c>
      <c r="M366" s="10" t="str">
        <f t="shared" si="35"/>
        <v>C4</v>
      </c>
      <c r="N366" s="10" t="str">
        <f t="shared" si="36"/>
        <v>C35</v>
      </c>
      <c r="O366" s="5">
        <f t="shared" si="40"/>
        <v>13.475868940939657</v>
      </c>
      <c r="P366" s="22">
        <f>O366/Explications!$C$8</f>
        <v>0.44919563136465523</v>
      </c>
      <c r="Q366" s="7" t="str">
        <f t="shared" si="37"/>
        <v>C35</v>
      </c>
      <c r="R366" s="7" t="str">
        <f t="shared" si="38"/>
        <v>C4</v>
      </c>
      <c r="S366" s="18">
        <f t="shared" si="39"/>
        <v>13.475868940939657</v>
      </c>
      <c r="T366" s="18">
        <f>S366/Explications!$C$8</f>
        <v>0.44919563136465523</v>
      </c>
    </row>
    <row r="367" spans="7:20">
      <c r="G367" s="10" t="s">
        <v>18</v>
      </c>
      <c r="H367" s="10" t="s">
        <v>52</v>
      </c>
      <c r="I367" s="10">
        <v>46.908700000000003</v>
      </c>
      <c r="J367" s="10">
        <v>-71.373099999999994</v>
      </c>
      <c r="K367" s="10">
        <v>46.774099999999997</v>
      </c>
      <c r="L367" s="10">
        <v>-71.174000000000007</v>
      </c>
      <c r="M367" s="10" t="str">
        <f t="shared" si="35"/>
        <v>C4</v>
      </c>
      <c r="N367" s="10" t="str">
        <f t="shared" si="36"/>
        <v>C36</v>
      </c>
      <c r="O367" s="5">
        <f t="shared" si="40"/>
        <v>21.291548870994831</v>
      </c>
      <c r="P367" s="22">
        <f>O367/Explications!$C$8</f>
        <v>0.70971829569982769</v>
      </c>
      <c r="Q367" s="7" t="str">
        <f t="shared" si="37"/>
        <v>C36</v>
      </c>
      <c r="R367" s="7" t="str">
        <f t="shared" si="38"/>
        <v>C4</v>
      </c>
      <c r="S367" s="18">
        <f t="shared" si="39"/>
        <v>21.291548870994831</v>
      </c>
      <c r="T367" s="18">
        <f>S367/Explications!$C$8</f>
        <v>0.70971829569982769</v>
      </c>
    </row>
    <row r="368" spans="7:20">
      <c r="G368" s="10" t="s">
        <v>18</v>
      </c>
      <c r="H368" s="10" t="s">
        <v>53</v>
      </c>
      <c r="I368" s="10">
        <v>46.908700000000003</v>
      </c>
      <c r="J368" s="10">
        <v>-71.373099999999994</v>
      </c>
      <c r="K368" s="10">
        <v>46.808500000000002</v>
      </c>
      <c r="L368" s="10">
        <v>-71.326599999999999</v>
      </c>
      <c r="M368" s="10" t="str">
        <f t="shared" si="35"/>
        <v>C4</v>
      </c>
      <c r="N368" s="10" t="str">
        <f t="shared" si="36"/>
        <v>C37</v>
      </c>
      <c r="O368" s="5">
        <f t="shared" si="40"/>
        <v>11.689264509079909</v>
      </c>
      <c r="P368" s="22">
        <f>O368/Explications!$C$8</f>
        <v>0.38964215030266364</v>
      </c>
      <c r="Q368" s="7" t="str">
        <f t="shared" si="37"/>
        <v>C37</v>
      </c>
      <c r="R368" s="7" t="str">
        <f t="shared" si="38"/>
        <v>C4</v>
      </c>
      <c r="S368" s="18">
        <f t="shared" si="39"/>
        <v>11.689264509079909</v>
      </c>
      <c r="T368" s="18">
        <f>S368/Explications!$C$8</f>
        <v>0.38964215030266364</v>
      </c>
    </row>
    <row r="369" spans="7:20">
      <c r="G369" s="10" t="s">
        <v>18</v>
      </c>
      <c r="H369" s="10" t="s">
        <v>54</v>
      </c>
      <c r="I369" s="10">
        <v>46.908700000000003</v>
      </c>
      <c r="J369" s="10">
        <v>-71.373099999999994</v>
      </c>
      <c r="K369" s="10">
        <v>46.797499999999999</v>
      </c>
      <c r="L369" s="10">
        <v>-71.306100000000001</v>
      </c>
      <c r="M369" s="10" t="str">
        <f t="shared" si="35"/>
        <v>C4</v>
      </c>
      <c r="N369" s="10" t="str">
        <f t="shared" si="36"/>
        <v>C38</v>
      </c>
      <c r="O369" s="5">
        <f t="shared" si="40"/>
        <v>13.373404085470296</v>
      </c>
      <c r="P369" s="22">
        <f>O369/Explications!$C$8</f>
        <v>0.44578013618234319</v>
      </c>
      <c r="Q369" s="7" t="str">
        <f t="shared" si="37"/>
        <v>C38</v>
      </c>
      <c r="R369" s="7" t="str">
        <f t="shared" si="38"/>
        <v>C4</v>
      </c>
      <c r="S369" s="18">
        <f t="shared" si="39"/>
        <v>13.373404085470296</v>
      </c>
      <c r="T369" s="18">
        <f>S369/Explications!$C$8</f>
        <v>0.44578013618234319</v>
      </c>
    </row>
    <row r="370" spans="7:20">
      <c r="G370" s="10" t="s">
        <v>18</v>
      </c>
      <c r="H370" s="10" t="s">
        <v>55</v>
      </c>
      <c r="I370" s="10">
        <v>46.908700000000003</v>
      </c>
      <c r="J370" s="10">
        <v>-71.373099999999994</v>
      </c>
      <c r="K370" s="10">
        <v>46.8155</v>
      </c>
      <c r="L370" s="10">
        <v>-71.268199999999993</v>
      </c>
      <c r="M370" s="10" t="str">
        <f t="shared" si="35"/>
        <v>C4</v>
      </c>
      <c r="N370" s="10" t="str">
        <f t="shared" si="36"/>
        <v>C39</v>
      </c>
      <c r="O370" s="5">
        <f t="shared" si="40"/>
        <v>13.077044890045029</v>
      </c>
      <c r="P370" s="22">
        <f>O370/Explications!$C$8</f>
        <v>0.43590149633483427</v>
      </c>
      <c r="Q370" s="7" t="str">
        <f t="shared" si="37"/>
        <v>C39</v>
      </c>
      <c r="R370" s="7" t="str">
        <f t="shared" si="38"/>
        <v>C4</v>
      </c>
      <c r="S370" s="18">
        <f t="shared" si="39"/>
        <v>13.077044890045029</v>
      </c>
      <c r="T370" s="18">
        <f>S370/Explications!$C$8</f>
        <v>0.43590149633483427</v>
      </c>
    </row>
    <row r="371" spans="7:20">
      <c r="G371" s="10" t="s">
        <v>18</v>
      </c>
      <c r="H371" s="10" t="s">
        <v>56</v>
      </c>
      <c r="I371" s="10">
        <v>46.908700000000003</v>
      </c>
      <c r="J371" s="10">
        <v>-71.373099999999994</v>
      </c>
      <c r="K371" s="10">
        <v>46.866700000000002</v>
      </c>
      <c r="L371" s="10">
        <v>-71.215900000000005</v>
      </c>
      <c r="M371" s="10" t="str">
        <f t="shared" si="35"/>
        <v>C4</v>
      </c>
      <c r="N371" s="10" t="str">
        <f t="shared" si="36"/>
        <v>C40</v>
      </c>
      <c r="O371" s="5">
        <f t="shared" si="40"/>
        <v>12.82667689143849</v>
      </c>
      <c r="P371" s="22">
        <f>O371/Explications!$C$8</f>
        <v>0.427555896381283</v>
      </c>
      <c r="Q371" s="7" t="str">
        <f t="shared" si="37"/>
        <v>C40</v>
      </c>
      <c r="R371" s="7" t="str">
        <f t="shared" si="38"/>
        <v>C4</v>
      </c>
      <c r="S371" s="18">
        <f t="shared" si="39"/>
        <v>12.82667689143849</v>
      </c>
      <c r="T371" s="18">
        <f>S371/Explications!$C$8</f>
        <v>0.427555896381283</v>
      </c>
    </row>
    <row r="372" spans="7:20">
      <c r="G372" s="10" t="s">
        <v>18</v>
      </c>
      <c r="H372" s="10" t="s">
        <v>57</v>
      </c>
      <c r="I372" s="10">
        <v>46.908700000000003</v>
      </c>
      <c r="J372" s="10">
        <v>-71.373099999999994</v>
      </c>
      <c r="K372" s="10">
        <v>46.762099999999997</v>
      </c>
      <c r="L372" s="10">
        <v>-71.235399999999998</v>
      </c>
      <c r="M372" s="10" t="str">
        <f t="shared" si="35"/>
        <v>C4</v>
      </c>
      <c r="N372" s="10" t="str">
        <f t="shared" si="36"/>
        <v>C41</v>
      </c>
      <c r="O372" s="5">
        <f t="shared" si="40"/>
        <v>19.376396417243441</v>
      </c>
      <c r="P372" s="22">
        <f>O372/Explications!$C$8</f>
        <v>0.64587988057478141</v>
      </c>
      <c r="Q372" s="7" t="str">
        <f t="shared" si="37"/>
        <v>C41</v>
      </c>
      <c r="R372" s="7" t="str">
        <f t="shared" si="38"/>
        <v>C4</v>
      </c>
      <c r="S372" s="18">
        <f t="shared" si="39"/>
        <v>19.376396417243441</v>
      </c>
      <c r="T372" s="18">
        <f>S372/Explications!$C$8</f>
        <v>0.64587988057478141</v>
      </c>
    </row>
    <row r="373" spans="7:20">
      <c r="G373" s="10" t="s">
        <v>18</v>
      </c>
      <c r="H373" s="10" t="s">
        <v>58</v>
      </c>
      <c r="I373" s="10">
        <v>46.908700000000003</v>
      </c>
      <c r="J373" s="10">
        <v>-71.373099999999994</v>
      </c>
      <c r="K373" s="10">
        <v>46.8157</v>
      </c>
      <c r="L373" s="10">
        <v>-71.2042</v>
      </c>
      <c r="M373" s="10" t="str">
        <f t="shared" si="35"/>
        <v>C4</v>
      </c>
      <c r="N373" s="10" t="str">
        <f t="shared" si="36"/>
        <v>C42</v>
      </c>
      <c r="O373" s="5">
        <f t="shared" si="40"/>
        <v>16.487647618498109</v>
      </c>
      <c r="P373" s="22">
        <f>O373/Explications!$C$8</f>
        <v>0.54958825394993693</v>
      </c>
      <c r="Q373" s="7" t="str">
        <f t="shared" si="37"/>
        <v>C42</v>
      </c>
      <c r="R373" s="7" t="str">
        <f t="shared" si="38"/>
        <v>C4</v>
      </c>
      <c r="S373" s="18">
        <f t="shared" si="39"/>
        <v>16.487647618498109</v>
      </c>
      <c r="T373" s="18">
        <f>S373/Explications!$C$8</f>
        <v>0.54958825394993693</v>
      </c>
    </row>
    <row r="374" spans="7:20">
      <c r="G374" s="10" t="s">
        <v>18</v>
      </c>
      <c r="H374" s="10" t="s">
        <v>59</v>
      </c>
      <c r="I374" s="10">
        <v>46.908700000000003</v>
      </c>
      <c r="J374" s="10">
        <v>-71.373099999999994</v>
      </c>
      <c r="K374" s="10">
        <v>46.707000000000001</v>
      </c>
      <c r="L374" s="10">
        <v>-71.217100000000002</v>
      </c>
      <c r="M374" s="10" t="str">
        <f t="shared" si="35"/>
        <v>C4</v>
      </c>
      <c r="N374" s="10" t="str">
        <f t="shared" si="36"/>
        <v>C43</v>
      </c>
      <c r="O374" s="5">
        <f t="shared" si="40"/>
        <v>25.376687718945846</v>
      </c>
      <c r="P374" s="22">
        <f>O374/Explications!$C$8</f>
        <v>0.84588959063152813</v>
      </c>
      <c r="Q374" s="7" t="str">
        <f t="shared" si="37"/>
        <v>C43</v>
      </c>
      <c r="R374" s="7" t="str">
        <f t="shared" si="38"/>
        <v>C4</v>
      </c>
      <c r="S374" s="18">
        <f t="shared" si="39"/>
        <v>25.376687718945846</v>
      </c>
      <c r="T374" s="18">
        <f>S374/Explications!$C$8</f>
        <v>0.84588959063152813</v>
      </c>
    </row>
    <row r="375" spans="7:20">
      <c r="G375" s="10" t="s">
        <v>18</v>
      </c>
      <c r="H375" s="10" t="s">
        <v>60</v>
      </c>
      <c r="I375" s="10">
        <v>46.908700000000003</v>
      </c>
      <c r="J375" s="10">
        <v>-71.373099999999994</v>
      </c>
      <c r="K375" s="10">
        <v>46.802900000000001</v>
      </c>
      <c r="L375" s="10">
        <v>-71.228899999999996</v>
      </c>
      <c r="M375" s="10" t="str">
        <f t="shared" si="35"/>
        <v>C4</v>
      </c>
      <c r="N375" s="10" t="str">
        <f t="shared" si="36"/>
        <v>C44</v>
      </c>
      <c r="O375" s="5">
        <f t="shared" si="40"/>
        <v>16.081959578041253</v>
      </c>
      <c r="P375" s="22">
        <f>O375/Explications!$C$8</f>
        <v>0.5360653192680418</v>
      </c>
      <c r="Q375" s="7" t="str">
        <f t="shared" si="37"/>
        <v>C44</v>
      </c>
      <c r="R375" s="7" t="str">
        <f t="shared" si="38"/>
        <v>C4</v>
      </c>
      <c r="S375" s="18">
        <f t="shared" si="39"/>
        <v>16.081959578041253</v>
      </c>
      <c r="T375" s="18">
        <f>S375/Explications!$C$8</f>
        <v>0.5360653192680418</v>
      </c>
    </row>
    <row r="376" spans="7:20">
      <c r="G376" s="10" t="s">
        <v>18</v>
      </c>
      <c r="H376" s="10" t="s">
        <v>61</v>
      </c>
      <c r="I376" s="10">
        <v>46.908700000000003</v>
      </c>
      <c r="J376" s="10">
        <v>-71.373099999999994</v>
      </c>
      <c r="K376" s="10">
        <v>46.796900000000001</v>
      </c>
      <c r="L376" s="10">
        <v>-71.3078</v>
      </c>
      <c r="M376" s="10" t="str">
        <f t="shared" si="35"/>
        <v>C4</v>
      </c>
      <c r="N376" s="10" t="str">
        <f t="shared" si="36"/>
        <v>C45</v>
      </c>
      <c r="O376" s="5">
        <f t="shared" si="40"/>
        <v>13.386635419828183</v>
      </c>
      <c r="P376" s="22">
        <f>O376/Explications!$C$8</f>
        <v>0.44622118066093941</v>
      </c>
      <c r="Q376" s="7" t="str">
        <f t="shared" si="37"/>
        <v>C45</v>
      </c>
      <c r="R376" s="7" t="str">
        <f t="shared" si="38"/>
        <v>C4</v>
      </c>
      <c r="S376" s="18">
        <f t="shared" si="39"/>
        <v>13.386635419828183</v>
      </c>
      <c r="T376" s="18">
        <f>S376/Explications!$C$8</f>
        <v>0.44622118066093941</v>
      </c>
    </row>
    <row r="377" spans="7:20">
      <c r="G377" s="10" t="s">
        <v>18</v>
      </c>
      <c r="H377" s="10" t="s">
        <v>62</v>
      </c>
      <c r="I377" s="10">
        <v>46.908700000000003</v>
      </c>
      <c r="J377" s="10">
        <v>-71.373099999999994</v>
      </c>
      <c r="K377" s="10">
        <v>46.803600000000003</v>
      </c>
      <c r="L377" s="10">
        <v>-71.231099999999998</v>
      </c>
      <c r="M377" s="10" t="str">
        <f t="shared" si="35"/>
        <v>C4</v>
      </c>
      <c r="N377" s="10" t="str">
        <f t="shared" si="36"/>
        <v>C46</v>
      </c>
      <c r="O377" s="5">
        <f t="shared" si="40"/>
        <v>15.911065872024684</v>
      </c>
      <c r="P377" s="22">
        <f>O377/Explications!$C$8</f>
        <v>0.53036886240082282</v>
      </c>
      <c r="Q377" s="7" t="str">
        <f t="shared" si="37"/>
        <v>C46</v>
      </c>
      <c r="R377" s="7" t="str">
        <f t="shared" si="38"/>
        <v>C4</v>
      </c>
      <c r="S377" s="18">
        <f t="shared" si="39"/>
        <v>15.911065872024684</v>
      </c>
      <c r="T377" s="18">
        <f>S377/Explications!$C$8</f>
        <v>0.53036886240082282</v>
      </c>
    </row>
    <row r="378" spans="7:20">
      <c r="G378" s="10" t="s">
        <v>18</v>
      </c>
      <c r="H378" s="10" t="s">
        <v>63</v>
      </c>
      <c r="I378" s="10">
        <v>46.908700000000003</v>
      </c>
      <c r="J378" s="10">
        <v>-71.373099999999994</v>
      </c>
      <c r="K378" s="10">
        <v>46.802399999999999</v>
      </c>
      <c r="L378" s="10">
        <v>-71.269800000000004</v>
      </c>
      <c r="M378" s="10" t="str">
        <f t="shared" si="35"/>
        <v>C4</v>
      </c>
      <c r="N378" s="10" t="str">
        <f t="shared" si="36"/>
        <v>C47</v>
      </c>
      <c r="O378" s="5">
        <f t="shared" si="40"/>
        <v>14.19197009784971</v>
      </c>
      <c r="P378" s="22">
        <f>O378/Explications!$C$8</f>
        <v>0.47306566992832366</v>
      </c>
      <c r="Q378" s="7" t="str">
        <f t="shared" si="37"/>
        <v>C47</v>
      </c>
      <c r="R378" s="7" t="str">
        <f t="shared" si="38"/>
        <v>C4</v>
      </c>
      <c r="S378" s="18">
        <f t="shared" si="39"/>
        <v>14.19197009784971</v>
      </c>
      <c r="T378" s="18">
        <f>S378/Explications!$C$8</f>
        <v>0.47306566992832366</v>
      </c>
    </row>
    <row r="379" spans="7:20">
      <c r="G379" s="10" t="s">
        <v>18</v>
      </c>
      <c r="H379" s="10" t="s">
        <v>64</v>
      </c>
      <c r="I379" s="10">
        <v>46.908700000000003</v>
      </c>
      <c r="J379" s="10">
        <v>-71.373099999999994</v>
      </c>
      <c r="K379" s="10">
        <v>46.826799999999999</v>
      </c>
      <c r="L379" s="10">
        <v>-71.224199999999996</v>
      </c>
      <c r="M379" s="10" t="str">
        <f t="shared" si="35"/>
        <v>C4</v>
      </c>
      <c r="N379" s="10" t="str">
        <f t="shared" si="36"/>
        <v>C48</v>
      </c>
      <c r="O379" s="5">
        <f t="shared" si="40"/>
        <v>14.528275818944453</v>
      </c>
      <c r="P379" s="22">
        <f>O379/Explications!$C$8</f>
        <v>0.48427586063148176</v>
      </c>
      <c r="Q379" s="7" t="str">
        <f t="shared" si="37"/>
        <v>C48</v>
      </c>
      <c r="R379" s="7" t="str">
        <f t="shared" si="38"/>
        <v>C4</v>
      </c>
      <c r="S379" s="18">
        <f t="shared" si="39"/>
        <v>14.528275818944453</v>
      </c>
      <c r="T379" s="18">
        <f>S379/Explications!$C$8</f>
        <v>0.48427586063148176</v>
      </c>
    </row>
    <row r="380" spans="7:20">
      <c r="G380" s="10" t="s">
        <v>18</v>
      </c>
      <c r="H380" s="10" t="s">
        <v>65</v>
      </c>
      <c r="I380" s="10">
        <v>46.908700000000003</v>
      </c>
      <c r="J380" s="10">
        <v>-71.373099999999994</v>
      </c>
      <c r="K380" s="10">
        <v>46.864100000000001</v>
      </c>
      <c r="L380" s="10">
        <v>-71.255499999999998</v>
      </c>
      <c r="M380" s="10" t="str">
        <f t="shared" si="35"/>
        <v>C4</v>
      </c>
      <c r="N380" s="10" t="str">
        <f t="shared" si="36"/>
        <v>C49</v>
      </c>
      <c r="O380" s="5">
        <f t="shared" si="40"/>
        <v>10.220886694270835</v>
      </c>
      <c r="P380" s="22">
        <f>O380/Explications!$C$8</f>
        <v>0.34069622314236114</v>
      </c>
      <c r="Q380" s="7" t="str">
        <f t="shared" si="37"/>
        <v>C49</v>
      </c>
      <c r="R380" s="7" t="str">
        <f t="shared" si="38"/>
        <v>C4</v>
      </c>
      <c r="S380" s="18">
        <f t="shared" si="39"/>
        <v>10.220886694270835</v>
      </c>
      <c r="T380" s="18">
        <f>S380/Explications!$C$8</f>
        <v>0.34069622314236114</v>
      </c>
    </row>
    <row r="381" spans="7:20">
      <c r="G381" s="10" t="s">
        <v>18</v>
      </c>
      <c r="H381" s="10" t="s">
        <v>66</v>
      </c>
      <c r="I381" s="10">
        <v>46.908700000000003</v>
      </c>
      <c r="J381" s="10">
        <v>-71.373099999999994</v>
      </c>
      <c r="K381" s="10">
        <v>46.843800000000002</v>
      </c>
      <c r="L381" s="10">
        <v>-71.247299999999996</v>
      </c>
      <c r="M381" s="10" t="str">
        <f t="shared" si="35"/>
        <v>C4</v>
      </c>
      <c r="N381" s="10" t="str">
        <f t="shared" si="36"/>
        <v>C50</v>
      </c>
      <c r="O381" s="5">
        <f t="shared" si="40"/>
        <v>11.979650954298638</v>
      </c>
      <c r="P381" s="22">
        <f>O381/Explications!$C$8</f>
        <v>0.39932169847662125</v>
      </c>
      <c r="Q381" s="7" t="str">
        <f t="shared" si="37"/>
        <v>C50</v>
      </c>
      <c r="R381" s="7" t="str">
        <f t="shared" si="38"/>
        <v>C4</v>
      </c>
      <c r="S381" s="18">
        <f t="shared" si="39"/>
        <v>11.979650954298638</v>
      </c>
      <c r="T381" s="18">
        <f>S381/Explications!$C$8</f>
        <v>0.39932169847662125</v>
      </c>
    </row>
    <row r="382" spans="7:20">
      <c r="G382" s="10" t="s">
        <v>18</v>
      </c>
      <c r="H382" s="10" t="s">
        <v>67</v>
      </c>
      <c r="I382" s="10">
        <v>46.908700000000003</v>
      </c>
      <c r="J382" s="10">
        <v>-71.373099999999994</v>
      </c>
      <c r="K382" s="10">
        <v>46.765599999999999</v>
      </c>
      <c r="L382" s="10">
        <v>-71.312100000000001</v>
      </c>
      <c r="M382" s="10" t="str">
        <f t="shared" si="35"/>
        <v>C4</v>
      </c>
      <c r="N382" s="10" t="str">
        <f t="shared" si="36"/>
        <v>C51</v>
      </c>
      <c r="O382" s="5">
        <f t="shared" si="40"/>
        <v>16.574713064883319</v>
      </c>
      <c r="P382" s="22">
        <f>O382/Explications!$C$8</f>
        <v>0.55249043549611065</v>
      </c>
      <c r="Q382" s="7" t="str">
        <f t="shared" si="37"/>
        <v>C51</v>
      </c>
      <c r="R382" s="7" t="str">
        <f t="shared" si="38"/>
        <v>C4</v>
      </c>
      <c r="S382" s="18">
        <f t="shared" si="39"/>
        <v>16.574713064883319</v>
      </c>
      <c r="T382" s="18">
        <f>S382/Explications!$C$8</f>
        <v>0.55249043549611065</v>
      </c>
    </row>
    <row r="383" spans="7:20">
      <c r="G383" s="10" t="s">
        <v>18</v>
      </c>
      <c r="H383" s="10" t="s">
        <v>68</v>
      </c>
      <c r="I383" s="10">
        <v>46.908700000000003</v>
      </c>
      <c r="J383" s="10">
        <v>-71.373099999999994</v>
      </c>
      <c r="K383" s="10">
        <v>46.787599999999998</v>
      </c>
      <c r="L383" s="10">
        <v>-71.288600000000002</v>
      </c>
      <c r="M383" s="10" t="str">
        <f t="shared" si="35"/>
        <v>C4</v>
      </c>
      <c r="N383" s="10" t="str">
        <f t="shared" si="36"/>
        <v>C52</v>
      </c>
      <c r="O383" s="5">
        <f t="shared" si="40"/>
        <v>14.920507525759792</v>
      </c>
      <c r="P383" s="22">
        <f>O383/Explications!$C$8</f>
        <v>0.49735025085865975</v>
      </c>
      <c r="Q383" s="7" t="str">
        <f t="shared" si="37"/>
        <v>C52</v>
      </c>
      <c r="R383" s="7" t="str">
        <f t="shared" si="38"/>
        <v>C4</v>
      </c>
      <c r="S383" s="18">
        <f t="shared" si="39"/>
        <v>14.920507525759792</v>
      </c>
      <c r="T383" s="18">
        <f>S383/Explications!$C$8</f>
        <v>0.49735025085865975</v>
      </c>
    </row>
    <row r="384" spans="7:20">
      <c r="G384" s="10" t="s">
        <v>18</v>
      </c>
      <c r="H384" s="10" t="s">
        <v>69</v>
      </c>
      <c r="I384" s="10">
        <v>46.908700000000003</v>
      </c>
      <c r="J384" s="10">
        <v>-71.373099999999994</v>
      </c>
      <c r="K384" s="10">
        <v>46.764600000000002</v>
      </c>
      <c r="L384" s="10">
        <v>-71.308300000000003</v>
      </c>
      <c r="M384" s="10" t="str">
        <f t="shared" si="35"/>
        <v>C4</v>
      </c>
      <c r="N384" s="10" t="str">
        <f t="shared" si="36"/>
        <v>C53</v>
      </c>
      <c r="O384" s="5">
        <f t="shared" si="40"/>
        <v>16.764203393109131</v>
      </c>
      <c r="P384" s="22">
        <f>O384/Explications!$C$8</f>
        <v>0.55880677977030435</v>
      </c>
      <c r="Q384" s="7" t="str">
        <f t="shared" si="37"/>
        <v>C53</v>
      </c>
      <c r="R384" s="7" t="str">
        <f t="shared" si="38"/>
        <v>C4</v>
      </c>
      <c r="S384" s="18">
        <f t="shared" si="39"/>
        <v>16.764203393109131</v>
      </c>
      <c r="T384" s="18">
        <f>S384/Explications!$C$8</f>
        <v>0.55880677977030435</v>
      </c>
    </row>
    <row r="385" spans="7:20">
      <c r="G385" s="10" t="s">
        <v>18</v>
      </c>
      <c r="H385" s="10" t="s">
        <v>70</v>
      </c>
      <c r="I385" s="10">
        <v>46.908700000000003</v>
      </c>
      <c r="J385" s="10">
        <v>-71.373099999999994</v>
      </c>
      <c r="K385" s="10">
        <v>46.849699999999999</v>
      </c>
      <c r="L385" s="10">
        <v>-71.097399999999993</v>
      </c>
      <c r="M385" s="10" t="str">
        <f t="shared" si="35"/>
        <v>C4</v>
      </c>
      <c r="N385" s="10" t="str">
        <f t="shared" si="36"/>
        <v>C54</v>
      </c>
      <c r="O385" s="5">
        <f t="shared" si="40"/>
        <v>21.957823172049345</v>
      </c>
      <c r="P385" s="22">
        <f>O385/Explications!$C$8</f>
        <v>0.73192743906831148</v>
      </c>
      <c r="Q385" s="7" t="str">
        <f t="shared" si="37"/>
        <v>C54</v>
      </c>
      <c r="R385" s="7" t="str">
        <f t="shared" si="38"/>
        <v>C4</v>
      </c>
      <c r="S385" s="18">
        <f t="shared" si="39"/>
        <v>21.957823172049345</v>
      </c>
      <c r="T385" s="18">
        <f>S385/Explications!$C$8</f>
        <v>0.73192743906831148</v>
      </c>
    </row>
    <row r="386" spans="7:20">
      <c r="G386" s="10" t="s">
        <v>18</v>
      </c>
      <c r="H386" s="10" t="s">
        <v>71</v>
      </c>
      <c r="I386" s="10">
        <v>46.908700000000003</v>
      </c>
      <c r="J386" s="10">
        <v>-71.373099999999994</v>
      </c>
      <c r="K386" s="10">
        <v>46.788899999999998</v>
      </c>
      <c r="L386" s="10">
        <v>-71.321399999999997</v>
      </c>
      <c r="M386" s="10" t="str">
        <f t="shared" si="35"/>
        <v>C4</v>
      </c>
      <c r="N386" s="10" t="str">
        <f t="shared" si="36"/>
        <v>C55</v>
      </c>
      <c r="O386" s="5">
        <f t="shared" si="40"/>
        <v>13.889263404196559</v>
      </c>
      <c r="P386" s="22">
        <f>O386/Explications!$C$8</f>
        <v>0.46297544680655195</v>
      </c>
      <c r="Q386" s="7" t="str">
        <f t="shared" si="37"/>
        <v>C55</v>
      </c>
      <c r="R386" s="7" t="str">
        <f t="shared" si="38"/>
        <v>C4</v>
      </c>
      <c r="S386" s="18">
        <f t="shared" si="39"/>
        <v>13.889263404196559</v>
      </c>
      <c r="T386" s="18">
        <f>S386/Explications!$C$8</f>
        <v>0.46297544680655195</v>
      </c>
    </row>
    <row r="387" spans="7:20">
      <c r="G387" s="10" t="s">
        <v>18</v>
      </c>
      <c r="H387" s="10" t="s">
        <v>72</v>
      </c>
      <c r="I387" s="10">
        <v>46.908700000000003</v>
      </c>
      <c r="J387" s="10">
        <v>-71.373099999999994</v>
      </c>
      <c r="K387" s="10">
        <v>46.795400000000001</v>
      </c>
      <c r="L387" s="10">
        <v>-71.232600000000005</v>
      </c>
      <c r="M387" s="10" t="str">
        <f t="shared" si="35"/>
        <v>C4</v>
      </c>
      <c r="N387" s="10" t="str">
        <f t="shared" si="36"/>
        <v>C56</v>
      </c>
      <c r="O387" s="5">
        <f t="shared" si="40"/>
        <v>16.518848430420906</v>
      </c>
      <c r="P387" s="22">
        <f>O387/Explications!$C$8</f>
        <v>0.55062828101403016</v>
      </c>
      <c r="Q387" s="7" t="str">
        <f t="shared" si="37"/>
        <v>C56</v>
      </c>
      <c r="R387" s="7" t="str">
        <f t="shared" si="38"/>
        <v>C4</v>
      </c>
      <c r="S387" s="18">
        <f t="shared" si="39"/>
        <v>16.518848430420906</v>
      </c>
      <c r="T387" s="18">
        <f>S387/Explications!$C$8</f>
        <v>0.55062828101403016</v>
      </c>
    </row>
    <row r="388" spans="7:20">
      <c r="G388" s="10" t="s">
        <v>18</v>
      </c>
      <c r="H388" s="10" t="s">
        <v>73</v>
      </c>
      <c r="I388" s="10">
        <v>46.908700000000003</v>
      </c>
      <c r="J388" s="10">
        <v>-71.373099999999994</v>
      </c>
      <c r="K388" s="10">
        <v>46.801200000000001</v>
      </c>
      <c r="L388" s="10">
        <v>-71.224999999999994</v>
      </c>
      <c r="M388" s="10" t="str">
        <f t="shared" ref="M388:M451" si="41">G388</f>
        <v>C4</v>
      </c>
      <c r="N388" s="10" t="str">
        <f t="shared" ref="N388:N451" si="42">H388</f>
        <v>C57</v>
      </c>
      <c r="O388" s="5">
        <f t="shared" si="40"/>
        <v>16.422792187603211</v>
      </c>
      <c r="P388" s="22">
        <f>O388/Explications!$C$8</f>
        <v>0.5474264062534403</v>
      </c>
      <c r="Q388" s="7" t="str">
        <f t="shared" ref="Q388:Q451" si="43">N388</f>
        <v>C57</v>
      </c>
      <c r="R388" s="7" t="str">
        <f t="shared" ref="R388:R451" si="44">M388</f>
        <v>C4</v>
      </c>
      <c r="S388" s="18">
        <f t="shared" ref="S388:S451" si="45">O388</f>
        <v>16.422792187603211</v>
      </c>
      <c r="T388" s="18">
        <f>S388/Explications!$C$8</f>
        <v>0.5474264062534403</v>
      </c>
    </row>
    <row r="389" spans="7:20">
      <c r="G389" s="10" t="s">
        <v>18</v>
      </c>
      <c r="H389" s="10" t="s">
        <v>74</v>
      </c>
      <c r="I389" s="10">
        <v>46.908700000000003</v>
      </c>
      <c r="J389" s="10">
        <v>-71.373099999999994</v>
      </c>
      <c r="K389" s="10">
        <v>46.773200000000003</v>
      </c>
      <c r="L389" s="10">
        <v>-71.275899999999993</v>
      </c>
      <c r="M389" s="10" t="str">
        <f t="shared" si="41"/>
        <v>C4</v>
      </c>
      <c r="N389" s="10" t="str">
        <f t="shared" si="42"/>
        <v>C58</v>
      </c>
      <c r="O389" s="5">
        <f t="shared" si="40"/>
        <v>16.782996243134765</v>
      </c>
      <c r="P389" s="22">
        <f>O389/Explications!$C$8</f>
        <v>0.55943320810449215</v>
      </c>
      <c r="Q389" s="7" t="str">
        <f t="shared" si="43"/>
        <v>C58</v>
      </c>
      <c r="R389" s="7" t="str">
        <f t="shared" si="44"/>
        <v>C4</v>
      </c>
      <c r="S389" s="18">
        <f t="shared" si="45"/>
        <v>16.782996243134765</v>
      </c>
      <c r="T389" s="18">
        <f>S389/Explications!$C$8</f>
        <v>0.55943320810449215</v>
      </c>
    </row>
    <row r="390" spans="7:20">
      <c r="G390" s="10" t="s">
        <v>18</v>
      </c>
      <c r="H390" s="10" t="s">
        <v>75</v>
      </c>
      <c r="I390" s="10">
        <v>46.908700000000003</v>
      </c>
      <c r="J390" s="10">
        <v>-71.373099999999994</v>
      </c>
      <c r="K390" s="10">
        <v>46.814399999999999</v>
      </c>
      <c r="L390" s="10">
        <v>-71.225700000000003</v>
      </c>
      <c r="M390" s="10" t="str">
        <f t="shared" si="41"/>
        <v>C4</v>
      </c>
      <c r="N390" s="10" t="str">
        <f t="shared" si="42"/>
        <v>C59</v>
      </c>
      <c r="O390" s="5">
        <f t="shared" si="40"/>
        <v>15.347497141590582</v>
      </c>
      <c r="P390" s="22">
        <f>O390/Explications!$C$8</f>
        <v>0.51158323805301942</v>
      </c>
      <c r="Q390" s="7" t="str">
        <f t="shared" si="43"/>
        <v>C59</v>
      </c>
      <c r="R390" s="7" t="str">
        <f t="shared" si="44"/>
        <v>C4</v>
      </c>
      <c r="S390" s="18">
        <f t="shared" si="45"/>
        <v>15.347497141590582</v>
      </c>
      <c r="T390" s="18">
        <f>S390/Explications!$C$8</f>
        <v>0.51158323805301942</v>
      </c>
    </row>
    <row r="391" spans="7:20">
      <c r="G391" s="10" t="s">
        <v>18</v>
      </c>
      <c r="H391" s="10" t="s">
        <v>76</v>
      </c>
      <c r="I391" s="10">
        <v>46.908700000000003</v>
      </c>
      <c r="J391" s="10">
        <v>-71.373099999999994</v>
      </c>
      <c r="K391" s="10">
        <v>46.772500000000001</v>
      </c>
      <c r="L391" s="10">
        <v>-71.276300000000006</v>
      </c>
      <c r="M391" s="10" t="str">
        <f t="shared" si="41"/>
        <v>C4</v>
      </c>
      <c r="N391" s="10" t="str">
        <f t="shared" si="42"/>
        <v>C60</v>
      </c>
      <c r="O391" s="5">
        <f t="shared" si="40"/>
        <v>16.839605380769264</v>
      </c>
      <c r="P391" s="22">
        <f>O391/Explications!$C$8</f>
        <v>0.56132017935897549</v>
      </c>
      <c r="Q391" s="7" t="str">
        <f t="shared" si="43"/>
        <v>C60</v>
      </c>
      <c r="R391" s="7" t="str">
        <f t="shared" si="44"/>
        <v>C4</v>
      </c>
      <c r="S391" s="18">
        <f t="shared" si="45"/>
        <v>16.839605380769264</v>
      </c>
      <c r="T391" s="18">
        <f>S391/Explications!$C$8</f>
        <v>0.56132017935897549</v>
      </c>
    </row>
    <row r="392" spans="7:20">
      <c r="G392" s="10" t="s">
        <v>18</v>
      </c>
      <c r="H392" s="10" t="s">
        <v>77</v>
      </c>
      <c r="I392" s="10">
        <v>46.908700000000003</v>
      </c>
      <c r="J392" s="10">
        <v>-71.373099999999994</v>
      </c>
      <c r="K392" s="10">
        <v>46.810899999999997</v>
      </c>
      <c r="L392" s="10">
        <v>-71.215599999999995</v>
      </c>
      <c r="M392" s="10" t="str">
        <f t="shared" si="41"/>
        <v>C4</v>
      </c>
      <c r="N392" s="10" t="str">
        <f t="shared" si="42"/>
        <v>C61</v>
      </c>
      <c r="O392" s="5">
        <f t="shared" si="40"/>
        <v>16.176210646971853</v>
      </c>
      <c r="P392" s="22">
        <f>O392/Explications!$C$8</f>
        <v>0.53920702156572842</v>
      </c>
      <c r="Q392" s="7" t="str">
        <f t="shared" si="43"/>
        <v>C61</v>
      </c>
      <c r="R392" s="7" t="str">
        <f t="shared" si="44"/>
        <v>C4</v>
      </c>
      <c r="S392" s="18">
        <f t="shared" si="45"/>
        <v>16.176210646971853</v>
      </c>
      <c r="T392" s="18">
        <f>S392/Explications!$C$8</f>
        <v>0.53920702156572842</v>
      </c>
    </row>
    <row r="393" spans="7:20">
      <c r="G393" s="10" t="s">
        <v>18</v>
      </c>
      <c r="H393" s="10" t="s">
        <v>78</v>
      </c>
      <c r="I393" s="10">
        <v>46.908700000000003</v>
      </c>
      <c r="J393" s="10">
        <v>-71.373099999999994</v>
      </c>
      <c r="K393" s="10">
        <v>46.795200000000001</v>
      </c>
      <c r="L393" s="10">
        <v>-71.245099999999994</v>
      </c>
      <c r="M393" s="10" t="str">
        <f t="shared" si="41"/>
        <v>C4</v>
      </c>
      <c r="N393" s="10" t="str">
        <f t="shared" si="42"/>
        <v>C62</v>
      </c>
      <c r="O393" s="5">
        <f t="shared" si="40"/>
        <v>15.938167438964076</v>
      </c>
      <c r="P393" s="22">
        <f>O393/Explications!$C$8</f>
        <v>0.53127224796546924</v>
      </c>
      <c r="Q393" s="7" t="str">
        <f t="shared" si="43"/>
        <v>C62</v>
      </c>
      <c r="R393" s="7" t="str">
        <f t="shared" si="44"/>
        <v>C4</v>
      </c>
      <c r="S393" s="18">
        <f t="shared" si="45"/>
        <v>15.938167438964076</v>
      </c>
      <c r="T393" s="18">
        <f>S393/Explications!$C$8</f>
        <v>0.53127224796546924</v>
      </c>
    </row>
    <row r="394" spans="7:20">
      <c r="G394" s="10" t="s">
        <v>18</v>
      </c>
      <c r="H394" s="10" t="s">
        <v>79</v>
      </c>
      <c r="I394" s="10">
        <v>46.908700000000003</v>
      </c>
      <c r="J394" s="10">
        <v>-71.373099999999994</v>
      </c>
      <c r="K394" s="10">
        <v>46.822000000000003</v>
      </c>
      <c r="L394" s="10">
        <v>-71.345699999999994</v>
      </c>
      <c r="M394" s="10" t="str">
        <f t="shared" si="41"/>
        <v>C4</v>
      </c>
      <c r="N394" s="10" t="str">
        <f t="shared" si="42"/>
        <v>C63</v>
      </c>
      <c r="O394" s="5">
        <f t="shared" si="40"/>
        <v>9.8630870537596316</v>
      </c>
      <c r="P394" s="22">
        <f>O394/Explications!$C$8</f>
        <v>0.3287695684586544</v>
      </c>
      <c r="Q394" s="7" t="str">
        <f t="shared" si="43"/>
        <v>C63</v>
      </c>
      <c r="R394" s="7" t="str">
        <f t="shared" si="44"/>
        <v>C4</v>
      </c>
      <c r="S394" s="18">
        <f t="shared" si="45"/>
        <v>9.8630870537596316</v>
      </c>
      <c r="T394" s="18">
        <f>S394/Explications!$C$8</f>
        <v>0.3287695684586544</v>
      </c>
    </row>
    <row r="395" spans="7:20">
      <c r="G395" s="10" t="s">
        <v>18</v>
      </c>
      <c r="H395" s="10" t="s">
        <v>80</v>
      </c>
      <c r="I395" s="10">
        <v>46.908700000000003</v>
      </c>
      <c r="J395" s="10">
        <v>-71.373099999999994</v>
      </c>
      <c r="K395" s="10">
        <v>46.779400000000003</v>
      </c>
      <c r="L395" s="10">
        <v>-71.350399999999993</v>
      </c>
      <c r="M395" s="10" t="str">
        <f t="shared" si="41"/>
        <v>C4</v>
      </c>
      <c r="N395" s="10" t="str">
        <f t="shared" si="42"/>
        <v>C64</v>
      </c>
      <c r="O395" s="5">
        <f t="shared" si="40"/>
        <v>14.480790901185992</v>
      </c>
      <c r="P395" s="22">
        <f>O395/Explications!$C$8</f>
        <v>0.48269303003953307</v>
      </c>
      <c r="Q395" s="7" t="str">
        <f t="shared" si="43"/>
        <v>C64</v>
      </c>
      <c r="R395" s="7" t="str">
        <f t="shared" si="44"/>
        <v>C4</v>
      </c>
      <c r="S395" s="18">
        <f t="shared" si="45"/>
        <v>14.480790901185992</v>
      </c>
      <c r="T395" s="18">
        <f>S395/Explications!$C$8</f>
        <v>0.48269303003953307</v>
      </c>
    </row>
    <row r="396" spans="7:20">
      <c r="G396" s="10" t="s">
        <v>18</v>
      </c>
      <c r="H396" s="10" t="s">
        <v>81</v>
      </c>
      <c r="I396" s="10">
        <v>46.908700000000003</v>
      </c>
      <c r="J396" s="10">
        <v>-71.373099999999994</v>
      </c>
      <c r="K396" s="10">
        <v>46.772300000000001</v>
      </c>
      <c r="L396" s="10">
        <v>-71.279799999999994</v>
      </c>
      <c r="M396" s="10" t="str">
        <f t="shared" si="41"/>
        <v>C4</v>
      </c>
      <c r="N396" s="10" t="str">
        <f t="shared" si="42"/>
        <v>C65</v>
      </c>
      <c r="O396" s="5">
        <f t="shared" si="40"/>
        <v>16.74507103788633</v>
      </c>
      <c r="P396" s="22">
        <f>O396/Explications!$C$8</f>
        <v>0.55816903459621103</v>
      </c>
      <c r="Q396" s="7" t="str">
        <f t="shared" si="43"/>
        <v>C65</v>
      </c>
      <c r="R396" s="7" t="str">
        <f t="shared" si="44"/>
        <v>C4</v>
      </c>
      <c r="S396" s="18">
        <f t="shared" si="45"/>
        <v>16.74507103788633</v>
      </c>
      <c r="T396" s="18">
        <f>S396/Explications!$C$8</f>
        <v>0.55816903459621103</v>
      </c>
    </row>
    <row r="397" spans="7:20">
      <c r="G397" s="10" t="s">
        <v>18</v>
      </c>
      <c r="H397" s="10" t="s">
        <v>82</v>
      </c>
      <c r="I397" s="10">
        <v>46.908700000000003</v>
      </c>
      <c r="J397" s="10">
        <v>-71.373099999999994</v>
      </c>
      <c r="K397" s="10">
        <v>46.814900000000002</v>
      </c>
      <c r="L397" s="10">
        <v>-71.225200000000001</v>
      </c>
      <c r="M397" s="10" t="str">
        <f t="shared" si="41"/>
        <v>C4</v>
      </c>
      <c r="N397" s="10" t="str">
        <f t="shared" si="42"/>
        <v>C66</v>
      </c>
      <c r="O397" s="5">
        <f t="shared" si="40"/>
        <v>15.337377567109195</v>
      </c>
      <c r="P397" s="22">
        <f>O397/Explications!$C$8</f>
        <v>0.5112459189036398</v>
      </c>
      <c r="Q397" s="7" t="str">
        <f t="shared" si="43"/>
        <v>C66</v>
      </c>
      <c r="R397" s="7" t="str">
        <f t="shared" si="44"/>
        <v>C4</v>
      </c>
      <c r="S397" s="18">
        <f t="shared" si="45"/>
        <v>15.337377567109195</v>
      </c>
      <c r="T397" s="18">
        <f>S397/Explications!$C$8</f>
        <v>0.5112459189036398</v>
      </c>
    </row>
    <row r="398" spans="7:20">
      <c r="G398" s="10" t="s">
        <v>18</v>
      </c>
      <c r="H398" s="10" t="s">
        <v>83</v>
      </c>
      <c r="I398" s="10">
        <v>46.908700000000003</v>
      </c>
      <c r="J398" s="10">
        <v>-71.373099999999994</v>
      </c>
      <c r="K398" s="10">
        <v>46.814700000000002</v>
      </c>
      <c r="L398" s="10">
        <v>-71.207300000000004</v>
      </c>
      <c r="M398" s="10" t="str">
        <f t="shared" si="41"/>
        <v>C4</v>
      </c>
      <c r="N398" s="10" t="str">
        <f t="shared" si="42"/>
        <v>C67</v>
      </c>
      <c r="O398" s="5">
        <f t="shared" si="40"/>
        <v>16.375587345678177</v>
      </c>
      <c r="P398" s="22">
        <f>O398/Explications!$C$8</f>
        <v>0.54585291152260595</v>
      </c>
      <c r="Q398" s="7" t="str">
        <f t="shared" si="43"/>
        <v>C67</v>
      </c>
      <c r="R398" s="7" t="str">
        <f t="shared" si="44"/>
        <v>C4</v>
      </c>
      <c r="S398" s="18">
        <f t="shared" si="45"/>
        <v>16.375587345678177</v>
      </c>
      <c r="T398" s="18">
        <f>S398/Explications!$C$8</f>
        <v>0.54585291152260595</v>
      </c>
    </row>
    <row r="399" spans="7:20">
      <c r="G399" s="10" t="s">
        <v>18</v>
      </c>
      <c r="H399" s="10" t="s">
        <v>84</v>
      </c>
      <c r="I399" s="10">
        <v>46.908700000000003</v>
      </c>
      <c r="J399" s="10">
        <v>-71.373099999999994</v>
      </c>
      <c r="K399" s="10">
        <v>46.815600000000003</v>
      </c>
      <c r="L399" s="10">
        <v>-71.2029</v>
      </c>
      <c r="M399" s="10" t="str">
        <f t="shared" si="41"/>
        <v>C4</v>
      </c>
      <c r="N399" s="10" t="str">
        <f t="shared" si="42"/>
        <v>C68</v>
      </c>
      <c r="O399" s="5">
        <f t="shared" si="40"/>
        <v>16.571698282148489</v>
      </c>
      <c r="P399" s="22">
        <f>O399/Explications!$C$8</f>
        <v>0.55238994273828301</v>
      </c>
      <c r="Q399" s="7" t="str">
        <f t="shared" si="43"/>
        <v>C68</v>
      </c>
      <c r="R399" s="7" t="str">
        <f t="shared" si="44"/>
        <v>C4</v>
      </c>
      <c r="S399" s="18">
        <f t="shared" si="45"/>
        <v>16.571698282148489</v>
      </c>
      <c r="T399" s="18">
        <f>S399/Explications!$C$8</f>
        <v>0.55238994273828301</v>
      </c>
    </row>
    <row r="400" spans="7:20">
      <c r="G400" s="10" t="s">
        <v>18</v>
      </c>
      <c r="H400" s="10" t="s">
        <v>85</v>
      </c>
      <c r="I400" s="10">
        <v>46.908700000000003</v>
      </c>
      <c r="J400" s="10">
        <v>-71.373099999999994</v>
      </c>
      <c r="K400" s="10">
        <v>46.821899999999999</v>
      </c>
      <c r="L400" s="10">
        <v>-71.249899999999997</v>
      </c>
      <c r="M400" s="10" t="str">
        <f t="shared" si="41"/>
        <v>C4</v>
      </c>
      <c r="N400" s="10" t="str">
        <f t="shared" si="42"/>
        <v>C69</v>
      </c>
      <c r="O400" s="5">
        <f t="shared" si="40"/>
        <v>13.449330682366597</v>
      </c>
      <c r="P400" s="22">
        <f>O400/Explications!$C$8</f>
        <v>0.44831102274555323</v>
      </c>
      <c r="Q400" s="7" t="str">
        <f t="shared" si="43"/>
        <v>C69</v>
      </c>
      <c r="R400" s="7" t="str">
        <f t="shared" si="44"/>
        <v>C4</v>
      </c>
      <c r="S400" s="18">
        <f t="shared" si="45"/>
        <v>13.449330682366597</v>
      </c>
      <c r="T400" s="18">
        <f>S400/Explications!$C$8</f>
        <v>0.44831102274555323</v>
      </c>
    </row>
    <row r="401" spans="7:20">
      <c r="G401" s="10" t="s">
        <v>18</v>
      </c>
      <c r="H401" s="10" t="s">
        <v>86</v>
      </c>
      <c r="I401" s="10">
        <v>46.908700000000003</v>
      </c>
      <c r="J401" s="10">
        <v>-71.373099999999994</v>
      </c>
      <c r="K401" s="10">
        <v>46.8872</v>
      </c>
      <c r="L401" s="10">
        <v>-71.27</v>
      </c>
      <c r="M401" s="10" t="str">
        <f t="shared" si="41"/>
        <v>C4</v>
      </c>
      <c r="N401" s="10" t="str">
        <f t="shared" si="42"/>
        <v>C70</v>
      </c>
      <c r="O401" s="5">
        <f t="shared" si="40"/>
        <v>8.190169228471234</v>
      </c>
      <c r="P401" s="22">
        <f>O401/Explications!$C$8</f>
        <v>0.27300564094904112</v>
      </c>
      <c r="Q401" s="7" t="str">
        <f t="shared" si="43"/>
        <v>C70</v>
      </c>
      <c r="R401" s="7" t="str">
        <f t="shared" si="44"/>
        <v>C4</v>
      </c>
      <c r="S401" s="18">
        <f t="shared" si="45"/>
        <v>8.190169228471234</v>
      </c>
      <c r="T401" s="18">
        <f>S401/Explications!$C$8</f>
        <v>0.27300564094904112</v>
      </c>
    </row>
    <row r="402" spans="7:20">
      <c r="G402" s="10" t="s">
        <v>18</v>
      </c>
      <c r="H402" s="10" t="s">
        <v>87</v>
      </c>
      <c r="I402" s="10">
        <v>46.908700000000003</v>
      </c>
      <c r="J402" s="10">
        <v>-71.373099999999994</v>
      </c>
      <c r="K402" s="10">
        <v>46.816299999999998</v>
      </c>
      <c r="L402" s="10">
        <v>-71.210300000000004</v>
      </c>
      <c r="M402" s="10" t="str">
        <f t="shared" si="41"/>
        <v>C4</v>
      </c>
      <c r="N402" s="10" t="str">
        <f t="shared" si="42"/>
        <v>C71</v>
      </c>
      <c r="O402" s="5">
        <f t="shared" si="40"/>
        <v>16.086303982981267</v>
      </c>
      <c r="P402" s="22">
        <f>O402/Explications!$C$8</f>
        <v>0.53621013276604224</v>
      </c>
      <c r="Q402" s="7" t="str">
        <f t="shared" si="43"/>
        <v>C71</v>
      </c>
      <c r="R402" s="7" t="str">
        <f t="shared" si="44"/>
        <v>C4</v>
      </c>
      <c r="S402" s="18">
        <f t="shared" si="45"/>
        <v>16.086303982981267</v>
      </c>
      <c r="T402" s="18">
        <f>S402/Explications!$C$8</f>
        <v>0.53621013276604224</v>
      </c>
    </row>
    <row r="403" spans="7:20">
      <c r="G403" s="10" t="s">
        <v>18</v>
      </c>
      <c r="H403" s="10" t="s">
        <v>88</v>
      </c>
      <c r="I403" s="10">
        <v>46.908700000000003</v>
      </c>
      <c r="J403" s="10">
        <v>-71.373099999999994</v>
      </c>
      <c r="K403" s="10">
        <v>46.807000000000002</v>
      </c>
      <c r="L403" s="10">
        <v>-71.3566</v>
      </c>
      <c r="M403" s="10" t="str">
        <f t="shared" si="41"/>
        <v>C4</v>
      </c>
      <c r="N403" s="10" t="str">
        <f t="shared" si="42"/>
        <v>C72</v>
      </c>
      <c r="O403" s="5">
        <f t="shared" si="40"/>
        <v>11.377905431812977</v>
      </c>
      <c r="P403" s="22">
        <f>O403/Explications!$C$8</f>
        <v>0.37926351439376588</v>
      </c>
      <c r="Q403" s="7" t="str">
        <f t="shared" si="43"/>
        <v>C72</v>
      </c>
      <c r="R403" s="7" t="str">
        <f t="shared" si="44"/>
        <v>C4</v>
      </c>
      <c r="S403" s="18">
        <f t="shared" si="45"/>
        <v>11.377905431812977</v>
      </c>
      <c r="T403" s="18">
        <f>S403/Explications!$C$8</f>
        <v>0.37926351439376588</v>
      </c>
    </row>
    <row r="404" spans="7:20">
      <c r="G404" s="10" t="s">
        <v>18</v>
      </c>
      <c r="H404" s="10" t="s">
        <v>89</v>
      </c>
      <c r="I404" s="10">
        <v>46.908700000000003</v>
      </c>
      <c r="J404" s="10">
        <v>-71.373099999999994</v>
      </c>
      <c r="K404" s="10">
        <v>46.822899999999997</v>
      </c>
      <c r="L404" s="10">
        <v>-71.341899999999995</v>
      </c>
      <c r="M404" s="10" t="str">
        <f t="shared" si="41"/>
        <v>C4</v>
      </c>
      <c r="N404" s="10" t="str">
        <f t="shared" si="42"/>
        <v>C73</v>
      </c>
      <c r="O404" s="5">
        <f t="shared" si="40"/>
        <v>9.8309663805717129</v>
      </c>
      <c r="P404" s="22">
        <f>O404/Explications!$C$8</f>
        <v>0.32769887935239045</v>
      </c>
      <c r="Q404" s="7" t="str">
        <f t="shared" si="43"/>
        <v>C73</v>
      </c>
      <c r="R404" s="7" t="str">
        <f t="shared" si="44"/>
        <v>C4</v>
      </c>
      <c r="S404" s="18">
        <f t="shared" si="45"/>
        <v>9.8309663805717129</v>
      </c>
      <c r="T404" s="18">
        <f>S404/Explications!$C$8</f>
        <v>0.32769887935239045</v>
      </c>
    </row>
    <row r="405" spans="7:20">
      <c r="G405" s="10" t="s">
        <v>18</v>
      </c>
      <c r="H405" s="10" t="s">
        <v>90</v>
      </c>
      <c r="I405" s="10">
        <v>46.908700000000003</v>
      </c>
      <c r="J405" s="10">
        <v>-71.373099999999994</v>
      </c>
      <c r="K405" s="10">
        <v>46.730699999999999</v>
      </c>
      <c r="L405" s="10">
        <v>-71.261099999999999</v>
      </c>
      <c r="M405" s="10" t="str">
        <f t="shared" si="41"/>
        <v>C4</v>
      </c>
      <c r="N405" s="10" t="str">
        <f t="shared" si="42"/>
        <v>C74</v>
      </c>
      <c r="O405" s="5">
        <f t="shared" si="40"/>
        <v>21.549407997047343</v>
      </c>
      <c r="P405" s="22">
        <f>O405/Explications!$C$8</f>
        <v>0.71831359990157806</v>
      </c>
      <c r="Q405" s="7" t="str">
        <f t="shared" si="43"/>
        <v>C74</v>
      </c>
      <c r="R405" s="7" t="str">
        <f t="shared" si="44"/>
        <v>C4</v>
      </c>
      <c r="S405" s="18">
        <f t="shared" si="45"/>
        <v>21.549407997047343</v>
      </c>
      <c r="T405" s="18">
        <f>S405/Explications!$C$8</f>
        <v>0.71831359990157806</v>
      </c>
    </row>
    <row r="406" spans="7:20">
      <c r="G406" s="10" t="s">
        <v>18</v>
      </c>
      <c r="H406" s="10" t="s">
        <v>91</v>
      </c>
      <c r="I406" s="10">
        <v>46.908700000000003</v>
      </c>
      <c r="J406" s="10">
        <v>-71.373099999999994</v>
      </c>
      <c r="K406" s="10">
        <v>46.840600000000002</v>
      </c>
      <c r="L406" s="10">
        <v>-71.289100000000005</v>
      </c>
      <c r="M406" s="10" t="str">
        <f t="shared" si="41"/>
        <v>C4</v>
      </c>
      <c r="N406" s="10" t="str">
        <f t="shared" si="42"/>
        <v>C75</v>
      </c>
      <c r="O406" s="5">
        <f t="shared" si="40"/>
        <v>9.9050333198485099</v>
      </c>
      <c r="P406" s="22">
        <f>O406/Explications!$C$8</f>
        <v>0.33016777732828367</v>
      </c>
      <c r="Q406" s="7" t="str">
        <f t="shared" si="43"/>
        <v>C75</v>
      </c>
      <c r="R406" s="7" t="str">
        <f t="shared" si="44"/>
        <v>C4</v>
      </c>
      <c r="S406" s="18">
        <f t="shared" si="45"/>
        <v>9.9050333198485099</v>
      </c>
      <c r="T406" s="18">
        <f>S406/Explications!$C$8</f>
        <v>0.33016777732828367</v>
      </c>
    </row>
    <row r="407" spans="7:20">
      <c r="G407" s="10" t="s">
        <v>18</v>
      </c>
      <c r="H407" s="10" t="s">
        <v>92</v>
      </c>
      <c r="I407" s="10">
        <v>46.908700000000003</v>
      </c>
      <c r="J407" s="10">
        <v>-71.373099999999994</v>
      </c>
      <c r="K407" s="10">
        <v>46.840600000000002</v>
      </c>
      <c r="L407" s="10">
        <v>-71.281599999999997</v>
      </c>
      <c r="M407" s="10" t="str">
        <f t="shared" si="41"/>
        <v>C4</v>
      </c>
      <c r="N407" s="10" t="str">
        <f t="shared" si="42"/>
        <v>C76</v>
      </c>
      <c r="O407" s="5">
        <f t="shared" si="40"/>
        <v>10.281772168820229</v>
      </c>
      <c r="P407" s="22">
        <f>O407/Explications!$C$8</f>
        <v>0.34272573896067432</v>
      </c>
      <c r="Q407" s="7" t="str">
        <f t="shared" si="43"/>
        <v>C76</v>
      </c>
      <c r="R407" s="7" t="str">
        <f t="shared" si="44"/>
        <v>C4</v>
      </c>
      <c r="S407" s="18">
        <f t="shared" si="45"/>
        <v>10.281772168820229</v>
      </c>
      <c r="T407" s="18">
        <f>S407/Explications!$C$8</f>
        <v>0.34272573896067432</v>
      </c>
    </row>
    <row r="408" spans="7:20">
      <c r="G408" s="10" t="s">
        <v>18</v>
      </c>
      <c r="H408" s="10" t="s">
        <v>93</v>
      </c>
      <c r="I408" s="10">
        <v>46.908700000000003</v>
      </c>
      <c r="J408" s="10">
        <v>-71.373099999999994</v>
      </c>
      <c r="K408" s="10">
        <v>46.839399999999998</v>
      </c>
      <c r="L408" s="10">
        <v>-71.282600000000002</v>
      </c>
      <c r="M408" s="10" t="str">
        <f t="shared" si="41"/>
        <v>C4</v>
      </c>
      <c r="N408" s="10" t="str">
        <f t="shared" si="42"/>
        <v>C77</v>
      </c>
      <c r="O408" s="5">
        <f t="shared" si="40"/>
        <v>10.329711861659158</v>
      </c>
      <c r="P408" s="22">
        <f>O408/Explications!$C$8</f>
        <v>0.34432372872197192</v>
      </c>
      <c r="Q408" s="7" t="str">
        <f t="shared" si="43"/>
        <v>C77</v>
      </c>
      <c r="R408" s="7" t="str">
        <f t="shared" si="44"/>
        <v>C4</v>
      </c>
      <c r="S408" s="18">
        <f t="shared" si="45"/>
        <v>10.329711861659158</v>
      </c>
      <c r="T408" s="18">
        <f>S408/Explications!$C$8</f>
        <v>0.34432372872197192</v>
      </c>
    </row>
    <row r="409" spans="7:20">
      <c r="G409" s="10" t="s">
        <v>18</v>
      </c>
      <c r="H409" s="10" t="s">
        <v>94</v>
      </c>
      <c r="I409" s="10">
        <v>46.908700000000003</v>
      </c>
      <c r="J409" s="10">
        <v>-71.373099999999994</v>
      </c>
      <c r="K409" s="10">
        <v>46.788499999999999</v>
      </c>
      <c r="L409" s="10">
        <v>-71.282399999999996</v>
      </c>
      <c r="M409" s="10" t="str">
        <f t="shared" si="41"/>
        <v>C4</v>
      </c>
      <c r="N409" s="10" t="str">
        <f t="shared" si="42"/>
        <v>C78</v>
      </c>
      <c r="O409" s="5">
        <f t="shared" si="40"/>
        <v>15.04054397882217</v>
      </c>
      <c r="P409" s="22">
        <f>O409/Explications!$C$8</f>
        <v>0.50135146596073898</v>
      </c>
      <c r="Q409" s="7" t="str">
        <f t="shared" si="43"/>
        <v>C78</v>
      </c>
      <c r="R409" s="7" t="str">
        <f t="shared" si="44"/>
        <v>C4</v>
      </c>
      <c r="S409" s="18">
        <f t="shared" si="45"/>
        <v>15.04054397882217</v>
      </c>
      <c r="T409" s="18">
        <f>S409/Explications!$C$8</f>
        <v>0.50135146596073898</v>
      </c>
    </row>
    <row r="410" spans="7:20">
      <c r="G410" s="10" t="s">
        <v>18</v>
      </c>
      <c r="H410" s="10" t="s">
        <v>95</v>
      </c>
      <c r="I410" s="10">
        <v>46.908700000000003</v>
      </c>
      <c r="J410" s="10">
        <v>-71.373099999999994</v>
      </c>
      <c r="K410" s="10">
        <v>46.840699999999998</v>
      </c>
      <c r="L410" s="10">
        <v>-71.325400000000002</v>
      </c>
      <c r="M410" s="10" t="str">
        <f t="shared" si="41"/>
        <v>C4</v>
      </c>
      <c r="N410" s="10" t="str">
        <f t="shared" si="42"/>
        <v>C79</v>
      </c>
      <c r="O410" s="5">
        <f t="shared" si="40"/>
        <v>8.3856389848823287</v>
      </c>
      <c r="P410" s="22">
        <f>O410/Explications!$C$8</f>
        <v>0.27952129949607762</v>
      </c>
      <c r="Q410" s="7" t="str">
        <f t="shared" si="43"/>
        <v>C79</v>
      </c>
      <c r="R410" s="7" t="str">
        <f t="shared" si="44"/>
        <v>C4</v>
      </c>
      <c r="S410" s="18">
        <f t="shared" si="45"/>
        <v>8.3856389848823287</v>
      </c>
      <c r="T410" s="18">
        <f>S410/Explications!$C$8</f>
        <v>0.27952129949607762</v>
      </c>
    </row>
    <row r="411" spans="7:20">
      <c r="G411" s="10" t="s">
        <v>18</v>
      </c>
      <c r="H411" s="10" t="s">
        <v>96</v>
      </c>
      <c r="I411" s="10">
        <v>46.908700000000003</v>
      </c>
      <c r="J411" s="10">
        <v>-71.373099999999994</v>
      </c>
      <c r="K411" s="10">
        <v>46.798400000000001</v>
      </c>
      <c r="L411" s="10">
        <v>-71.183199999999999</v>
      </c>
      <c r="M411" s="10" t="str">
        <f t="shared" si="41"/>
        <v>C4</v>
      </c>
      <c r="N411" s="10" t="str">
        <f t="shared" si="42"/>
        <v>C80</v>
      </c>
      <c r="O411" s="5">
        <f t="shared" si="40"/>
        <v>18.946013973723119</v>
      </c>
      <c r="P411" s="22">
        <f>O411/Explications!$C$8</f>
        <v>0.63153379912410401</v>
      </c>
      <c r="Q411" s="7" t="str">
        <f t="shared" si="43"/>
        <v>C80</v>
      </c>
      <c r="R411" s="7" t="str">
        <f t="shared" si="44"/>
        <v>C4</v>
      </c>
      <c r="S411" s="18">
        <f t="shared" si="45"/>
        <v>18.946013973723119</v>
      </c>
      <c r="T411" s="18">
        <f>S411/Explications!$C$8</f>
        <v>0.63153379912410401</v>
      </c>
    </row>
    <row r="412" spans="7:20">
      <c r="G412" s="10" t="s">
        <v>18</v>
      </c>
      <c r="H412" s="10" t="s">
        <v>97</v>
      </c>
      <c r="I412" s="10">
        <v>46.908700000000003</v>
      </c>
      <c r="J412" s="10">
        <v>-71.373099999999994</v>
      </c>
      <c r="K412" s="10">
        <v>46.724800000000002</v>
      </c>
      <c r="L412" s="10">
        <v>-71.2988</v>
      </c>
      <c r="M412" s="10" t="str">
        <f t="shared" si="41"/>
        <v>C4</v>
      </c>
      <c r="N412" s="10" t="str">
        <f t="shared" si="42"/>
        <v>C81</v>
      </c>
      <c r="O412" s="5">
        <f t="shared" si="40"/>
        <v>21.215956206355081</v>
      </c>
      <c r="P412" s="22">
        <f>O412/Explications!$C$8</f>
        <v>0.70719854021183604</v>
      </c>
      <c r="Q412" s="7" t="str">
        <f t="shared" si="43"/>
        <v>C81</v>
      </c>
      <c r="R412" s="7" t="str">
        <f t="shared" si="44"/>
        <v>C4</v>
      </c>
      <c r="S412" s="18">
        <f t="shared" si="45"/>
        <v>21.215956206355081</v>
      </c>
      <c r="T412" s="18">
        <f>S412/Explications!$C$8</f>
        <v>0.70719854021183604</v>
      </c>
    </row>
    <row r="413" spans="7:20">
      <c r="G413" s="10" t="s">
        <v>18</v>
      </c>
      <c r="H413" s="10" t="s">
        <v>98</v>
      </c>
      <c r="I413" s="10">
        <v>46.908700000000003</v>
      </c>
      <c r="J413" s="10">
        <v>-71.373099999999994</v>
      </c>
      <c r="K413" s="10">
        <v>46.795499999999997</v>
      </c>
      <c r="L413" s="10">
        <v>-71.242900000000006</v>
      </c>
      <c r="M413" s="10" t="str">
        <f t="shared" si="41"/>
        <v>C4</v>
      </c>
      <c r="N413" s="10" t="str">
        <f t="shared" si="42"/>
        <v>C82</v>
      </c>
      <c r="O413" s="5">
        <f t="shared" si="40"/>
        <v>16.014636611931991</v>
      </c>
      <c r="P413" s="22">
        <f>O413/Explications!$C$8</f>
        <v>0.53382122039773305</v>
      </c>
      <c r="Q413" s="7" t="str">
        <f t="shared" si="43"/>
        <v>C82</v>
      </c>
      <c r="R413" s="7" t="str">
        <f t="shared" si="44"/>
        <v>C4</v>
      </c>
      <c r="S413" s="18">
        <f t="shared" si="45"/>
        <v>16.014636611931991</v>
      </c>
      <c r="T413" s="18">
        <f>S413/Explications!$C$8</f>
        <v>0.53382122039773305</v>
      </c>
    </row>
    <row r="414" spans="7:20">
      <c r="G414" s="10" t="s">
        <v>18</v>
      </c>
      <c r="H414" s="10" t="s">
        <v>99</v>
      </c>
      <c r="I414" s="10">
        <v>46.908700000000003</v>
      </c>
      <c r="J414" s="10">
        <v>-71.373099999999994</v>
      </c>
      <c r="K414" s="10">
        <v>46.8157</v>
      </c>
      <c r="L414" s="10">
        <v>-71.201899999999995</v>
      </c>
      <c r="M414" s="10" t="str">
        <f t="shared" si="41"/>
        <v>C4</v>
      </c>
      <c r="N414" s="10" t="str">
        <f t="shared" si="42"/>
        <v>C83</v>
      </c>
      <c r="O414" s="5">
        <f t="shared" si="40"/>
        <v>16.624207020667576</v>
      </c>
      <c r="P414" s="22">
        <f>O414/Explications!$C$8</f>
        <v>0.55414023402225254</v>
      </c>
      <c r="Q414" s="7" t="str">
        <f t="shared" si="43"/>
        <v>C83</v>
      </c>
      <c r="R414" s="7" t="str">
        <f t="shared" si="44"/>
        <v>C4</v>
      </c>
      <c r="S414" s="18">
        <f t="shared" si="45"/>
        <v>16.624207020667576</v>
      </c>
      <c r="T414" s="18">
        <f>S414/Explications!$C$8</f>
        <v>0.55414023402225254</v>
      </c>
    </row>
    <row r="415" spans="7:20">
      <c r="G415" s="10" t="s">
        <v>18</v>
      </c>
      <c r="H415" s="10" t="s">
        <v>100</v>
      </c>
      <c r="I415" s="10">
        <v>46.908700000000003</v>
      </c>
      <c r="J415" s="10">
        <v>-71.373099999999994</v>
      </c>
      <c r="K415" s="10">
        <v>46.837600000000002</v>
      </c>
      <c r="L415" s="10">
        <v>-71.196299999999994</v>
      </c>
      <c r="M415" s="10" t="str">
        <f t="shared" si="41"/>
        <v>C4</v>
      </c>
      <c r="N415" s="10" t="str">
        <f t="shared" si="42"/>
        <v>C84</v>
      </c>
      <c r="O415" s="5">
        <f t="shared" ref="O415:O478" si="46">ACOS(SIN(RADIANS(I415))*SIN(RADIANS(K415))+COS(RADIANS(I415))*COS(RADIANS(K415))*COS(RADIANS(J415-L415)))*6371</f>
        <v>15.592339786702398</v>
      </c>
      <c r="P415" s="22">
        <f>O415/Explications!$C$8</f>
        <v>0.51974465955674665</v>
      </c>
      <c r="Q415" s="7" t="str">
        <f t="shared" si="43"/>
        <v>C84</v>
      </c>
      <c r="R415" s="7" t="str">
        <f t="shared" si="44"/>
        <v>C4</v>
      </c>
      <c r="S415" s="18">
        <f t="shared" si="45"/>
        <v>15.592339786702398</v>
      </c>
      <c r="T415" s="18">
        <f>S415/Explications!$C$8</f>
        <v>0.51974465955674665</v>
      </c>
    </row>
    <row r="416" spans="7:20">
      <c r="G416" s="10" t="s">
        <v>18</v>
      </c>
      <c r="H416" s="10" t="s">
        <v>101</v>
      </c>
      <c r="I416" s="10">
        <v>46.908700000000003</v>
      </c>
      <c r="J416" s="10">
        <v>-71.373099999999994</v>
      </c>
      <c r="K416" s="10">
        <v>46.7988</v>
      </c>
      <c r="L416" s="10">
        <v>-71.318200000000004</v>
      </c>
      <c r="M416" s="10" t="str">
        <f t="shared" si="41"/>
        <v>C4</v>
      </c>
      <c r="N416" s="10" t="str">
        <f t="shared" si="42"/>
        <v>C85</v>
      </c>
      <c r="O416" s="5">
        <f t="shared" si="46"/>
        <v>12.913731689777673</v>
      </c>
      <c r="P416" s="22">
        <f>O416/Explications!$C$8</f>
        <v>0.43045772299258911</v>
      </c>
      <c r="Q416" s="7" t="str">
        <f t="shared" si="43"/>
        <v>C85</v>
      </c>
      <c r="R416" s="7" t="str">
        <f t="shared" si="44"/>
        <v>C4</v>
      </c>
      <c r="S416" s="18">
        <f t="shared" si="45"/>
        <v>12.913731689777673</v>
      </c>
      <c r="T416" s="18">
        <f>S416/Explications!$C$8</f>
        <v>0.43045772299258911</v>
      </c>
    </row>
    <row r="417" spans="7:20">
      <c r="G417" s="10" t="s">
        <v>20</v>
      </c>
      <c r="H417" s="10" t="s">
        <v>21</v>
      </c>
      <c r="I417" s="10">
        <v>46.827500000000001</v>
      </c>
      <c r="J417" s="10">
        <v>-71.367199999999997</v>
      </c>
      <c r="K417" s="10">
        <v>46.8018</v>
      </c>
      <c r="L417" s="10">
        <v>-71.243099999999998</v>
      </c>
      <c r="M417" s="10" t="str">
        <f t="shared" si="41"/>
        <v>C5</v>
      </c>
      <c r="N417" s="10" t="str">
        <f t="shared" si="42"/>
        <v>C6</v>
      </c>
      <c r="O417" s="5">
        <f t="shared" si="46"/>
        <v>9.8666000508477492</v>
      </c>
      <c r="P417" s="22">
        <f>O417/Explications!$C$8</f>
        <v>0.32888666836159164</v>
      </c>
      <c r="Q417" s="7" t="str">
        <f t="shared" si="43"/>
        <v>C6</v>
      </c>
      <c r="R417" s="7" t="str">
        <f t="shared" si="44"/>
        <v>C5</v>
      </c>
      <c r="S417" s="18">
        <f t="shared" si="45"/>
        <v>9.8666000508477492</v>
      </c>
      <c r="T417" s="18">
        <f>S417/Explications!$C$8</f>
        <v>0.32888666836159164</v>
      </c>
    </row>
    <row r="418" spans="7:20">
      <c r="G418" s="10" t="s">
        <v>20</v>
      </c>
      <c r="H418" s="10" t="s">
        <v>23</v>
      </c>
      <c r="I418" s="10">
        <v>46.827500000000001</v>
      </c>
      <c r="J418" s="10">
        <v>-71.367199999999997</v>
      </c>
      <c r="K418" s="10">
        <v>46.794699999999999</v>
      </c>
      <c r="L418" s="10">
        <v>-71.254199999999997</v>
      </c>
      <c r="M418" s="10" t="str">
        <f t="shared" si="41"/>
        <v>C5</v>
      </c>
      <c r="N418" s="10" t="str">
        <f t="shared" si="42"/>
        <v>C7</v>
      </c>
      <c r="O418" s="5">
        <f t="shared" si="46"/>
        <v>9.3410246573392026</v>
      </c>
      <c r="P418" s="22">
        <f>O418/Explications!$C$8</f>
        <v>0.31136748857797342</v>
      </c>
      <c r="Q418" s="7" t="str">
        <f t="shared" si="43"/>
        <v>C7</v>
      </c>
      <c r="R418" s="7" t="str">
        <f t="shared" si="44"/>
        <v>C5</v>
      </c>
      <c r="S418" s="18">
        <f t="shared" si="45"/>
        <v>9.3410246573392026</v>
      </c>
      <c r="T418" s="18">
        <f>S418/Explications!$C$8</f>
        <v>0.31136748857797342</v>
      </c>
    </row>
    <row r="419" spans="7:20">
      <c r="G419" s="10" t="s">
        <v>20</v>
      </c>
      <c r="H419" s="10" t="s">
        <v>24</v>
      </c>
      <c r="I419" s="10">
        <v>46.827500000000001</v>
      </c>
      <c r="J419" s="10">
        <v>-71.367199999999997</v>
      </c>
      <c r="K419" s="10">
        <v>46.741</v>
      </c>
      <c r="L419" s="10">
        <v>-71.385499999999993</v>
      </c>
      <c r="M419" s="10" t="str">
        <f t="shared" si="41"/>
        <v>C5</v>
      </c>
      <c r="N419" s="10" t="str">
        <f t="shared" si="42"/>
        <v>C8</v>
      </c>
      <c r="O419" s="5">
        <f t="shared" si="46"/>
        <v>9.7187627811710229</v>
      </c>
      <c r="P419" s="22">
        <f>O419/Explications!$C$8</f>
        <v>0.32395875937236746</v>
      </c>
      <c r="Q419" s="7" t="str">
        <f t="shared" si="43"/>
        <v>C8</v>
      </c>
      <c r="R419" s="7" t="str">
        <f t="shared" si="44"/>
        <v>C5</v>
      </c>
      <c r="S419" s="18">
        <f t="shared" si="45"/>
        <v>9.7187627811710229</v>
      </c>
      <c r="T419" s="18">
        <f>S419/Explications!$C$8</f>
        <v>0.32395875937236746</v>
      </c>
    </row>
    <row r="420" spans="7:20">
      <c r="G420" s="10" t="s">
        <v>20</v>
      </c>
      <c r="H420" s="10" t="s">
        <v>25</v>
      </c>
      <c r="I420" s="10">
        <v>46.827500000000001</v>
      </c>
      <c r="J420" s="10">
        <v>-71.367199999999997</v>
      </c>
      <c r="K420" s="10">
        <v>46.839399999999998</v>
      </c>
      <c r="L420" s="10">
        <v>-71.282700000000006</v>
      </c>
      <c r="M420" s="10" t="str">
        <f t="shared" si="41"/>
        <v>C5</v>
      </c>
      <c r="N420" s="10" t="str">
        <f t="shared" si="42"/>
        <v>C9</v>
      </c>
      <c r="O420" s="5">
        <f t="shared" si="46"/>
        <v>6.5627660503320442</v>
      </c>
      <c r="P420" s="22">
        <f>O420/Explications!$C$8</f>
        <v>0.21875886834440147</v>
      </c>
      <c r="Q420" s="7" t="str">
        <f t="shared" si="43"/>
        <v>C9</v>
      </c>
      <c r="R420" s="7" t="str">
        <f t="shared" si="44"/>
        <v>C5</v>
      </c>
      <c r="S420" s="18">
        <f t="shared" si="45"/>
        <v>6.5627660503320442</v>
      </c>
      <c r="T420" s="18">
        <f>S420/Explications!$C$8</f>
        <v>0.21875886834440147</v>
      </c>
    </row>
    <row r="421" spans="7:20">
      <c r="G421" s="10" t="s">
        <v>20</v>
      </c>
      <c r="H421" s="10" t="s">
        <v>26</v>
      </c>
      <c r="I421" s="10">
        <v>46.827500000000001</v>
      </c>
      <c r="J421" s="10">
        <v>-71.367199999999997</v>
      </c>
      <c r="K421" s="10">
        <v>46.860799999999998</v>
      </c>
      <c r="L421" s="10">
        <v>-71.217699999999994</v>
      </c>
      <c r="M421" s="10" t="str">
        <f t="shared" si="41"/>
        <v>C5</v>
      </c>
      <c r="N421" s="10" t="str">
        <f t="shared" si="42"/>
        <v>C10</v>
      </c>
      <c r="O421" s="5">
        <f t="shared" si="46"/>
        <v>11.958046957195961</v>
      </c>
      <c r="P421" s="22">
        <f>O421/Explications!$C$8</f>
        <v>0.3986015652398654</v>
      </c>
      <c r="Q421" s="7" t="str">
        <f t="shared" si="43"/>
        <v>C10</v>
      </c>
      <c r="R421" s="7" t="str">
        <f t="shared" si="44"/>
        <v>C5</v>
      </c>
      <c r="S421" s="18">
        <f t="shared" si="45"/>
        <v>11.958046957195961</v>
      </c>
      <c r="T421" s="18">
        <f>S421/Explications!$C$8</f>
        <v>0.3986015652398654</v>
      </c>
    </row>
    <row r="422" spans="7:20">
      <c r="G422" s="10" t="s">
        <v>20</v>
      </c>
      <c r="H422" s="10" t="s">
        <v>27</v>
      </c>
      <c r="I422" s="10">
        <v>46.827500000000001</v>
      </c>
      <c r="J422" s="10">
        <v>-71.367199999999997</v>
      </c>
      <c r="K422" s="10">
        <v>46.868299999999998</v>
      </c>
      <c r="L422" s="10">
        <v>-71.167000000000002</v>
      </c>
      <c r="M422" s="10" t="str">
        <f t="shared" si="41"/>
        <v>C5</v>
      </c>
      <c r="N422" s="10" t="str">
        <f t="shared" si="42"/>
        <v>C11</v>
      </c>
      <c r="O422" s="5">
        <f t="shared" si="46"/>
        <v>15.886826467691591</v>
      </c>
      <c r="P422" s="22">
        <f>O422/Explications!$C$8</f>
        <v>0.52956088225638642</v>
      </c>
      <c r="Q422" s="7" t="str">
        <f t="shared" si="43"/>
        <v>C11</v>
      </c>
      <c r="R422" s="7" t="str">
        <f t="shared" si="44"/>
        <v>C5</v>
      </c>
      <c r="S422" s="18">
        <f t="shared" si="45"/>
        <v>15.886826467691591</v>
      </c>
      <c r="T422" s="18">
        <f>S422/Explications!$C$8</f>
        <v>0.52956088225638642</v>
      </c>
    </row>
    <row r="423" spans="7:20">
      <c r="G423" s="10" t="s">
        <v>20</v>
      </c>
      <c r="H423" s="10" t="s">
        <v>28</v>
      </c>
      <c r="I423" s="10">
        <v>46.827500000000001</v>
      </c>
      <c r="J423" s="10">
        <v>-71.367199999999997</v>
      </c>
      <c r="K423" s="10">
        <v>46.895099999999999</v>
      </c>
      <c r="L423" s="10">
        <v>-71.378600000000006</v>
      </c>
      <c r="M423" s="10" t="str">
        <f t="shared" si="41"/>
        <v>C5</v>
      </c>
      <c r="N423" s="10" t="str">
        <f t="shared" si="42"/>
        <v>C12</v>
      </c>
      <c r="O423" s="5">
        <f t="shared" si="46"/>
        <v>7.5665848339401496</v>
      </c>
      <c r="P423" s="22">
        <f>O423/Explications!$C$8</f>
        <v>0.25221949446467168</v>
      </c>
      <c r="Q423" s="7" t="str">
        <f t="shared" si="43"/>
        <v>C12</v>
      </c>
      <c r="R423" s="7" t="str">
        <f t="shared" si="44"/>
        <v>C5</v>
      </c>
      <c r="S423" s="18">
        <f t="shared" si="45"/>
        <v>7.5665848339401496</v>
      </c>
      <c r="T423" s="18">
        <f>S423/Explications!$C$8</f>
        <v>0.25221949446467168</v>
      </c>
    </row>
    <row r="424" spans="7:20">
      <c r="G424" s="10" t="s">
        <v>20</v>
      </c>
      <c r="H424" s="10" t="s">
        <v>29</v>
      </c>
      <c r="I424" s="10">
        <v>46.827500000000001</v>
      </c>
      <c r="J424" s="10">
        <v>-71.367199999999997</v>
      </c>
      <c r="K424" s="10">
        <v>46.8033</v>
      </c>
      <c r="L424" s="10">
        <v>-71.1691</v>
      </c>
      <c r="M424" s="10" t="str">
        <f t="shared" si="41"/>
        <v>C5</v>
      </c>
      <c r="N424" s="10" t="str">
        <f t="shared" si="42"/>
        <v>C13</v>
      </c>
      <c r="O424" s="5">
        <f t="shared" si="46"/>
        <v>15.312976206258655</v>
      </c>
      <c r="P424" s="22">
        <f>O424/Explications!$C$8</f>
        <v>0.51043254020862183</v>
      </c>
      <c r="Q424" s="7" t="str">
        <f t="shared" si="43"/>
        <v>C13</v>
      </c>
      <c r="R424" s="7" t="str">
        <f t="shared" si="44"/>
        <v>C5</v>
      </c>
      <c r="S424" s="18">
        <f t="shared" si="45"/>
        <v>15.312976206258655</v>
      </c>
      <c r="T424" s="18">
        <f>S424/Explications!$C$8</f>
        <v>0.51043254020862183</v>
      </c>
    </row>
    <row r="425" spans="7:20">
      <c r="G425" s="10" t="s">
        <v>20</v>
      </c>
      <c r="H425" s="10" t="s">
        <v>30</v>
      </c>
      <c r="I425" s="10">
        <v>46.827500000000001</v>
      </c>
      <c r="J425" s="10">
        <v>-71.367199999999997</v>
      </c>
      <c r="K425" s="10">
        <v>46.8596</v>
      </c>
      <c r="L425" s="10">
        <v>-71.267200000000003</v>
      </c>
      <c r="M425" s="10" t="str">
        <f t="shared" si="41"/>
        <v>C5</v>
      </c>
      <c r="N425" s="10" t="str">
        <f t="shared" si="42"/>
        <v>C14</v>
      </c>
      <c r="O425" s="5">
        <f t="shared" si="46"/>
        <v>8.4015627521425635</v>
      </c>
      <c r="P425" s="22">
        <f>O425/Explications!$C$8</f>
        <v>0.28005209173808543</v>
      </c>
      <c r="Q425" s="7" t="str">
        <f t="shared" si="43"/>
        <v>C14</v>
      </c>
      <c r="R425" s="7" t="str">
        <f t="shared" si="44"/>
        <v>C5</v>
      </c>
      <c r="S425" s="18">
        <f t="shared" si="45"/>
        <v>8.4015627521425635</v>
      </c>
      <c r="T425" s="18">
        <f>S425/Explications!$C$8</f>
        <v>0.28005209173808543</v>
      </c>
    </row>
    <row r="426" spans="7:20">
      <c r="G426" s="10" t="s">
        <v>20</v>
      </c>
      <c r="H426" s="10" t="s">
        <v>31</v>
      </c>
      <c r="I426" s="10">
        <v>46.827500000000001</v>
      </c>
      <c r="J426" s="10">
        <v>-71.367199999999997</v>
      </c>
      <c r="K426" s="10">
        <v>46.813499999999998</v>
      </c>
      <c r="L426" s="10">
        <v>-71.215900000000005</v>
      </c>
      <c r="M426" s="10" t="str">
        <f t="shared" si="41"/>
        <v>C5</v>
      </c>
      <c r="N426" s="10" t="str">
        <f t="shared" si="42"/>
        <v>C15</v>
      </c>
      <c r="O426" s="5">
        <f t="shared" si="46"/>
        <v>11.617063962946341</v>
      </c>
      <c r="P426" s="22">
        <f>O426/Explications!$C$8</f>
        <v>0.38723546543154469</v>
      </c>
      <c r="Q426" s="7" t="str">
        <f t="shared" si="43"/>
        <v>C15</v>
      </c>
      <c r="R426" s="7" t="str">
        <f t="shared" si="44"/>
        <v>C5</v>
      </c>
      <c r="S426" s="18">
        <f t="shared" si="45"/>
        <v>11.617063962946341</v>
      </c>
      <c r="T426" s="18">
        <f>S426/Explications!$C$8</f>
        <v>0.38723546543154469</v>
      </c>
    </row>
    <row r="427" spans="7:20">
      <c r="G427" s="10" t="s">
        <v>20</v>
      </c>
      <c r="H427" s="10" t="s">
        <v>32</v>
      </c>
      <c r="I427" s="10">
        <v>46.827500000000001</v>
      </c>
      <c r="J427" s="10">
        <v>-71.367199999999997</v>
      </c>
      <c r="K427" s="10">
        <v>46.733699999999999</v>
      </c>
      <c r="L427" s="10">
        <v>-71.270099999999999</v>
      </c>
      <c r="M427" s="10" t="str">
        <f t="shared" si="41"/>
        <v>C5</v>
      </c>
      <c r="N427" s="10" t="str">
        <f t="shared" si="42"/>
        <v>C16</v>
      </c>
      <c r="O427" s="5">
        <f t="shared" si="46"/>
        <v>12.78491147637371</v>
      </c>
      <c r="P427" s="22">
        <f>O427/Explications!$C$8</f>
        <v>0.42616371587912366</v>
      </c>
      <c r="Q427" s="7" t="str">
        <f t="shared" si="43"/>
        <v>C16</v>
      </c>
      <c r="R427" s="7" t="str">
        <f t="shared" si="44"/>
        <v>C5</v>
      </c>
      <c r="S427" s="18">
        <f t="shared" si="45"/>
        <v>12.78491147637371</v>
      </c>
      <c r="T427" s="18">
        <f>S427/Explications!$C$8</f>
        <v>0.42616371587912366</v>
      </c>
    </row>
    <row r="428" spans="7:20">
      <c r="G428" s="10" t="s">
        <v>20</v>
      </c>
      <c r="H428" s="10" t="s">
        <v>33</v>
      </c>
      <c r="I428" s="10">
        <v>46.827500000000001</v>
      </c>
      <c r="J428" s="10">
        <v>-71.367199999999997</v>
      </c>
      <c r="K428" s="10">
        <v>46.8035</v>
      </c>
      <c r="L428" s="10">
        <v>-71.3553</v>
      </c>
      <c r="M428" s="10" t="str">
        <f t="shared" si="41"/>
        <v>C5</v>
      </c>
      <c r="N428" s="10" t="str">
        <f t="shared" si="42"/>
        <v>C17</v>
      </c>
      <c r="O428" s="5">
        <f t="shared" si="46"/>
        <v>2.8181298008465667</v>
      </c>
      <c r="P428" s="22">
        <f>O428/Explications!$C$8</f>
        <v>9.3937660028218892E-2</v>
      </c>
      <c r="Q428" s="7" t="str">
        <f t="shared" si="43"/>
        <v>C17</v>
      </c>
      <c r="R428" s="7" t="str">
        <f t="shared" si="44"/>
        <v>C5</v>
      </c>
      <c r="S428" s="18">
        <f t="shared" si="45"/>
        <v>2.8181298008465667</v>
      </c>
      <c r="T428" s="18">
        <f>S428/Explications!$C$8</f>
        <v>9.3937660028218892E-2</v>
      </c>
    </row>
    <row r="429" spans="7:20">
      <c r="G429" s="10" t="s">
        <v>20</v>
      </c>
      <c r="H429" s="10" t="s">
        <v>34</v>
      </c>
      <c r="I429" s="10">
        <v>46.827500000000001</v>
      </c>
      <c r="J429" s="10">
        <v>-71.367199999999997</v>
      </c>
      <c r="K429" s="10">
        <v>46.730200000000004</v>
      </c>
      <c r="L429" s="10">
        <v>-71.274100000000004</v>
      </c>
      <c r="M429" s="10" t="str">
        <f t="shared" si="41"/>
        <v>C5</v>
      </c>
      <c r="N429" s="10" t="str">
        <f t="shared" si="42"/>
        <v>C18</v>
      </c>
      <c r="O429" s="5">
        <f t="shared" si="46"/>
        <v>12.9350633892342</v>
      </c>
      <c r="P429" s="22">
        <f>O429/Explications!$C$8</f>
        <v>0.43116877964113998</v>
      </c>
      <c r="Q429" s="7" t="str">
        <f t="shared" si="43"/>
        <v>C18</v>
      </c>
      <c r="R429" s="7" t="str">
        <f t="shared" si="44"/>
        <v>C5</v>
      </c>
      <c r="S429" s="18">
        <f t="shared" si="45"/>
        <v>12.9350633892342</v>
      </c>
      <c r="T429" s="18">
        <f>S429/Explications!$C$8</f>
        <v>0.43116877964113998</v>
      </c>
    </row>
    <row r="430" spans="7:20">
      <c r="G430" s="10" t="s">
        <v>20</v>
      </c>
      <c r="H430" s="10" t="s">
        <v>35</v>
      </c>
      <c r="I430" s="10">
        <v>46.827500000000001</v>
      </c>
      <c r="J430" s="10">
        <v>-71.367199999999997</v>
      </c>
      <c r="K430" s="10">
        <v>46.785600000000002</v>
      </c>
      <c r="L430" s="10">
        <v>-71.245500000000007</v>
      </c>
      <c r="M430" s="10" t="str">
        <f t="shared" si="41"/>
        <v>C5</v>
      </c>
      <c r="N430" s="10" t="str">
        <f t="shared" si="42"/>
        <v>C19</v>
      </c>
      <c r="O430" s="5">
        <f t="shared" si="46"/>
        <v>10.368216310108767</v>
      </c>
      <c r="P430" s="22">
        <f>O430/Explications!$C$8</f>
        <v>0.3456072103369589</v>
      </c>
      <c r="Q430" s="7" t="str">
        <f t="shared" si="43"/>
        <v>C19</v>
      </c>
      <c r="R430" s="7" t="str">
        <f t="shared" si="44"/>
        <v>C5</v>
      </c>
      <c r="S430" s="18">
        <f t="shared" si="45"/>
        <v>10.368216310108767</v>
      </c>
      <c r="T430" s="18">
        <f>S430/Explications!$C$8</f>
        <v>0.3456072103369589</v>
      </c>
    </row>
    <row r="431" spans="7:20">
      <c r="G431" s="10" t="s">
        <v>20</v>
      </c>
      <c r="H431" s="10" t="s">
        <v>36</v>
      </c>
      <c r="I431" s="10">
        <v>46.827500000000001</v>
      </c>
      <c r="J431" s="10">
        <v>-71.367199999999997</v>
      </c>
      <c r="K431" s="10">
        <v>46.8215</v>
      </c>
      <c r="L431" s="10">
        <v>-71.355400000000003</v>
      </c>
      <c r="M431" s="10" t="str">
        <f t="shared" si="41"/>
        <v>C5</v>
      </c>
      <c r="N431" s="10" t="str">
        <f t="shared" si="42"/>
        <v>C20</v>
      </c>
      <c r="O431" s="5">
        <f t="shared" si="46"/>
        <v>1.118540840145277</v>
      </c>
      <c r="P431" s="22">
        <f>O431/Explications!$C$8</f>
        <v>3.728469467150923E-2</v>
      </c>
      <c r="Q431" s="7" t="str">
        <f t="shared" si="43"/>
        <v>C20</v>
      </c>
      <c r="R431" s="7" t="str">
        <f t="shared" si="44"/>
        <v>C5</v>
      </c>
      <c r="S431" s="18">
        <f t="shared" si="45"/>
        <v>1.118540840145277</v>
      </c>
      <c r="T431" s="18">
        <f>S431/Explications!$C$8</f>
        <v>3.728469467150923E-2</v>
      </c>
    </row>
    <row r="432" spans="7:20">
      <c r="G432" s="10" t="s">
        <v>20</v>
      </c>
      <c r="H432" s="10" t="s">
        <v>37</v>
      </c>
      <c r="I432" s="10">
        <v>46.827500000000001</v>
      </c>
      <c r="J432" s="10">
        <v>-71.367199999999997</v>
      </c>
      <c r="K432" s="10">
        <v>46.8093</v>
      </c>
      <c r="L432" s="10">
        <v>-71.2273</v>
      </c>
      <c r="M432" s="10" t="str">
        <f t="shared" si="41"/>
        <v>C5</v>
      </c>
      <c r="N432" s="10" t="str">
        <f t="shared" si="42"/>
        <v>C21</v>
      </c>
      <c r="O432" s="5">
        <f t="shared" si="46"/>
        <v>10.835944782153403</v>
      </c>
      <c r="P432" s="22">
        <f>O432/Explications!$C$8</f>
        <v>0.36119815940511341</v>
      </c>
      <c r="Q432" s="7" t="str">
        <f t="shared" si="43"/>
        <v>C21</v>
      </c>
      <c r="R432" s="7" t="str">
        <f t="shared" si="44"/>
        <v>C5</v>
      </c>
      <c r="S432" s="18">
        <f t="shared" si="45"/>
        <v>10.835944782153403</v>
      </c>
      <c r="T432" s="18">
        <f>S432/Explications!$C$8</f>
        <v>0.36119815940511341</v>
      </c>
    </row>
    <row r="433" spans="7:20">
      <c r="G433" s="10" t="s">
        <v>20</v>
      </c>
      <c r="H433" s="10" t="s">
        <v>38</v>
      </c>
      <c r="I433" s="10">
        <v>46.827500000000001</v>
      </c>
      <c r="J433" s="10">
        <v>-71.367199999999997</v>
      </c>
      <c r="K433" s="10">
        <v>46.781300000000002</v>
      </c>
      <c r="L433" s="10">
        <v>-71.301000000000002</v>
      </c>
      <c r="M433" s="10" t="str">
        <f t="shared" si="41"/>
        <v>C5</v>
      </c>
      <c r="N433" s="10" t="str">
        <f t="shared" si="42"/>
        <v>C22</v>
      </c>
      <c r="O433" s="5">
        <f t="shared" si="46"/>
        <v>7.1957257536901063</v>
      </c>
      <c r="P433" s="22">
        <f>O433/Explications!$C$8</f>
        <v>0.23985752512300354</v>
      </c>
      <c r="Q433" s="7" t="str">
        <f t="shared" si="43"/>
        <v>C22</v>
      </c>
      <c r="R433" s="7" t="str">
        <f t="shared" si="44"/>
        <v>C5</v>
      </c>
      <c r="S433" s="18">
        <f t="shared" si="45"/>
        <v>7.1957257536901063</v>
      </c>
      <c r="T433" s="18">
        <f>S433/Explications!$C$8</f>
        <v>0.23985752512300354</v>
      </c>
    </row>
    <row r="434" spans="7:20">
      <c r="G434" s="10" t="s">
        <v>20</v>
      </c>
      <c r="H434" s="10" t="s">
        <v>39</v>
      </c>
      <c r="I434" s="10">
        <v>46.827500000000001</v>
      </c>
      <c r="J434" s="10">
        <v>-71.367199999999997</v>
      </c>
      <c r="K434" s="10">
        <v>46.844900000000003</v>
      </c>
      <c r="L434" s="10">
        <v>-71.251400000000004</v>
      </c>
      <c r="M434" s="10" t="str">
        <f t="shared" si="41"/>
        <v>C5</v>
      </c>
      <c r="N434" s="10" t="str">
        <f t="shared" si="42"/>
        <v>C23</v>
      </c>
      <c r="O434" s="5">
        <f t="shared" si="46"/>
        <v>9.0185352803695924</v>
      </c>
      <c r="P434" s="22">
        <f>O434/Explications!$C$8</f>
        <v>0.30061784267898639</v>
      </c>
      <c r="Q434" s="7" t="str">
        <f t="shared" si="43"/>
        <v>C23</v>
      </c>
      <c r="R434" s="7" t="str">
        <f t="shared" si="44"/>
        <v>C5</v>
      </c>
      <c r="S434" s="18">
        <f t="shared" si="45"/>
        <v>9.0185352803695924</v>
      </c>
      <c r="T434" s="18">
        <f>S434/Explications!$C$8</f>
        <v>0.30061784267898639</v>
      </c>
    </row>
    <row r="435" spans="7:20">
      <c r="G435" s="10" t="s">
        <v>20</v>
      </c>
      <c r="H435" s="10" t="s">
        <v>40</v>
      </c>
      <c r="I435" s="10">
        <v>46.827500000000001</v>
      </c>
      <c r="J435" s="10">
        <v>-71.367199999999997</v>
      </c>
      <c r="K435" s="10">
        <v>46.805500000000002</v>
      </c>
      <c r="L435" s="10">
        <v>-71.2196</v>
      </c>
      <c r="M435" s="10" t="str">
        <f t="shared" si="41"/>
        <v>C5</v>
      </c>
      <c r="N435" s="10" t="str">
        <f t="shared" si="42"/>
        <v>C24</v>
      </c>
      <c r="O435" s="5">
        <f t="shared" si="46"/>
        <v>11.494912617660358</v>
      </c>
      <c r="P435" s="22">
        <f>O435/Explications!$C$8</f>
        <v>0.38316375392201191</v>
      </c>
      <c r="Q435" s="7" t="str">
        <f t="shared" si="43"/>
        <v>C24</v>
      </c>
      <c r="R435" s="7" t="str">
        <f t="shared" si="44"/>
        <v>C5</v>
      </c>
      <c r="S435" s="18">
        <f t="shared" si="45"/>
        <v>11.494912617660358</v>
      </c>
      <c r="T435" s="18">
        <f>S435/Explications!$C$8</f>
        <v>0.38316375392201191</v>
      </c>
    </row>
    <row r="436" spans="7:20">
      <c r="G436" s="10" t="s">
        <v>20</v>
      </c>
      <c r="H436" s="10" t="s">
        <v>41</v>
      </c>
      <c r="I436" s="10">
        <v>46.827500000000001</v>
      </c>
      <c r="J436" s="10">
        <v>-71.367199999999997</v>
      </c>
      <c r="K436" s="10">
        <v>46.734900000000003</v>
      </c>
      <c r="L436" s="10">
        <v>-71.266199999999998</v>
      </c>
      <c r="M436" s="10" t="str">
        <f t="shared" si="41"/>
        <v>C5</v>
      </c>
      <c r="N436" s="10" t="str">
        <f t="shared" si="42"/>
        <v>C25</v>
      </c>
      <c r="O436" s="5">
        <f t="shared" si="46"/>
        <v>12.8517152616219</v>
      </c>
      <c r="P436" s="22">
        <f>O436/Explications!$C$8</f>
        <v>0.42839050872072998</v>
      </c>
      <c r="Q436" s="7" t="str">
        <f t="shared" si="43"/>
        <v>C25</v>
      </c>
      <c r="R436" s="7" t="str">
        <f t="shared" si="44"/>
        <v>C5</v>
      </c>
      <c r="S436" s="18">
        <f t="shared" si="45"/>
        <v>12.8517152616219</v>
      </c>
      <c r="T436" s="18">
        <f>S436/Explications!$C$8</f>
        <v>0.42839050872072998</v>
      </c>
    </row>
    <row r="437" spans="7:20">
      <c r="G437" s="10" t="s">
        <v>20</v>
      </c>
      <c r="H437" s="10" t="s">
        <v>42</v>
      </c>
      <c r="I437" s="10">
        <v>46.827500000000001</v>
      </c>
      <c r="J437" s="10">
        <v>-71.367199999999997</v>
      </c>
      <c r="K437" s="10">
        <v>46.817700000000002</v>
      </c>
      <c r="L437" s="10">
        <v>-71.214100000000002</v>
      </c>
      <c r="M437" s="10" t="str">
        <f t="shared" si="41"/>
        <v>C5</v>
      </c>
      <c r="N437" s="10" t="str">
        <f t="shared" si="42"/>
        <v>C26</v>
      </c>
      <c r="O437" s="5">
        <f t="shared" si="46"/>
        <v>11.699651829004775</v>
      </c>
      <c r="P437" s="22">
        <f>O437/Explications!$C$8</f>
        <v>0.38998839430015919</v>
      </c>
      <c r="Q437" s="7" t="str">
        <f t="shared" si="43"/>
        <v>C26</v>
      </c>
      <c r="R437" s="7" t="str">
        <f t="shared" si="44"/>
        <v>C5</v>
      </c>
      <c r="S437" s="18">
        <f t="shared" si="45"/>
        <v>11.699651829004775</v>
      </c>
      <c r="T437" s="18">
        <f>S437/Explications!$C$8</f>
        <v>0.38998839430015919</v>
      </c>
    </row>
    <row r="438" spans="7:20">
      <c r="G438" s="10" t="s">
        <v>20</v>
      </c>
      <c r="H438" s="10" t="s">
        <v>43</v>
      </c>
      <c r="I438" s="10">
        <v>46.827500000000001</v>
      </c>
      <c r="J438" s="10">
        <v>-71.367199999999997</v>
      </c>
      <c r="K438" s="10">
        <v>46.603000000000002</v>
      </c>
      <c r="L438" s="10">
        <v>-71.490600000000001</v>
      </c>
      <c r="M438" s="10" t="str">
        <f t="shared" si="41"/>
        <v>C5</v>
      </c>
      <c r="N438" s="10" t="str">
        <f t="shared" si="42"/>
        <v>C27</v>
      </c>
      <c r="O438" s="5">
        <f t="shared" si="46"/>
        <v>26.677143044921969</v>
      </c>
      <c r="P438" s="22">
        <f>O438/Explications!$C$8</f>
        <v>0.88923810149739901</v>
      </c>
      <c r="Q438" s="7" t="str">
        <f t="shared" si="43"/>
        <v>C27</v>
      </c>
      <c r="R438" s="7" t="str">
        <f t="shared" si="44"/>
        <v>C5</v>
      </c>
      <c r="S438" s="18">
        <f t="shared" si="45"/>
        <v>26.677143044921969</v>
      </c>
      <c r="T438" s="18">
        <f>S438/Explications!$C$8</f>
        <v>0.88923810149739901</v>
      </c>
    </row>
    <row r="439" spans="7:20">
      <c r="G439" s="10" t="s">
        <v>20</v>
      </c>
      <c r="H439" s="10" t="s">
        <v>44</v>
      </c>
      <c r="I439" s="10">
        <v>46.827500000000001</v>
      </c>
      <c r="J439" s="10">
        <v>-71.367199999999997</v>
      </c>
      <c r="K439" s="10">
        <v>47.000500000000002</v>
      </c>
      <c r="L439" s="10">
        <v>-71.388400000000004</v>
      </c>
      <c r="M439" s="10" t="str">
        <f t="shared" si="41"/>
        <v>C5</v>
      </c>
      <c r="N439" s="10" t="str">
        <f t="shared" si="42"/>
        <v>C28</v>
      </c>
      <c r="O439" s="5">
        <f t="shared" si="46"/>
        <v>19.304001844269322</v>
      </c>
      <c r="P439" s="22">
        <f>O439/Explications!$C$8</f>
        <v>0.64346672814231076</v>
      </c>
      <c r="Q439" s="7" t="str">
        <f t="shared" si="43"/>
        <v>C28</v>
      </c>
      <c r="R439" s="7" t="str">
        <f t="shared" si="44"/>
        <v>C5</v>
      </c>
      <c r="S439" s="18">
        <f t="shared" si="45"/>
        <v>19.304001844269322</v>
      </c>
      <c r="T439" s="18">
        <f>S439/Explications!$C$8</f>
        <v>0.64346672814231076</v>
      </c>
    </row>
    <row r="440" spans="7:20">
      <c r="G440" s="10" t="s">
        <v>20</v>
      </c>
      <c r="H440" s="10" t="s">
        <v>45</v>
      </c>
      <c r="I440" s="10">
        <v>46.827500000000001</v>
      </c>
      <c r="J440" s="10">
        <v>-71.367199999999997</v>
      </c>
      <c r="K440" s="10">
        <v>46.839100000000002</v>
      </c>
      <c r="L440" s="10">
        <v>-71.245699999999999</v>
      </c>
      <c r="M440" s="10" t="str">
        <f t="shared" si="41"/>
        <v>C5</v>
      </c>
      <c r="N440" s="10" t="str">
        <f t="shared" si="42"/>
        <v>C29</v>
      </c>
      <c r="O440" s="5">
        <f t="shared" si="46"/>
        <v>9.3322003136549405</v>
      </c>
      <c r="P440" s="22">
        <f>O440/Explications!$C$8</f>
        <v>0.31107334378849799</v>
      </c>
      <c r="Q440" s="7" t="str">
        <f t="shared" si="43"/>
        <v>C29</v>
      </c>
      <c r="R440" s="7" t="str">
        <f t="shared" si="44"/>
        <v>C5</v>
      </c>
      <c r="S440" s="18">
        <f t="shared" si="45"/>
        <v>9.3322003136549405</v>
      </c>
      <c r="T440" s="18">
        <f>S440/Explications!$C$8</f>
        <v>0.31107334378849799</v>
      </c>
    </row>
    <row r="441" spans="7:20">
      <c r="G441" s="10" t="s">
        <v>20</v>
      </c>
      <c r="H441" s="10" t="s">
        <v>46</v>
      </c>
      <c r="I441" s="10">
        <v>46.827500000000001</v>
      </c>
      <c r="J441" s="10">
        <v>-71.367199999999997</v>
      </c>
      <c r="K441" s="10">
        <v>46.865699999999997</v>
      </c>
      <c r="L441" s="10">
        <v>-71.27</v>
      </c>
      <c r="M441" s="10" t="str">
        <f t="shared" si="41"/>
        <v>C5</v>
      </c>
      <c r="N441" s="10" t="str">
        <f t="shared" si="42"/>
        <v>C30</v>
      </c>
      <c r="O441" s="5">
        <f t="shared" si="46"/>
        <v>8.5257383819775274</v>
      </c>
      <c r="P441" s="22">
        <f>O441/Explications!$C$8</f>
        <v>0.28419127939925093</v>
      </c>
      <c r="Q441" s="7" t="str">
        <f t="shared" si="43"/>
        <v>C30</v>
      </c>
      <c r="R441" s="7" t="str">
        <f t="shared" si="44"/>
        <v>C5</v>
      </c>
      <c r="S441" s="18">
        <f t="shared" si="45"/>
        <v>8.5257383819775274</v>
      </c>
      <c r="T441" s="18">
        <f>S441/Explications!$C$8</f>
        <v>0.28419127939925093</v>
      </c>
    </row>
    <row r="442" spans="7:20">
      <c r="G442" s="10" t="s">
        <v>20</v>
      </c>
      <c r="H442" s="10" t="s">
        <v>47</v>
      </c>
      <c r="I442" s="10">
        <v>46.827500000000001</v>
      </c>
      <c r="J442" s="10">
        <v>-71.367199999999997</v>
      </c>
      <c r="K442" s="10">
        <v>46.805500000000002</v>
      </c>
      <c r="L442" s="10">
        <v>-71.217299999999994</v>
      </c>
      <c r="M442" s="10" t="str">
        <f t="shared" si="41"/>
        <v>C5</v>
      </c>
      <c r="N442" s="10" t="str">
        <f t="shared" si="42"/>
        <v>C31</v>
      </c>
      <c r="O442" s="5">
        <f t="shared" si="46"/>
        <v>11.665980859795463</v>
      </c>
      <c r="P442" s="22">
        <f>O442/Explications!$C$8</f>
        <v>0.38886602865984876</v>
      </c>
      <c r="Q442" s="7" t="str">
        <f t="shared" si="43"/>
        <v>C31</v>
      </c>
      <c r="R442" s="7" t="str">
        <f t="shared" si="44"/>
        <v>C5</v>
      </c>
      <c r="S442" s="18">
        <f t="shared" si="45"/>
        <v>11.665980859795463</v>
      </c>
      <c r="T442" s="18">
        <f>S442/Explications!$C$8</f>
        <v>0.38886602865984876</v>
      </c>
    </row>
    <row r="443" spans="7:20">
      <c r="G443" s="10" t="s">
        <v>20</v>
      </c>
      <c r="H443" s="10" t="s">
        <v>48</v>
      </c>
      <c r="I443" s="10">
        <v>46.827500000000001</v>
      </c>
      <c r="J443" s="10">
        <v>-71.367199999999997</v>
      </c>
      <c r="K443" s="10">
        <v>46.792299999999997</v>
      </c>
      <c r="L443" s="10">
        <v>-71.172899999999998</v>
      </c>
      <c r="M443" s="10" t="str">
        <f t="shared" si="41"/>
        <v>C5</v>
      </c>
      <c r="N443" s="10" t="str">
        <f t="shared" si="42"/>
        <v>C32</v>
      </c>
      <c r="O443" s="5">
        <f t="shared" si="46"/>
        <v>15.296281473109756</v>
      </c>
      <c r="P443" s="22">
        <f>O443/Explications!$C$8</f>
        <v>0.50987604910365858</v>
      </c>
      <c r="Q443" s="7" t="str">
        <f t="shared" si="43"/>
        <v>C32</v>
      </c>
      <c r="R443" s="7" t="str">
        <f t="shared" si="44"/>
        <v>C5</v>
      </c>
      <c r="S443" s="18">
        <f t="shared" si="45"/>
        <v>15.296281473109756</v>
      </c>
      <c r="T443" s="18">
        <f>S443/Explications!$C$8</f>
        <v>0.50987604910365858</v>
      </c>
    </row>
    <row r="444" spans="7:20">
      <c r="G444" s="10" t="s">
        <v>20</v>
      </c>
      <c r="H444" s="10" t="s">
        <v>49</v>
      </c>
      <c r="I444" s="10">
        <v>46.827500000000001</v>
      </c>
      <c r="J444" s="10">
        <v>-71.367199999999997</v>
      </c>
      <c r="K444" s="10">
        <v>46.7883</v>
      </c>
      <c r="L444" s="10">
        <v>-71.131200000000007</v>
      </c>
      <c r="M444" s="10" t="str">
        <f t="shared" si="41"/>
        <v>C5</v>
      </c>
      <c r="N444" s="10" t="str">
        <f t="shared" si="42"/>
        <v>C33</v>
      </c>
      <c r="O444" s="5">
        <f t="shared" si="46"/>
        <v>18.482577511205164</v>
      </c>
      <c r="P444" s="22">
        <f>O444/Explications!$C$8</f>
        <v>0.61608591704017213</v>
      </c>
      <c r="Q444" s="7" t="str">
        <f t="shared" si="43"/>
        <v>C33</v>
      </c>
      <c r="R444" s="7" t="str">
        <f t="shared" si="44"/>
        <v>C5</v>
      </c>
      <c r="S444" s="18">
        <f t="shared" si="45"/>
        <v>18.482577511205164</v>
      </c>
      <c r="T444" s="18">
        <f>S444/Explications!$C$8</f>
        <v>0.61608591704017213</v>
      </c>
    </row>
    <row r="445" spans="7:20">
      <c r="G445" s="10" t="s">
        <v>20</v>
      </c>
      <c r="H445" s="10" t="s">
        <v>50</v>
      </c>
      <c r="I445" s="10">
        <v>46.827500000000001</v>
      </c>
      <c r="J445" s="10">
        <v>-71.367199999999997</v>
      </c>
      <c r="K445" s="10">
        <v>46.8611</v>
      </c>
      <c r="L445" s="10">
        <v>-71.268799999999999</v>
      </c>
      <c r="M445" s="10" t="str">
        <f t="shared" si="41"/>
        <v>C5</v>
      </c>
      <c r="N445" s="10" t="str">
        <f t="shared" si="42"/>
        <v>C34</v>
      </c>
      <c r="O445" s="5">
        <f t="shared" si="46"/>
        <v>8.3646239388572461</v>
      </c>
      <c r="P445" s="22">
        <f>O445/Explications!$C$8</f>
        <v>0.27882079796190823</v>
      </c>
      <c r="Q445" s="7" t="str">
        <f t="shared" si="43"/>
        <v>C34</v>
      </c>
      <c r="R445" s="7" t="str">
        <f t="shared" si="44"/>
        <v>C5</v>
      </c>
      <c r="S445" s="18">
        <f t="shared" si="45"/>
        <v>8.3646239388572461</v>
      </c>
      <c r="T445" s="18">
        <f>S445/Explications!$C$8</f>
        <v>0.27882079796190823</v>
      </c>
    </row>
    <row r="446" spans="7:20">
      <c r="G446" s="10" t="s">
        <v>20</v>
      </c>
      <c r="H446" s="10" t="s">
        <v>51</v>
      </c>
      <c r="I446" s="10">
        <v>46.827500000000001</v>
      </c>
      <c r="J446" s="10">
        <v>-71.367199999999997</v>
      </c>
      <c r="K446" s="10">
        <v>46.869700000000002</v>
      </c>
      <c r="L446" s="10">
        <v>-71.205200000000005</v>
      </c>
      <c r="M446" s="10" t="str">
        <f t="shared" si="41"/>
        <v>C5</v>
      </c>
      <c r="N446" s="10" t="str">
        <f t="shared" si="42"/>
        <v>C35</v>
      </c>
      <c r="O446" s="5">
        <f t="shared" si="46"/>
        <v>13.183367373907322</v>
      </c>
      <c r="P446" s="22">
        <f>O446/Explications!$C$8</f>
        <v>0.43944557913024407</v>
      </c>
      <c r="Q446" s="7" t="str">
        <f t="shared" si="43"/>
        <v>C35</v>
      </c>
      <c r="R446" s="7" t="str">
        <f t="shared" si="44"/>
        <v>C5</v>
      </c>
      <c r="S446" s="18">
        <f t="shared" si="45"/>
        <v>13.183367373907322</v>
      </c>
      <c r="T446" s="18">
        <f>S446/Explications!$C$8</f>
        <v>0.43944557913024407</v>
      </c>
    </row>
    <row r="447" spans="7:20">
      <c r="G447" s="10" t="s">
        <v>20</v>
      </c>
      <c r="H447" s="10" t="s">
        <v>52</v>
      </c>
      <c r="I447" s="10">
        <v>46.827500000000001</v>
      </c>
      <c r="J447" s="10">
        <v>-71.367199999999997</v>
      </c>
      <c r="K447" s="10">
        <v>46.774099999999997</v>
      </c>
      <c r="L447" s="10">
        <v>-71.174000000000007</v>
      </c>
      <c r="M447" s="10" t="str">
        <f t="shared" si="41"/>
        <v>C5</v>
      </c>
      <c r="N447" s="10" t="str">
        <f t="shared" si="42"/>
        <v>C36</v>
      </c>
      <c r="O447" s="5">
        <f t="shared" si="46"/>
        <v>15.85932760193818</v>
      </c>
      <c r="P447" s="22">
        <f>O447/Explications!$C$8</f>
        <v>0.5286442533979393</v>
      </c>
      <c r="Q447" s="7" t="str">
        <f t="shared" si="43"/>
        <v>C36</v>
      </c>
      <c r="R447" s="7" t="str">
        <f t="shared" si="44"/>
        <v>C5</v>
      </c>
      <c r="S447" s="18">
        <f t="shared" si="45"/>
        <v>15.85932760193818</v>
      </c>
      <c r="T447" s="18">
        <f>S447/Explications!$C$8</f>
        <v>0.5286442533979393</v>
      </c>
    </row>
    <row r="448" spans="7:20">
      <c r="G448" s="10" t="s">
        <v>20</v>
      </c>
      <c r="H448" s="10" t="s">
        <v>53</v>
      </c>
      <c r="I448" s="10">
        <v>46.827500000000001</v>
      </c>
      <c r="J448" s="10">
        <v>-71.367199999999997</v>
      </c>
      <c r="K448" s="10">
        <v>46.808500000000002</v>
      </c>
      <c r="L448" s="10">
        <v>-71.326599999999999</v>
      </c>
      <c r="M448" s="10" t="str">
        <f t="shared" si="41"/>
        <v>C5</v>
      </c>
      <c r="N448" s="10" t="str">
        <f t="shared" si="42"/>
        <v>C37</v>
      </c>
      <c r="O448" s="5">
        <f t="shared" si="46"/>
        <v>3.7426838775483597</v>
      </c>
      <c r="P448" s="22">
        <f>O448/Explications!$C$8</f>
        <v>0.12475612925161199</v>
      </c>
      <c r="Q448" s="7" t="str">
        <f t="shared" si="43"/>
        <v>C37</v>
      </c>
      <c r="R448" s="7" t="str">
        <f t="shared" si="44"/>
        <v>C5</v>
      </c>
      <c r="S448" s="18">
        <f t="shared" si="45"/>
        <v>3.7426838775483597</v>
      </c>
      <c r="T448" s="18">
        <f>S448/Explications!$C$8</f>
        <v>0.12475612925161199</v>
      </c>
    </row>
    <row r="449" spans="7:20">
      <c r="G449" s="10" t="s">
        <v>20</v>
      </c>
      <c r="H449" s="10" t="s">
        <v>54</v>
      </c>
      <c r="I449" s="10">
        <v>46.827500000000001</v>
      </c>
      <c r="J449" s="10">
        <v>-71.367199999999997</v>
      </c>
      <c r="K449" s="10">
        <v>46.797499999999999</v>
      </c>
      <c r="L449" s="10">
        <v>-71.306100000000001</v>
      </c>
      <c r="M449" s="10" t="str">
        <f t="shared" si="41"/>
        <v>C5</v>
      </c>
      <c r="N449" s="10" t="str">
        <f t="shared" si="42"/>
        <v>C38</v>
      </c>
      <c r="O449" s="5">
        <f t="shared" si="46"/>
        <v>5.7225826984942803</v>
      </c>
      <c r="P449" s="22">
        <f>O449/Explications!$C$8</f>
        <v>0.190752756616476</v>
      </c>
      <c r="Q449" s="7" t="str">
        <f t="shared" si="43"/>
        <v>C38</v>
      </c>
      <c r="R449" s="7" t="str">
        <f t="shared" si="44"/>
        <v>C5</v>
      </c>
      <c r="S449" s="18">
        <f t="shared" si="45"/>
        <v>5.7225826984942803</v>
      </c>
      <c r="T449" s="18">
        <f>S449/Explications!$C$8</f>
        <v>0.190752756616476</v>
      </c>
    </row>
    <row r="450" spans="7:20">
      <c r="G450" s="10" t="s">
        <v>20</v>
      </c>
      <c r="H450" s="10" t="s">
        <v>55</v>
      </c>
      <c r="I450" s="10">
        <v>46.827500000000001</v>
      </c>
      <c r="J450" s="10">
        <v>-71.367199999999997</v>
      </c>
      <c r="K450" s="10">
        <v>46.8155</v>
      </c>
      <c r="L450" s="10">
        <v>-71.268199999999993</v>
      </c>
      <c r="M450" s="10" t="str">
        <f t="shared" si="41"/>
        <v>C5</v>
      </c>
      <c r="N450" s="10" t="str">
        <f t="shared" si="42"/>
        <v>C39</v>
      </c>
      <c r="O450" s="5">
        <f t="shared" si="46"/>
        <v>7.6499555379544635</v>
      </c>
      <c r="P450" s="22">
        <f>O450/Explications!$C$8</f>
        <v>0.25499851793181544</v>
      </c>
      <c r="Q450" s="7" t="str">
        <f t="shared" si="43"/>
        <v>C39</v>
      </c>
      <c r="R450" s="7" t="str">
        <f t="shared" si="44"/>
        <v>C5</v>
      </c>
      <c r="S450" s="18">
        <f t="shared" si="45"/>
        <v>7.6499555379544635</v>
      </c>
      <c r="T450" s="18">
        <f>S450/Explications!$C$8</f>
        <v>0.25499851793181544</v>
      </c>
    </row>
    <row r="451" spans="7:20">
      <c r="G451" s="10" t="s">
        <v>20</v>
      </c>
      <c r="H451" s="10" t="s">
        <v>56</v>
      </c>
      <c r="I451" s="10">
        <v>46.827500000000001</v>
      </c>
      <c r="J451" s="10">
        <v>-71.367199999999997</v>
      </c>
      <c r="K451" s="10">
        <v>46.866700000000002</v>
      </c>
      <c r="L451" s="10">
        <v>-71.215900000000005</v>
      </c>
      <c r="M451" s="10" t="str">
        <f t="shared" si="41"/>
        <v>C5</v>
      </c>
      <c r="N451" s="10" t="str">
        <f t="shared" si="42"/>
        <v>C40</v>
      </c>
      <c r="O451" s="5">
        <f t="shared" si="46"/>
        <v>12.30451590819577</v>
      </c>
      <c r="P451" s="22">
        <f>O451/Explications!$C$8</f>
        <v>0.41015053027319232</v>
      </c>
      <c r="Q451" s="7" t="str">
        <f t="shared" si="43"/>
        <v>C40</v>
      </c>
      <c r="R451" s="7" t="str">
        <f t="shared" si="44"/>
        <v>C5</v>
      </c>
      <c r="S451" s="18">
        <f t="shared" si="45"/>
        <v>12.30451590819577</v>
      </c>
      <c r="T451" s="18">
        <f>S451/Explications!$C$8</f>
        <v>0.41015053027319232</v>
      </c>
    </row>
    <row r="452" spans="7:20">
      <c r="G452" s="10" t="s">
        <v>20</v>
      </c>
      <c r="H452" s="10" t="s">
        <v>57</v>
      </c>
      <c r="I452" s="10">
        <v>46.827500000000001</v>
      </c>
      <c r="J452" s="10">
        <v>-71.367199999999997</v>
      </c>
      <c r="K452" s="10">
        <v>46.762099999999997</v>
      </c>
      <c r="L452" s="10">
        <v>-71.235399999999998</v>
      </c>
      <c r="M452" s="10" t="str">
        <f t="shared" ref="M452:M515" si="47">G452</f>
        <v>C5</v>
      </c>
      <c r="N452" s="10" t="str">
        <f t="shared" ref="N452:N515" si="48">H452</f>
        <v>C41</v>
      </c>
      <c r="O452" s="5">
        <f t="shared" si="46"/>
        <v>12.391612251658783</v>
      </c>
      <c r="P452" s="22">
        <f>O452/Explications!$C$8</f>
        <v>0.41305374172195941</v>
      </c>
      <c r="Q452" s="7" t="str">
        <f t="shared" ref="Q452:Q515" si="49">N452</f>
        <v>C41</v>
      </c>
      <c r="R452" s="7" t="str">
        <f t="shared" ref="R452:R515" si="50">M452</f>
        <v>C5</v>
      </c>
      <c r="S452" s="18">
        <f t="shared" ref="S452:S515" si="51">O452</f>
        <v>12.391612251658783</v>
      </c>
      <c r="T452" s="18">
        <f>S452/Explications!$C$8</f>
        <v>0.41305374172195941</v>
      </c>
    </row>
    <row r="453" spans="7:20">
      <c r="G453" s="10" t="s">
        <v>20</v>
      </c>
      <c r="H453" s="10" t="s">
        <v>58</v>
      </c>
      <c r="I453" s="10">
        <v>46.827500000000001</v>
      </c>
      <c r="J453" s="10">
        <v>-71.367199999999997</v>
      </c>
      <c r="K453" s="10">
        <v>46.8157</v>
      </c>
      <c r="L453" s="10">
        <v>-71.2042</v>
      </c>
      <c r="M453" s="10" t="str">
        <f t="shared" si="47"/>
        <v>C5</v>
      </c>
      <c r="N453" s="10" t="str">
        <f t="shared" si="48"/>
        <v>C42</v>
      </c>
      <c r="O453" s="5">
        <f t="shared" si="46"/>
        <v>12.471490527792216</v>
      </c>
      <c r="P453" s="22">
        <f>O453/Explications!$C$8</f>
        <v>0.41571635092640719</v>
      </c>
      <c r="Q453" s="7" t="str">
        <f t="shared" si="49"/>
        <v>C42</v>
      </c>
      <c r="R453" s="7" t="str">
        <f t="shared" si="50"/>
        <v>C5</v>
      </c>
      <c r="S453" s="18">
        <f t="shared" si="51"/>
        <v>12.471490527792216</v>
      </c>
      <c r="T453" s="18">
        <f>S453/Explications!$C$8</f>
        <v>0.41571635092640719</v>
      </c>
    </row>
    <row r="454" spans="7:20">
      <c r="G454" s="10" t="s">
        <v>20</v>
      </c>
      <c r="H454" s="10" t="s">
        <v>59</v>
      </c>
      <c r="I454" s="10">
        <v>46.827500000000001</v>
      </c>
      <c r="J454" s="10">
        <v>-71.367199999999997</v>
      </c>
      <c r="K454" s="10">
        <v>46.707000000000001</v>
      </c>
      <c r="L454" s="10">
        <v>-71.217100000000002</v>
      </c>
      <c r="M454" s="10" t="str">
        <f t="shared" si="47"/>
        <v>C5</v>
      </c>
      <c r="N454" s="10" t="str">
        <f t="shared" si="48"/>
        <v>C43</v>
      </c>
      <c r="O454" s="5">
        <f t="shared" si="46"/>
        <v>17.613343858977835</v>
      </c>
      <c r="P454" s="22">
        <f>O454/Explications!$C$8</f>
        <v>0.58711146196592778</v>
      </c>
      <c r="Q454" s="7" t="str">
        <f t="shared" si="49"/>
        <v>C43</v>
      </c>
      <c r="R454" s="7" t="str">
        <f t="shared" si="50"/>
        <v>C5</v>
      </c>
      <c r="S454" s="18">
        <f t="shared" si="51"/>
        <v>17.613343858977835</v>
      </c>
      <c r="T454" s="18">
        <f>S454/Explications!$C$8</f>
        <v>0.58711146196592778</v>
      </c>
    </row>
    <row r="455" spans="7:20">
      <c r="G455" s="10" t="s">
        <v>20</v>
      </c>
      <c r="H455" s="10" t="s">
        <v>60</v>
      </c>
      <c r="I455" s="10">
        <v>46.827500000000001</v>
      </c>
      <c r="J455" s="10">
        <v>-71.367199999999997</v>
      </c>
      <c r="K455" s="10">
        <v>46.802900000000001</v>
      </c>
      <c r="L455" s="10">
        <v>-71.228899999999996</v>
      </c>
      <c r="M455" s="10" t="str">
        <f t="shared" si="47"/>
        <v>C5</v>
      </c>
      <c r="N455" s="10" t="str">
        <f t="shared" si="48"/>
        <v>C44</v>
      </c>
      <c r="O455" s="5">
        <f t="shared" si="46"/>
        <v>10.87384297063201</v>
      </c>
      <c r="P455" s="22">
        <f>O455/Explications!$C$8</f>
        <v>0.36246143235440031</v>
      </c>
      <c r="Q455" s="7" t="str">
        <f t="shared" si="49"/>
        <v>C44</v>
      </c>
      <c r="R455" s="7" t="str">
        <f t="shared" si="50"/>
        <v>C5</v>
      </c>
      <c r="S455" s="18">
        <f t="shared" si="51"/>
        <v>10.87384297063201</v>
      </c>
      <c r="T455" s="18">
        <f>S455/Explications!$C$8</f>
        <v>0.36246143235440031</v>
      </c>
    </row>
    <row r="456" spans="7:20">
      <c r="G456" s="10" t="s">
        <v>20</v>
      </c>
      <c r="H456" s="10" t="s">
        <v>61</v>
      </c>
      <c r="I456" s="10">
        <v>46.827500000000001</v>
      </c>
      <c r="J456" s="10">
        <v>-71.367199999999997</v>
      </c>
      <c r="K456" s="10">
        <v>46.796900000000001</v>
      </c>
      <c r="L456" s="10">
        <v>-71.3078</v>
      </c>
      <c r="M456" s="10" t="str">
        <f t="shared" si="47"/>
        <v>C5</v>
      </c>
      <c r="N456" s="10" t="str">
        <f t="shared" si="48"/>
        <v>C45</v>
      </c>
      <c r="O456" s="5">
        <f t="shared" si="46"/>
        <v>5.6578620451464978</v>
      </c>
      <c r="P456" s="22">
        <f>O456/Explications!$C$8</f>
        <v>0.18859540150488327</v>
      </c>
      <c r="Q456" s="7" t="str">
        <f t="shared" si="49"/>
        <v>C45</v>
      </c>
      <c r="R456" s="7" t="str">
        <f t="shared" si="50"/>
        <v>C5</v>
      </c>
      <c r="S456" s="18">
        <f t="shared" si="51"/>
        <v>5.6578620451464978</v>
      </c>
      <c r="T456" s="18">
        <f>S456/Explications!$C$8</f>
        <v>0.18859540150488327</v>
      </c>
    </row>
    <row r="457" spans="7:20">
      <c r="G457" s="10" t="s">
        <v>20</v>
      </c>
      <c r="H457" s="10" t="s">
        <v>62</v>
      </c>
      <c r="I457" s="10">
        <v>46.827500000000001</v>
      </c>
      <c r="J457" s="10">
        <v>-71.367199999999997</v>
      </c>
      <c r="K457" s="10">
        <v>46.803600000000003</v>
      </c>
      <c r="L457" s="10">
        <v>-71.231099999999998</v>
      </c>
      <c r="M457" s="10" t="str">
        <f t="shared" si="47"/>
        <v>C5</v>
      </c>
      <c r="N457" s="10" t="str">
        <f t="shared" si="48"/>
        <v>C46</v>
      </c>
      <c r="O457" s="5">
        <f t="shared" si="46"/>
        <v>10.692219978976677</v>
      </c>
      <c r="P457" s="22">
        <f>O457/Explications!$C$8</f>
        <v>0.35640733263255592</v>
      </c>
      <c r="Q457" s="7" t="str">
        <f t="shared" si="49"/>
        <v>C46</v>
      </c>
      <c r="R457" s="7" t="str">
        <f t="shared" si="50"/>
        <v>C5</v>
      </c>
      <c r="S457" s="18">
        <f t="shared" si="51"/>
        <v>10.692219978976677</v>
      </c>
      <c r="T457" s="18">
        <f>S457/Explications!$C$8</f>
        <v>0.35640733263255592</v>
      </c>
    </row>
    <row r="458" spans="7:20">
      <c r="G458" s="10" t="s">
        <v>20</v>
      </c>
      <c r="H458" s="10" t="s">
        <v>63</v>
      </c>
      <c r="I458" s="10">
        <v>46.827500000000001</v>
      </c>
      <c r="J458" s="10">
        <v>-71.367199999999997</v>
      </c>
      <c r="K458" s="10">
        <v>46.802399999999999</v>
      </c>
      <c r="L458" s="10">
        <v>-71.269800000000004</v>
      </c>
      <c r="M458" s="10" t="str">
        <f t="shared" si="47"/>
        <v>C5</v>
      </c>
      <c r="N458" s="10" t="str">
        <f t="shared" si="48"/>
        <v>C47</v>
      </c>
      <c r="O458" s="5">
        <f t="shared" si="46"/>
        <v>7.9199201401371857</v>
      </c>
      <c r="P458" s="22">
        <f>O458/Explications!$C$8</f>
        <v>0.26399733800457287</v>
      </c>
      <c r="Q458" s="7" t="str">
        <f t="shared" si="49"/>
        <v>C47</v>
      </c>
      <c r="R458" s="7" t="str">
        <f t="shared" si="50"/>
        <v>C5</v>
      </c>
      <c r="S458" s="18">
        <f t="shared" si="51"/>
        <v>7.9199201401371857</v>
      </c>
      <c r="T458" s="18">
        <f>S458/Explications!$C$8</f>
        <v>0.26399733800457287</v>
      </c>
    </row>
    <row r="459" spans="7:20">
      <c r="G459" s="10" t="s">
        <v>20</v>
      </c>
      <c r="H459" s="10" t="s">
        <v>64</v>
      </c>
      <c r="I459" s="10">
        <v>46.827500000000001</v>
      </c>
      <c r="J459" s="10">
        <v>-71.367199999999997</v>
      </c>
      <c r="K459" s="10">
        <v>46.826799999999999</v>
      </c>
      <c r="L459" s="10">
        <v>-71.224199999999996</v>
      </c>
      <c r="M459" s="10" t="str">
        <f t="shared" si="47"/>
        <v>C5</v>
      </c>
      <c r="N459" s="10" t="str">
        <f t="shared" si="48"/>
        <v>C48</v>
      </c>
      <c r="O459" s="5">
        <f t="shared" si="46"/>
        <v>10.879680750980182</v>
      </c>
      <c r="P459" s="22">
        <f>O459/Explications!$C$8</f>
        <v>0.36265602503267275</v>
      </c>
      <c r="Q459" s="7" t="str">
        <f t="shared" si="49"/>
        <v>C48</v>
      </c>
      <c r="R459" s="7" t="str">
        <f t="shared" si="50"/>
        <v>C5</v>
      </c>
      <c r="S459" s="18">
        <f t="shared" si="51"/>
        <v>10.879680750980182</v>
      </c>
      <c r="T459" s="18">
        <f>S459/Explications!$C$8</f>
        <v>0.36265602503267275</v>
      </c>
    </row>
    <row r="460" spans="7:20">
      <c r="G460" s="10" t="s">
        <v>20</v>
      </c>
      <c r="H460" s="10" t="s">
        <v>65</v>
      </c>
      <c r="I460" s="10">
        <v>46.827500000000001</v>
      </c>
      <c r="J460" s="10">
        <v>-71.367199999999997</v>
      </c>
      <c r="K460" s="10">
        <v>46.864100000000001</v>
      </c>
      <c r="L460" s="10">
        <v>-71.255499999999998</v>
      </c>
      <c r="M460" s="10" t="str">
        <f t="shared" si="47"/>
        <v>C5</v>
      </c>
      <c r="N460" s="10" t="str">
        <f t="shared" si="48"/>
        <v>C49</v>
      </c>
      <c r="O460" s="5">
        <f t="shared" si="46"/>
        <v>9.4196835277601618</v>
      </c>
      <c r="P460" s="22">
        <f>O460/Explications!$C$8</f>
        <v>0.31398945092533875</v>
      </c>
      <c r="Q460" s="7" t="str">
        <f t="shared" si="49"/>
        <v>C49</v>
      </c>
      <c r="R460" s="7" t="str">
        <f t="shared" si="50"/>
        <v>C5</v>
      </c>
      <c r="S460" s="18">
        <f t="shared" si="51"/>
        <v>9.4196835277601618</v>
      </c>
      <c r="T460" s="18">
        <f>S460/Explications!$C$8</f>
        <v>0.31398945092533875</v>
      </c>
    </row>
    <row r="461" spans="7:20">
      <c r="G461" s="10" t="s">
        <v>20</v>
      </c>
      <c r="H461" s="10" t="s">
        <v>66</v>
      </c>
      <c r="I461" s="10">
        <v>46.827500000000001</v>
      </c>
      <c r="J461" s="10">
        <v>-71.367199999999997</v>
      </c>
      <c r="K461" s="10">
        <v>46.843800000000002</v>
      </c>
      <c r="L461" s="10">
        <v>-71.247299999999996</v>
      </c>
      <c r="M461" s="10" t="str">
        <f t="shared" si="47"/>
        <v>C5</v>
      </c>
      <c r="N461" s="10" t="str">
        <f t="shared" si="48"/>
        <v>C50</v>
      </c>
      <c r="O461" s="5">
        <f t="shared" si="46"/>
        <v>9.2988668198094349</v>
      </c>
      <c r="P461" s="22">
        <f>O461/Explications!$C$8</f>
        <v>0.30996222732698114</v>
      </c>
      <c r="Q461" s="7" t="str">
        <f t="shared" si="49"/>
        <v>C50</v>
      </c>
      <c r="R461" s="7" t="str">
        <f t="shared" si="50"/>
        <v>C5</v>
      </c>
      <c r="S461" s="18">
        <f t="shared" si="51"/>
        <v>9.2988668198094349</v>
      </c>
      <c r="T461" s="18">
        <f>S461/Explications!$C$8</f>
        <v>0.30996222732698114</v>
      </c>
    </row>
    <row r="462" spans="7:20">
      <c r="G462" s="10" t="s">
        <v>20</v>
      </c>
      <c r="H462" s="10" t="s">
        <v>67</v>
      </c>
      <c r="I462" s="10">
        <v>46.827500000000001</v>
      </c>
      <c r="J462" s="10">
        <v>-71.367199999999997</v>
      </c>
      <c r="K462" s="10">
        <v>46.765599999999999</v>
      </c>
      <c r="L462" s="10">
        <v>-71.312100000000001</v>
      </c>
      <c r="M462" s="10" t="str">
        <f t="shared" si="47"/>
        <v>C5</v>
      </c>
      <c r="N462" s="10" t="str">
        <f t="shared" si="48"/>
        <v>C51</v>
      </c>
      <c r="O462" s="5">
        <f t="shared" si="46"/>
        <v>8.0602750753573105</v>
      </c>
      <c r="P462" s="22">
        <f>O462/Explications!$C$8</f>
        <v>0.26867583584524368</v>
      </c>
      <c r="Q462" s="7" t="str">
        <f t="shared" si="49"/>
        <v>C51</v>
      </c>
      <c r="R462" s="7" t="str">
        <f t="shared" si="50"/>
        <v>C5</v>
      </c>
      <c r="S462" s="18">
        <f t="shared" si="51"/>
        <v>8.0602750753573105</v>
      </c>
      <c r="T462" s="18">
        <f>S462/Explications!$C$8</f>
        <v>0.26867583584524368</v>
      </c>
    </row>
    <row r="463" spans="7:20">
      <c r="G463" s="10" t="s">
        <v>20</v>
      </c>
      <c r="H463" s="10" t="s">
        <v>68</v>
      </c>
      <c r="I463" s="10">
        <v>46.827500000000001</v>
      </c>
      <c r="J463" s="10">
        <v>-71.367199999999997</v>
      </c>
      <c r="K463" s="10">
        <v>46.787599999999998</v>
      </c>
      <c r="L463" s="10">
        <v>-71.288600000000002</v>
      </c>
      <c r="M463" s="10" t="str">
        <f t="shared" si="47"/>
        <v>C5</v>
      </c>
      <c r="N463" s="10" t="str">
        <f t="shared" si="48"/>
        <v>C52</v>
      </c>
      <c r="O463" s="5">
        <f t="shared" si="46"/>
        <v>7.4477512827366095</v>
      </c>
      <c r="P463" s="22">
        <f>O463/Explications!$C$8</f>
        <v>0.24825837609122031</v>
      </c>
      <c r="Q463" s="7" t="str">
        <f t="shared" si="49"/>
        <v>C52</v>
      </c>
      <c r="R463" s="7" t="str">
        <f t="shared" si="50"/>
        <v>C5</v>
      </c>
      <c r="S463" s="18">
        <f t="shared" si="51"/>
        <v>7.4477512827366095</v>
      </c>
      <c r="T463" s="18">
        <f>S463/Explications!$C$8</f>
        <v>0.24825837609122031</v>
      </c>
    </row>
    <row r="464" spans="7:20">
      <c r="G464" s="10" t="s">
        <v>20</v>
      </c>
      <c r="H464" s="10" t="s">
        <v>69</v>
      </c>
      <c r="I464" s="10">
        <v>46.827500000000001</v>
      </c>
      <c r="J464" s="10">
        <v>-71.367199999999997</v>
      </c>
      <c r="K464" s="10">
        <v>46.764600000000002</v>
      </c>
      <c r="L464" s="10">
        <v>-71.308300000000003</v>
      </c>
      <c r="M464" s="10" t="str">
        <f t="shared" si="47"/>
        <v>C5</v>
      </c>
      <c r="N464" s="10" t="str">
        <f t="shared" si="48"/>
        <v>C53</v>
      </c>
      <c r="O464" s="5">
        <f t="shared" si="46"/>
        <v>8.3079326120523582</v>
      </c>
      <c r="P464" s="22">
        <f>O464/Explications!$C$8</f>
        <v>0.27693108706841196</v>
      </c>
      <c r="Q464" s="7" t="str">
        <f t="shared" si="49"/>
        <v>C53</v>
      </c>
      <c r="R464" s="7" t="str">
        <f t="shared" si="50"/>
        <v>C5</v>
      </c>
      <c r="S464" s="18">
        <f t="shared" si="51"/>
        <v>8.3079326120523582</v>
      </c>
      <c r="T464" s="18">
        <f>S464/Explications!$C$8</f>
        <v>0.27693108706841196</v>
      </c>
    </row>
    <row r="465" spans="7:20">
      <c r="G465" s="10" t="s">
        <v>20</v>
      </c>
      <c r="H465" s="10" t="s">
        <v>70</v>
      </c>
      <c r="I465" s="10">
        <v>46.827500000000001</v>
      </c>
      <c r="J465" s="10">
        <v>-71.367199999999997</v>
      </c>
      <c r="K465" s="10">
        <v>46.849699999999999</v>
      </c>
      <c r="L465" s="10">
        <v>-71.097399999999993</v>
      </c>
      <c r="M465" s="10" t="str">
        <f t="shared" si="47"/>
        <v>C5</v>
      </c>
      <c r="N465" s="10" t="str">
        <f t="shared" si="48"/>
        <v>C54</v>
      </c>
      <c r="O465" s="5">
        <f t="shared" si="46"/>
        <v>20.66986537981278</v>
      </c>
      <c r="P465" s="22">
        <f>O465/Explications!$C$8</f>
        <v>0.68899551266042602</v>
      </c>
      <c r="Q465" s="7" t="str">
        <f t="shared" si="49"/>
        <v>C54</v>
      </c>
      <c r="R465" s="7" t="str">
        <f t="shared" si="50"/>
        <v>C5</v>
      </c>
      <c r="S465" s="18">
        <f t="shared" si="51"/>
        <v>20.66986537981278</v>
      </c>
      <c r="T465" s="18">
        <f>S465/Explications!$C$8</f>
        <v>0.68899551266042602</v>
      </c>
    </row>
    <row r="466" spans="7:20">
      <c r="G466" s="10" t="s">
        <v>20</v>
      </c>
      <c r="H466" s="10" t="s">
        <v>71</v>
      </c>
      <c r="I466" s="10">
        <v>46.827500000000001</v>
      </c>
      <c r="J466" s="10">
        <v>-71.367199999999997</v>
      </c>
      <c r="K466" s="10">
        <v>46.788899999999998</v>
      </c>
      <c r="L466" s="10">
        <v>-71.321399999999997</v>
      </c>
      <c r="M466" s="10" t="str">
        <f t="shared" si="47"/>
        <v>C5</v>
      </c>
      <c r="N466" s="10" t="str">
        <f t="shared" si="48"/>
        <v>C55</v>
      </c>
      <c r="O466" s="5">
        <f t="shared" si="46"/>
        <v>5.5292220861749737</v>
      </c>
      <c r="P466" s="22">
        <f>O466/Explications!$C$8</f>
        <v>0.18430740287249911</v>
      </c>
      <c r="Q466" s="7" t="str">
        <f t="shared" si="49"/>
        <v>C55</v>
      </c>
      <c r="R466" s="7" t="str">
        <f t="shared" si="50"/>
        <v>C5</v>
      </c>
      <c r="S466" s="18">
        <f t="shared" si="51"/>
        <v>5.5292220861749737</v>
      </c>
      <c r="T466" s="18">
        <f>S466/Explications!$C$8</f>
        <v>0.18430740287249911</v>
      </c>
    </row>
    <row r="467" spans="7:20">
      <c r="G467" s="10" t="s">
        <v>20</v>
      </c>
      <c r="H467" s="10" t="s">
        <v>72</v>
      </c>
      <c r="I467" s="10">
        <v>46.827500000000001</v>
      </c>
      <c r="J467" s="10">
        <v>-71.367199999999997</v>
      </c>
      <c r="K467" s="10">
        <v>46.795400000000001</v>
      </c>
      <c r="L467" s="10">
        <v>-71.232600000000005</v>
      </c>
      <c r="M467" s="10" t="str">
        <f t="shared" si="47"/>
        <v>C5</v>
      </c>
      <c r="N467" s="10" t="str">
        <f t="shared" si="48"/>
        <v>C56</v>
      </c>
      <c r="O467" s="5">
        <f t="shared" si="46"/>
        <v>10.847394602667816</v>
      </c>
      <c r="P467" s="22">
        <f>O467/Explications!$C$8</f>
        <v>0.3615798200889272</v>
      </c>
      <c r="Q467" s="7" t="str">
        <f t="shared" si="49"/>
        <v>C56</v>
      </c>
      <c r="R467" s="7" t="str">
        <f t="shared" si="50"/>
        <v>C5</v>
      </c>
      <c r="S467" s="18">
        <f t="shared" si="51"/>
        <v>10.847394602667816</v>
      </c>
      <c r="T467" s="18">
        <f>S467/Explications!$C$8</f>
        <v>0.3615798200889272</v>
      </c>
    </row>
    <row r="468" spans="7:20">
      <c r="G468" s="10" t="s">
        <v>20</v>
      </c>
      <c r="H468" s="10" t="s">
        <v>73</v>
      </c>
      <c r="I468" s="10">
        <v>46.827500000000001</v>
      </c>
      <c r="J468" s="10">
        <v>-71.367199999999997</v>
      </c>
      <c r="K468" s="10">
        <v>46.801200000000001</v>
      </c>
      <c r="L468" s="10">
        <v>-71.224999999999994</v>
      </c>
      <c r="M468" s="10" t="str">
        <f t="shared" si="47"/>
        <v>C5</v>
      </c>
      <c r="N468" s="10" t="str">
        <f t="shared" si="48"/>
        <v>C57</v>
      </c>
      <c r="O468" s="5">
        <f t="shared" si="46"/>
        <v>11.209316634955433</v>
      </c>
      <c r="P468" s="22">
        <f>O468/Explications!$C$8</f>
        <v>0.37364388783184777</v>
      </c>
      <c r="Q468" s="7" t="str">
        <f t="shared" si="49"/>
        <v>C57</v>
      </c>
      <c r="R468" s="7" t="str">
        <f t="shared" si="50"/>
        <v>C5</v>
      </c>
      <c r="S468" s="18">
        <f t="shared" si="51"/>
        <v>11.209316634955433</v>
      </c>
      <c r="T468" s="18">
        <f>S468/Explications!$C$8</f>
        <v>0.37364388783184777</v>
      </c>
    </row>
    <row r="469" spans="7:20">
      <c r="G469" s="10" t="s">
        <v>20</v>
      </c>
      <c r="H469" s="10" t="s">
        <v>74</v>
      </c>
      <c r="I469" s="10">
        <v>46.827500000000001</v>
      </c>
      <c r="J469" s="10">
        <v>-71.367199999999997</v>
      </c>
      <c r="K469" s="10">
        <v>46.773200000000003</v>
      </c>
      <c r="L469" s="10">
        <v>-71.275899999999993</v>
      </c>
      <c r="M469" s="10" t="str">
        <f t="shared" si="47"/>
        <v>C5</v>
      </c>
      <c r="N469" s="10" t="str">
        <f t="shared" si="48"/>
        <v>C58</v>
      </c>
      <c r="O469" s="5">
        <f t="shared" si="46"/>
        <v>9.2060947133058715</v>
      </c>
      <c r="P469" s="22">
        <f>O469/Explications!$C$8</f>
        <v>0.30686982377686239</v>
      </c>
      <c r="Q469" s="7" t="str">
        <f t="shared" si="49"/>
        <v>C58</v>
      </c>
      <c r="R469" s="7" t="str">
        <f t="shared" si="50"/>
        <v>C5</v>
      </c>
      <c r="S469" s="18">
        <f t="shared" si="51"/>
        <v>9.2060947133058715</v>
      </c>
      <c r="T469" s="18">
        <f>S469/Explications!$C$8</f>
        <v>0.30686982377686239</v>
      </c>
    </row>
    <row r="470" spans="7:20">
      <c r="G470" s="10" t="s">
        <v>20</v>
      </c>
      <c r="H470" s="10" t="s">
        <v>75</v>
      </c>
      <c r="I470" s="10">
        <v>46.827500000000001</v>
      </c>
      <c r="J470" s="10">
        <v>-71.367199999999997</v>
      </c>
      <c r="K470" s="10">
        <v>46.814399999999999</v>
      </c>
      <c r="L470" s="10">
        <v>-71.225700000000003</v>
      </c>
      <c r="M470" s="10" t="str">
        <f t="shared" si="47"/>
        <v>C5</v>
      </c>
      <c r="N470" s="10" t="str">
        <f t="shared" si="48"/>
        <v>C59</v>
      </c>
      <c r="O470" s="5">
        <f t="shared" si="46"/>
        <v>10.864616156846525</v>
      </c>
      <c r="P470" s="22">
        <f>O470/Explications!$C$8</f>
        <v>0.36215387189488418</v>
      </c>
      <c r="Q470" s="7" t="str">
        <f t="shared" si="49"/>
        <v>C59</v>
      </c>
      <c r="R470" s="7" t="str">
        <f t="shared" si="50"/>
        <v>C5</v>
      </c>
      <c r="S470" s="18">
        <f t="shared" si="51"/>
        <v>10.864616156846525</v>
      </c>
      <c r="T470" s="18">
        <f>S470/Explications!$C$8</f>
        <v>0.36215387189488418</v>
      </c>
    </row>
    <row r="471" spans="7:20">
      <c r="G471" s="10" t="s">
        <v>20</v>
      </c>
      <c r="H471" s="10" t="s">
        <v>76</v>
      </c>
      <c r="I471" s="10">
        <v>46.827500000000001</v>
      </c>
      <c r="J471" s="10">
        <v>-71.367199999999997</v>
      </c>
      <c r="K471" s="10">
        <v>46.772500000000001</v>
      </c>
      <c r="L471" s="10">
        <v>-71.276300000000006</v>
      </c>
      <c r="M471" s="10" t="str">
        <f t="shared" si="47"/>
        <v>C5</v>
      </c>
      <c r="N471" s="10" t="str">
        <f t="shared" si="48"/>
        <v>C60</v>
      </c>
      <c r="O471" s="5">
        <f t="shared" si="46"/>
        <v>9.2345295825817484</v>
      </c>
      <c r="P471" s="22">
        <f>O471/Explications!$C$8</f>
        <v>0.30781765275272494</v>
      </c>
      <c r="Q471" s="7" t="str">
        <f t="shared" si="49"/>
        <v>C60</v>
      </c>
      <c r="R471" s="7" t="str">
        <f t="shared" si="50"/>
        <v>C5</v>
      </c>
      <c r="S471" s="18">
        <f t="shared" si="51"/>
        <v>9.2345295825817484</v>
      </c>
      <c r="T471" s="18">
        <f>S471/Explications!$C$8</f>
        <v>0.30781765275272494</v>
      </c>
    </row>
    <row r="472" spans="7:20">
      <c r="G472" s="10" t="s">
        <v>20</v>
      </c>
      <c r="H472" s="10" t="s">
        <v>77</v>
      </c>
      <c r="I472" s="10">
        <v>46.827500000000001</v>
      </c>
      <c r="J472" s="10">
        <v>-71.367199999999997</v>
      </c>
      <c r="K472" s="10">
        <v>46.810899999999997</v>
      </c>
      <c r="L472" s="10">
        <v>-71.215599999999995</v>
      </c>
      <c r="M472" s="10" t="str">
        <f t="shared" si="47"/>
        <v>C5</v>
      </c>
      <c r="N472" s="10" t="str">
        <f t="shared" si="48"/>
        <v>C61</v>
      </c>
      <c r="O472" s="5">
        <f t="shared" si="46"/>
        <v>11.682140643145416</v>
      </c>
      <c r="P472" s="22">
        <f>O472/Explications!$C$8</f>
        <v>0.38940468810484724</v>
      </c>
      <c r="Q472" s="7" t="str">
        <f t="shared" si="49"/>
        <v>C61</v>
      </c>
      <c r="R472" s="7" t="str">
        <f t="shared" si="50"/>
        <v>C5</v>
      </c>
      <c r="S472" s="18">
        <f t="shared" si="51"/>
        <v>11.682140643145416</v>
      </c>
      <c r="T472" s="18">
        <f>S472/Explications!$C$8</f>
        <v>0.38940468810484724</v>
      </c>
    </row>
    <row r="473" spans="7:20">
      <c r="G473" s="10" t="s">
        <v>20</v>
      </c>
      <c r="H473" s="10" t="s">
        <v>78</v>
      </c>
      <c r="I473" s="10">
        <v>46.827500000000001</v>
      </c>
      <c r="J473" s="10">
        <v>-71.367199999999997</v>
      </c>
      <c r="K473" s="10">
        <v>46.795200000000001</v>
      </c>
      <c r="L473" s="10">
        <v>-71.245099999999994</v>
      </c>
      <c r="M473" s="10" t="str">
        <f t="shared" si="47"/>
        <v>C5</v>
      </c>
      <c r="N473" s="10" t="str">
        <f t="shared" si="48"/>
        <v>C62</v>
      </c>
      <c r="O473" s="5">
        <f t="shared" si="46"/>
        <v>9.9620303431861927</v>
      </c>
      <c r="P473" s="22">
        <f>O473/Explications!$C$8</f>
        <v>0.33206767810620641</v>
      </c>
      <c r="Q473" s="7" t="str">
        <f t="shared" si="49"/>
        <v>C62</v>
      </c>
      <c r="R473" s="7" t="str">
        <f t="shared" si="50"/>
        <v>C5</v>
      </c>
      <c r="S473" s="18">
        <f t="shared" si="51"/>
        <v>9.9620303431861927</v>
      </c>
      <c r="T473" s="18">
        <f>S473/Explications!$C$8</f>
        <v>0.33206767810620641</v>
      </c>
    </row>
    <row r="474" spans="7:20">
      <c r="G474" s="10" t="s">
        <v>20</v>
      </c>
      <c r="H474" s="10" t="s">
        <v>79</v>
      </c>
      <c r="I474" s="10">
        <v>46.827500000000001</v>
      </c>
      <c r="J474" s="10">
        <v>-71.367199999999997</v>
      </c>
      <c r="K474" s="10">
        <v>46.822000000000003</v>
      </c>
      <c r="L474" s="10">
        <v>-71.345699999999994</v>
      </c>
      <c r="M474" s="10" t="str">
        <f t="shared" si="47"/>
        <v>C5</v>
      </c>
      <c r="N474" s="10" t="str">
        <f t="shared" si="48"/>
        <v>C63</v>
      </c>
      <c r="O474" s="5">
        <f t="shared" si="46"/>
        <v>1.7463737967776165</v>
      </c>
      <c r="P474" s="22">
        <f>O474/Explications!$C$8</f>
        <v>5.8212459892587214E-2</v>
      </c>
      <c r="Q474" s="7" t="str">
        <f t="shared" si="49"/>
        <v>C63</v>
      </c>
      <c r="R474" s="7" t="str">
        <f t="shared" si="50"/>
        <v>C5</v>
      </c>
      <c r="S474" s="18">
        <f t="shared" si="51"/>
        <v>1.7463737967776165</v>
      </c>
      <c r="T474" s="18">
        <f>S474/Explications!$C$8</f>
        <v>5.8212459892587214E-2</v>
      </c>
    </row>
    <row r="475" spans="7:20">
      <c r="G475" s="10" t="s">
        <v>20</v>
      </c>
      <c r="H475" s="10" t="s">
        <v>80</v>
      </c>
      <c r="I475" s="10">
        <v>46.827500000000001</v>
      </c>
      <c r="J475" s="10">
        <v>-71.367199999999997</v>
      </c>
      <c r="K475" s="10">
        <v>46.779400000000003</v>
      </c>
      <c r="L475" s="10">
        <v>-71.350399999999993</v>
      </c>
      <c r="M475" s="10" t="str">
        <f t="shared" si="47"/>
        <v>C5</v>
      </c>
      <c r="N475" s="10" t="str">
        <f t="shared" si="48"/>
        <v>C64</v>
      </c>
      <c r="O475" s="5">
        <f t="shared" si="46"/>
        <v>5.4992069070639475</v>
      </c>
      <c r="P475" s="22">
        <f>O475/Explications!$C$8</f>
        <v>0.18330689690213159</v>
      </c>
      <c r="Q475" s="7" t="str">
        <f t="shared" si="49"/>
        <v>C64</v>
      </c>
      <c r="R475" s="7" t="str">
        <f t="shared" si="50"/>
        <v>C5</v>
      </c>
      <c r="S475" s="18">
        <f t="shared" si="51"/>
        <v>5.4992069070639475</v>
      </c>
      <c r="T475" s="18">
        <f>S475/Explications!$C$8</f>
        <v>0.18330689690213159</v>
      </c>
    </row>
    <row r="476" spans="7:20">
      <c r="G476" s="10" t="s">
        <v>20</v>
      </c>
      <c r="H476" s="10" t="s">
        <v>81</v>
      </c>
      <c r="I476" s="10">
        <v>46.827500000000001</v>
      </c>
      <c r="J476" s="10">
        <v>-71.367199999999997</v>
      </c>
      <c r="K476" s="10">
        <v>46.772300000000001</v>
      </c>
      <c r="L476" s="10">
        <v>-71.279799999999994</v>
      </c>
      <c r="M476" s="10" t="str">
        <f t="shared" si="47"/>
        <v>C5</v>
      </c>
      <c r="N476" s="10" t="str">
        <f t="shared" si="48"/>
        <v>C65</v>
      </c>
      <c r="O476" s="5">
        <f t="shared" si="46"/>
        <v>9.0517115674089741</v>
      </c>
      <c r="P476" s="22">
        <f>O476/Explications!$C$8</f>
        <v>0.30172371891363248</v>
      </c>
      <c r="Q476" s="7" t="str">
        <f t="shared" si="49"/>
        <v>C65</v>
      </c>
      <c r="R476" s="7" t="str">
        <f t="shared" si="50"/>
        <v>C5</v>
      </c>
      <c r="S476" s="18">
        <f t="shared" si="51"/>
        <v>9.0517115674089741</v>
      </c>
      <c r="T476" s="18">
        <f>S476/Explications!$C$8</f>
        <v>0.30172371891363248</v>
      </c>
    </row>
    <row r="477" spans="7:20">
      <c r="G477" s="10" t="s">
        <v>20</v>
      </c>
      <c r="H477" s="10" t="s">
        <v>82</v>
      </c>
      <c r="I477" s="10">
        <v>46.827500000000001</v>
      </c>
      <c r="J477" s="10">
        <v>-71.367199999999997</v>
      </c>
      <c r="K477" s="10">
        <v>46.814900000000002</v>
      </c>
      <c r="L477" s="10">
        <v>-71.225200000000001</v>
      </c>
      <c r="M477" s="10" t="str">
        <f t="shared" si="47"/>
        <v>C5</v>
      </c>
      <c r="N477" s="10" t="str">
        <f t="shared" si="48"/>
        <v>C66</v>
      </c>
      <c r="O477" s="5">
        <f t="shared" si="46"/>
        <v>10.894979270691778</v>
      </c>
      <c r="P477" s="22">
        <f>O477/Explications!$C$8</f>
        <v>0.36316597568972592</v>
      </c>
      <c r="Q477" s="7" t="str">
        <f t="shared" si="49"/>
        <v>C66</v>
      </c>
      <c r="R477" s="7" t="str">
        <f t="shared" si="50"/>
        <v>C5</v>
      </c>
      <c r="S477" s="18">
        <f t="shared" si="51"/>
        <v>10.894979270691778</v>
      </c>
      <c r="T477" s="18">
        <f>S477/Explications!$C$8</f>
        <v>0.36316597568972592</v>
      </c>
    </row>
    <row r="478" spans="7:20">
      <c r="G478" s="10" t="s">
        <v>20</v>
      </c>
      <c r="H478" s="10" t="s">
        <v>83</v>
      </c>
      <c r="I478" s="10">
        <v>46.827500000000001</v>
      </c>
      <c r="J478" s="10">
        <v>-71.367199999999997</v>
      </c>
      <c r="K478" s="10">
        <v>46.814700000000002</v>
      </c>
      <c r="L478" s="10">
        <v>-71.207300000000004</v>
      </c>
      <c r="M478" s="10" t="str">
        <f t="shared" si="47"/>
        <v>C5</v>
      </c>
      <c r="N478" s="10" t="str">
        <f t="shared" si="48"/>
        <v>C67</v>
      </c>
      <c r="O478" s="5">
        <f t="shared" si="46"/>
        <v>12.249487353314205</v>
      </c>
      <c r="P478" s="22">
        <f>O478/Explications!$C$8</f>
        <v>0.40831624511047349</v>
      </c>
      <c r="Q478" s="7" t="str">
        <f t="shared" si="49"/>
        <v>C67</v>
      </c>
      <c r="R478" s="7" t="str">
        <f t="shared" si="50"/>
        <v>C5</v>
      </c>
      <c r="S478" s="18">
        <f t="shared" si="51"/>
        <v>12.249487353314205</v>
      </c>
      <c r="T478" s="18">
        <f>S478/Explications!$C$8</f>
        <v>0.40831624511047349</v>
      </c>
    </row>
    <row r="479" spans="7:20">
      <c r="G479" s="10" t="s">
        <v>20</v>
      </c>
      <c r="H479" s="10" t="s">
        <v>84</v>
      </c>
      <c r="I479" s="10">
        <v>46.827500000000001</v>
      </c>
      <c r="J479" s="10">
        <v>-71.367199999999997</v>
      </c>
      <c r="K479" s="10">
        <v>46.815600000000003</v>
      </c>
      <c r="L479" s="10">
        <v>-71.2029</v>
      </c>
      <c r="M479" s="10" t="str">
        <f t="shared" si="47"/>
        <v>C5</v>
      </c>
      <c r="N479" s="10" t="str">
        <f t="shared" si="48"/>
        <v>C68</v>
      </c>
      <c r="O479" s="5">
        <f t="shared" ref="O479:O520" si="52">ACOS(SIN(RADIANS(I479))*SIN(RADIANS(K479))+COS(RADIANS(I479))*COS(RADIANS(K479))*COS(RADIANS(J479-L479)))*6371</f>
        <v>12.571036843959353</v>
      </c>
      <c r="P479" s="22">
        <f>O479/Explications!$C$8</f>
        <v>0.41903456146531176</v>
      </c>
      <c r="Q479" s="7" t="str">
        <f t="shared" si="49"/>
        <v>C68</v>
      </c>
      <c r="R479" s="7" t="str">
        <f t="shared" si="50"/>
        <v>C5</v>
      </c>
      <c r="S479" s="18">
        <f t="shared" si="51"/>
        <v>12.571036843959353</v>
      </c>
      <c r="T479" s="18">
        <f>S479/Explications!$C$8</f>
        <v>0.41903456146531176</v>
      </c>
    </row>
    <row r="480" spans="7:20">
      <c r="G480" s="10" t="s">
        <v>20</v>
      </c>
      <c r="H480" s="10" t="s">
        <v>85</v>
      </c>
      <c r="I480" s="10">
        <v>46.827500000000001</v>
      </c>
      <c r="J480" s="10">
        <v>-71.367199999999997</v>
      </c>
      <c r="K480" s="10">
        <v>46.821899999999999</v>
      </c>
      <c r="L480" s="10">
        <v>-71.249899999999997</v>
      </c>
      <c r="M480" s="10" t="str">
        <f t="shared" si="47"/>
        <v>C5</v>
      </c>
      <c r="N480" s="10" t="str">
        <f t="shared" si="48"/>
        <v>C69</v>
      </c>
      <c r="O480" s="5">
        <f t="shared" si="52"/>
        <v>8.9462573125491591</v>
      </c>
      <c r="P480" s="22">
        <f>O480/Explications!$C$8</f>
        <v>0.29820857708497195</v>
      </c>
      <c r="Q480" s="7" t="str">
        <f t="shared" si="49"/>
        <v>C69</v>
      </c>
      <c r="R480" s="7" t="str">
        <f t="shared" si="50"/>
        <v>C5</v>
      </c>
      <c r="S480" s="18">
        <f t="shared" si="51"/>
        <v>8.9462573125491591</v>
      </c>
      <c r="T480" s="18">
        <f>S480/Explications!$C$8</f>
        <v>0.29820857708497195</v>
      </c>
    </row>
    <row r="481" spans="7:20">
      <c r="G481" s="10" t="s">
        <v>20</v>
      </c>
      <c r="H481" s="10" t="s">
        <v>86</v>
      </c>
      <c r="I481" s="10">
        <v>46.827500000000001</v>
      </c>
      <c r="J481" s="10">
        <v>-71.367199999999997</v>
      </c>
      <c r="K481" s="10">
        <v>46.8872</v>
      </c>
      <c r="L481" s="10">
        <v>-71.27</v>
      </c>
      <c r="M481" s="10" t="str">
        <f t="shared" si="47"/>
        <v>C5</v>
      </c>
      <c r="N481" s="10" t="str">
        <f t="shared" si="48"/>
        <v>C70</v>
      </c>
      <c r="O481" s="5">
        <f t="shared" si="52"/>
        <v>9.9343521174811187</v>
      </c>
      <c r="P481" s="22">
        <f>O481/Explications!$C$8</f>
        <v>0.33114507058270398</v>
      </c>
      <c r="Q481" s="7" t="str">
        <f t="shared" si="49"/>
        <v>C70</v>
      </c>
      <c r="R481" s="7" t="str">
        <f t="shared" si="50"/>
        <v>C5</v>
      </c>
      <c r="S481" s="18">
        <f t="shared" si="51"/>
        <v>9.9343521174811187</v>
      </c>
      <c r="T481" s="18">
        <f>S481/Explications!$C$8</f>
        <v>0.33114507058270398</v>
      </c>
    </row>
    <row r="482" spans="7:20">
      <c r="G482" s="10" t="s">
        <v>20</v>
      </c>
      <c r="H482" s="10" t="s">
        <v>87</v>
      </c>
      <c r="I482" s="10">
        <v>46.827500000000001</v>
      </c>
      <c r="J482" s="10">
        <v>-71.367199999999997</v>
      </c>
      <c r="K482" s="10">
        <v>46.816299999999998</v>
      </c>
      <c r="L482" s="10">
        <v>-71.210300000000004</v>
      </c>
      <c r="M482" s="10" t="str">
        <f t="shared" si="47"/>
        <v>C5</v>
      </c>
      <c r="N482" s="10" t="str">
        <f t="shared" si="48"/>
        <v>C71</v>
      </c>
      <c r="O482" s="5">
        <f t="shared" si="52"/>
        <v>12.002859612374353</v>
      </c>
      <c r="P482" s="22">
        <f>O482/Explications!$C$8</f>
        <v>0.40009532041247842</v>
      </c>
      <c r="Q482" s="7" t="str">
        <f t="shared" si="49"/>
        <v>C71</v>
      </c>
      <c r="R482" s="7" t="str">
        <f t="shared" si="50"/>
        <v>C5</v>
      </c>
      <c r="S482" s="18">
        <f t="shared" si="51"/>
        <v>12.002859612374353</v>
      </c>
      <c r="T482" s="18">
        <f>S482/Explications!$C$8</f>
        <v>0.40009532041247842</v>
      </c>
    </row>
    <row r="483" spans="7:20">
      <c r="G483" s="10" t="s">
        <v>20</v>
      </c>
      <c r="H483" s="10" t="s">
        <v>88</v>
      </c>
      <c r="I483" s="10">
        <v>46.827500000000001</v>
      </c>
      <c r="J483" s="10">
        <v>-71.367199999999997</v>
      </c>
      <c r="K483" s="10">
        <v>46.807000000000002</v>
      </c>
      <c r="L483" s="10">
        <v>-71.3566</v>
      </c>
      <c r="M483" s="10" t="str">
        <f t="shared" si="47"/>
        <v>C5</v>
      </c>
      <c r="N483" s="10" t="str">
        <f t="shared" si="48"/>
        <v>C72</v>
      </c>
      <c r="O483" s="5">
        <f t="shared" si="52"/>
        <v>2.4179941219174044</v>
      </c>
      <c r="P483" s="22">
        <f>O483/Explications!$C$8</f>
        <v>8.0599804063913483E-2</v>
      </c>
      <c r="Q483" s="7" t="str">
        <f t="shared" si="49"/>
        <v>C72</v>
      </c>
      <c r="R483" s="7" t="str">
        <f t="shared" si="50"/>
        <v>C5</v>
      </c>
      <c r="S483" s="18">
        <f t="shared" si="51"/>
        <v>2.4179941219174044</v>
      </c>
      <c r="T483" s="18">
        <f>S483/Explications!$C$8</f>
        <v>8.0599804063913483E-2</v>
      </c>
    </row>
    <row r="484" spans="7:20">
      <c r="G484" s="10" t="s">
        <v>20</v>
      </c>
      <c r="H484" s="10" t="s">
        <v>89</v>
      </c>
      <c r="I484" s="10">
        <v>46.827500000000001</v>
      </c>
      <c r="J484" s="10">
        <v>-71.367199999999997</v>
      </c>
      <c r="K484" s="10">
        <v>46.822899999999997</v>
      </c>
      <c r="L484" s="10">
        <v>-71.341899999999995</v>
      </c>
      <c r="M484" s="10" t="str">
        <f t="shared" si="47"/>
        <v>C5</v>
      </c>
      <c r="N484" s="10" t="str">
        <f t="shared" si="48"/>
        <v>C73</v>
      </c>
      <c r="O484" s="5">
        <f t="shared" si="52"/>
        <v>1.9916878238239257</v>
      </c>
      <c r="P484" s="22">
        <f>O484/Explications!$C$8</f>
        <v>6.6389594127464188E-2</v>
      </c>
      <c r="Q484" s="7" t="str">
        <f t="shared" si="49"/>
        <v>C73</v>
      </c>
      <c r="R484" s="7" t="str">
        <f t="shared" si="50"/>
        <v>C5</v>
      </c>
      <c r="S484" s="18">
        <f t="shared" si="51"/>
        <v>1.9916878238239257</v>
      </c>
      <c r="T484" s="18">
        <f>S484/Explications!$C$8</f>
        <v>6.6389594127464188E-2</v>
      </c>
    </row>
    <row r="485" spans="7:20">
      <c r="G485" s="10" t="s">
        <v>20</v>
      </c>
      <c r="H485" s="10" t="s">
        <v>90</v>
      </c>
      <c r="I485" s="10">
        <v>46.827500000000001</v>
      </c>
      <c r="J485" s="10">
        <v>-71.367199999999997</v>
      </c>
      <c r="K485" s="10">
        <v>46.730699999999999</v>
      </c>
      <c r="L485" s="10">
        <v>-71.261099999999999</v>
      </c>
      <c r="M485" s="10" t="str">
        <f t="shared" si="47"/>
        <v>C5</v>
      </c>
      <c r="N485" s="10" t="str">
        <f t="shared" si="48"/>
        <v>C74</v>
      </c>
      <c r="O485" s="5">
        <f t="shared" si="52"/>
        <v>13.458497581936752</v>
      </c>
      <c r="P485" s="22">
        <f>O485/Explications!$C$8</f>
        <v>0.4486165860645584</v>
      </c>
      <c r="Q485" s="7" t="str">
        <f t="shared" si="49"/>
        <v>C74</v>
      </c>
      <c r="R485" s="7" t="str">
        <f t="shared" si="50"/>
        <v>C5</v>
      </c>
      <c r="S485" s="18">
        <f t="shared" si="51"/>
        <v>13.458497581936752</v>
      </c>
      <c r="T485" s="18">
        <f>S485/Explications!$C$8</f>
        <v>0.4486165860645584</v>
      </c>
    </row>
    <row r="486" spans="7:20">
      <c r="G486" s="10" t="s">
        <v>20</v>
      </c>
      <c r="H486" s="10" t="s">
        <v>91</v>
      </c>
      <c r="I486" s="10">
        <v>46.827500000000001</v>
      </c>
      <c r="J486" s="10">
        <v>-71.367199999999997</v>
      </c>
      <c r="K486" s="10">
        <v>46.840600000000002</v>
      </c>
      <c r="L486" s="10">
        <v>-71.289100000000005</v>
      </c>
      <c r="M486" s="10" t="str">
        <f t="shared" si="47"/>
        <v>C5</v>
      </c>
      <c r="N486" s="10" t="str">
        <f t="shared" si="48"/>
        <v>C75</v>
      </c>
      <c r="O486" s="5">
        <f t="shared" si="52"/>
        <v>6.1170331820710615</v>
      </c>
      <c r="P486" s="22">
        <f>O486/Explications!$C$8</f>
        <v>0.20390110606903539</v>
      </c>
      <c r="Q486" s="7" t="str">
        <f t="shared" si="49"/>
        <v>C75</v>
      </c>
      <c r="R486" s="7" t="str">
        <f t="shared" si="50"/>
        <v>C5</v>
      </c>
      <c r="S486" s="18">
        <f t="shared" si="51"/>
        <v>6.1170331820710615</v>
      </c>
      <c r="T486" s="18">
        <f>S486/Explications!$C$8</f>
        <v>0.20390110606903539</v>
      </c>
    </row>
    <row r="487" spans="7:20">
      <c r="G487" s="10" t="s">
        <v>20</v>
      </c>
      <c r="H487" s="10" t="s">
        <v>92</v>
      </c>
      <c r="I487" s="10">
        <v>46.827500000000001</v>
      </c>
      <c r="J487" s="10">
        <v>-71.367199999999997</v>
      </c>
      <c r="K487" s="10">
        <v>46.840600000000002</v>
      </c>
      <c r="L487" s="10">
        <v>-71.281599999999997</v>
      </c>
      <c r="M487" s="10" t="str">
        <f t="shared" si="47"/>
        <v>C5</v>
      </c>
      <c r="N487" s="10" t="str">
        <f t="shared" si="48"/>
        <v>C76</v>
      </c>
      <c r="O487" s="5">
        <f t="shared" si="52"/>
        <v>6.6725289928523388</v>
      </c>
      <c r="P487" s="22">
        <f>O487/Explications!$C$8</f>
        <v>0.22241763309507795</v>
      </c>
      <c r="Q487" s="7" t="str">
        <f t="shared" si="49"/>
        <v>C76</v>
      </c>
      <c r="R487" s="7" t="str">
        <f t="shared" si="50"/>
        <v>C5</v>
      </c>
      <c r="S487" s="18">
        <f t="shared" si="51"/>
        <v>6.6725289928523388</v>
      </c>
      <c r="T487" s="18">
        <f>S487/Explications!$C$8</f>
        <v>0.22241763309507795</v>
      </c>
    </row>
    <row r="488" spans="7:20">
      <c r="G488" s="10" t="s">
        <v>20</v>
      </c>
      <c r="H488" s="10" t="s">
        <v>93</v>
      </c>
      <c r="I488" s="10">
        <v>46.827500000000001</v>
      </c>
      <c r="J488" s="10">
        <v>-71.367199999999997</v>
      </c>
      <c r="K488" s="10">
        <v>46.839399999999998</v>
      </c>
      <c r="L488" s="10">
        <v>-71.282600000000002</v>
      </c>
      <c r="M488" s="10" t="str">
        <f t="shared" si="47"/>
        <v>C5</v>
      </c>
      <c r="N488" s="10" t="str">
        <f t="shared" si="48"/>
        <v>C77</v>
      </c>
      <c r="O488" s="5">
        <f t="shared" si="52"/>
        <v>6.5702170819125101</v>
      </c>
      <c r="P488" s="22">
        <f>O488/Explications!$C$8</f>
        <v>0.21900723606375033</v>
      </c>
      <c r="Q488" s="7" t="str">
        <f t="shared" si="49"/>
        <v>C77</v>
      </c>
      <c r="R488" s="7" t="str">
        <f t="shared" si="50"/>
        <v>C5</v>
      </c>
      <c r="S488" s="18">
        <f t="shared" si="51"/>
        <v>6.5702170819125101</v>
      </c>
      <c r="T488" s="18">
        <f>S488/Explications!$C$8</f>
        <v>0.21900723606375033</v>
      </c>
    </row>
    <row r="489" spans="7:20">
      <c r="G489" s="10" t="s">
        <v>20</v>
      </c>
      <c r="H489" s="10" t="s">
        <v>94</v>
      </c>
      <c r="I489" s="10">
        <v>46.827500000000001</v>
      </c>
      <c r="J489" s="10">
        <v>-71.367199999999997</v>
      </c>
      <c r="K489" s="10">
        <v>46.788499999999999</v>
      </c>
      <c r="L489" s="10">
        <v>-71.282399999999996</v>
      </c>
      <c r="M489" s="10" t="str">
        <f t="shared" si="47"/>
        <v>C5</v>
      </c>
      <c r="N489" s="10" t="str">
        <f t="shared" si="48"/>
        <v>C78</v>
      </c>
      <c r="O489" s="5">
        <f t="shared" si="52"/>
        <v>7.7755015044000135</v>
      </c>
      <c r="P489" s="22">
        <f>O489/Explications!$C$8</f>
        <v>0.25918338348000047</v>
      </c>
      <c r="Q489" s="7" t="str">
        <f t="shared" si="49"/>
        <v>C78</v>
      </c>
      <c r="R489" s="7" t="str">
        <f t="shared" si="50"/>
        <v>C5</v>
      </c>
      <c r="S489" s="18">
        <f t="shared" si="51"/>
        <v>7.7755015044000135</v>
      </c>
      <c r="T489" s="18">
        <f>S489/Explications!$C$8</f>
        <v>0.25918338348000047</v>
      </c>
    </row>
    <row r="490" spans="7:20">
      <c r="G490" s="10" t="s">
        <v>20</v>
      </c>
      <c r="H490" s="10" t="s">
        <v>95</v>
      </c>
      <c r="I490" s="10">
        <v>46.827500000000001</v>
      </c>
      <c r="J490" s="10">
        <v>-71.367199999999997</v>
      </c>
      <c r="K490" s="10">
        <v>46.840699999999998</v>
      </c>
      <c r="L490" s="10">
        <v>-71.325400000000002</v>
      </c>
      <c r="M490" s="10" t="str">
        <f t="shared" si="47"/>
        <v>C5</v>
      </c>
      <c r="N490" s="10" t="str">
        <f t="shared" si="48"/>
        <v>C79</v>
      </c>
      <c r="O490" s="5">
        <f t="shared" si="52"/>
        <v>3.502140871431576</v>
      </c>
      <c r="P490" s="22">
        <f>O490/Explications!$C$8</f>
        <v>0.1167380290477192</v>
      </c>
      <c r="Q490" s="7" t="str">
        <f t="shared" si="49"/>
        <v>C79</v>
      </c>
      <c r="R490" s="7" t="str">
        <f t="shared" si="50"/>
        <v>C5</v>
      </c>
      <c r="S490" s="18">
        <f t="shared" si="51"/>
        <v>3.502140871431576</v>
      </c>
      <c r="T490" s="18">
        <f>S490/Explications!$C$8</f>
        <v>0.1167380290477192</v>
      </c>
    </row>
    <row r="491" spans="7:20">
      <c r="G491" s="10" t="s">
        <v>20</v>
      </c>
      <c r="H491" s="10" t="s">
        <v>96</v>
      </c>
      <c r="I491" s="10">
        <v>46.827500000000001</v>
      </c>
      <c r="J491" s="10">
        <v>-71.367199999999997</v>
      </c>
      <c r="K491" s="10">
        <v>46.798400000000001</v>
      </c>
      <c r="L491" s="10">
        <v>-71.183199999999999</v>
      </c>
      <c r="M491" s="10" t="str">
        <f t="shared" si="47"/>
        <v>C5</v>
      </c>
      <c r="N491" s="10" t="str">
        <f t="shared" si="48"/>
        <v>C80</v>
      </c>
      <c r="O491" s="5">
        <f t="shared" si="52"/>
        <v>14.371378135457091</v>
      </c>
      <c r="P491" s="22">
        <f>O491/Explications!$C$8</f>
        <v>0.47904593784856969</v>
      </c>
      <c r="Q491" s="7" t="str">
        <f t="shared" si="49"/>
        <v>C80</v>
      </c>
      <c r="R491" s="7" t="str">
        <f t="shared" si="50"/>
        <v>C5</v>
      </c>
      <c r="S491" s="18">
        <f t="shared" si="51"/>
        <v>14.371378135457091</v>
      </c>
      <c r="T491" s="18">
        <f>S491/Explications!$C$8</f>
        <v>0.47904593784856969</v>
      </c>
    </row>
    <row r="492" spans="7:20">
      <c r="G492" s="10" t="s">
        <v>20</v>
      </c>
      <c r="H492" s="10" t="s">
        <v>97</v>
      </c>
      <c r="I492" s="10">
        <v>46.827500000000001</v>
      </c>
      <c r="J492" s="10">
        <v>-71.367199999999997</v>
      </c>
      <c r="K492" s="10">
        <v>46.724800000000002</v>
      </c>
      <c r="L492" s="10">
        <v>-71.2988</v>
      </c>
      <c r="M492" s="10" t="str">
        <f t="shared" si="47"/>
        <v>C5</v>
      </c>
      <c r="N492" s="10" t="str">
        <f t="shared" si="48"/>
        <v>C81</v>
      </c>
      <c r="O492" s="5">
        <f t="shared" si="52"/>
        <v>12.551551310258361</v>
      </c>
      <c r="P492" s="22">
        <f>O492/Explications!$C$8</f>
        <v>0.41838504367527868</v>
      </c>
      <c r="Q492" s="7" t="str">
        <f t="shared" si="49"/>
        <v>C81</v>
      </c>
      <c r="R492" s="7" t="str">
        <f t="shared" si="50"/>
        <v>C5</v>
      </c>
      <c r="S492" s="18">
        <f t="shared" si="51"/>
        <v>12.551551310258361</v>
      </c>
      <c r="T492" s="18">
        <f>S492/Explications!$C$8</f>
        <v>0.41838504367527868</v>
      </c>
    </row>
    <row r="493" spans="7:20">
      <c r="G493" s="10" t="s">
        <v>20</v>
      </c>
      <c r="H493" s="10" t="s">
        <v>98</v>
      </c>
      <c r="I493" s="10">
        <v>46.827500000000001</v>
      </c>
      <c r="J493" s="10">
        <v>-71.367199999999997</v>
      </c>
      <c r="K493" s="10">
        <v>46.795499999999997</v>
      </c>
      <c r="L493" s="10">
        <v>-71.242900000000006</v>
      </c>
      <c r="M493" s="10" t="str">
        <f t="shared" si="47"/>
        <v>C5</v>
      </c>
      <c r="N493" s="10" t="str">
        <f t="shared" si="48"/>
        <v>C82</v>
      </c>
      <c r="O493" s="5">
        <f t="shared" si="52"/>
        <v>10.106557936185759</v>
      </c>
      <c r="P493" s="22">
        <f>O493/Explications!$C$8</f>
        <v>0.33688526453952528</v>
      </c>
      <c r="Q493" s="7" t="str">
        <f t="shared" si="49"/>
        <v>C82</v>
      </c>
      <c r="R493" s="7" t="str">
        <f t="shared" si="50"/>
        <v>C5</v>
      </c>
      <c r="S493" s="18">
        <f t="shared" si="51"/>
        <v>10.106557936185759</v>
      </c>
      <c r="T493" s="18">
        <f>S493/Explications!$C$8</f>
        <v>0.33688526453952528</v>
      </c>
    </row>
    <row r="494" spans="7:20">
      <c r="G494" s="10" t="s">
        <v>20</v>
      </c>
      <c r="H494" s="10" t="s">
        <v>99</v>
      </c>
      <c r="I494" s="10">
        <v>46.827500000000001</v>
      </c>
      <c r="J494" s="10">
        <v>-71.367199999999997</v>
      </c>
      <c r="K494" s="10">
        <v>46.8157</v>
      </c>
      <c r="L494" s="10">
        <v>-71.201899999999995</v>
      </c>
      <c r="M494" s="10" t="str">
        <f t="shared" si="47"/>
        <v>C5</v>
      </c>
      <c r="N494" s="10" t="str">
        <f t="shared" si="48"/>
        <v>C83</v>
      </c>
      <c r="O494" s="5">
        <f t="shared" si="52"/>
        <v>12.645534103142822</v>
      </c>
      <c r="P494" s="22">
        <f>O494/Explications!$C$8</f>
        <v>0.42151780343809409</v>
      </c>
      <c r="Q494" s="7" t="str">
        <f t="shared" si="49"/>
        <v>C83</v>
      </c>
      <c r="R494" s="7" t="str">
        <f t="shared" si="50"/>
        <v>C5</v>
      </c>
      <c r="S494" s="18">
        <f t="shared" si="51"/>
        <v>12.645534103142822</v>
      </c>
      <c r="T494" s="18">
        <f>S494/Explications!$C$8</f>
        <v>0.42151780343809409</v>
      </c>
    </row>
    <row r="495" spans="7:20">
      <c r="G495" s="10" t="s">
        <v>20</v>
      </c>
      <c r="H495" s="10" t="s">
        <v>100</v>
      </c>
      <c r="I495" s="10">
        <v>46.827500000000001</v>
      </c>
      <c r="J495" s="10">
        <v>-71.367199999999997</v>
      </c>
      <c r="K495" s="10">
        <v>46.837600000000002</v>
      </c>
      <c r="L495" s="10">
        <v>-71.196299999999994</v>
      </c>
      <c r="M495" s="10" t="str">
        <f t="shared" si="47"/>
        <v>C5</v>
      </c>
      <c r="N495" s="10" t="str">
        <f t="shared" si="48"/>
        <v>C84</v>
      </c>
      <c r="O495" s="5">
        <f t="shared" si="52"/>
        <v>13.049137945380007</v>
      </c>
      <c r="P495" s="22">
        <f>O495/Explications!$C$8</f>
        <v>0.43497126484600024</v>
      </c>
      <c r="Q495" s="7" t="str">
        <f t="shared" si="49"/>
        <v>C84</v>
      </c>
      <c r="R495" s="7" t="str">
        <f t="shared" si="50"/>
        <v>C5</v>
      </c>
      <c r="S495" s="18">
        <f t="shared" si="51"/>
        <v>13.049137945380007</v>
      </c>
      <c r="T495" s="18">
        <f>S495/Explications!$C$8</f>
        <v>0.43497126484600024</v>
      </c>
    </row>
    <row r="496" spans="7:20">
      <c r="G496" s="10" t="s">
        <v>20</v>
      </c>
      <c r="H496" s="10" t="s">
        <v>101</v>
      </c>
      <c r="I496" s="10">
        <v>46.827500000000001</v>
      </c>
      <c r="J496" s="10">
        <v>-71.367199999999997</v>
      </c>
      <c r="K496" s="10">
        <v>46.7988</v>
      </c>
      <c r="L496" s="10">
        <v>-71.318200000000004</v>
      </c>
      <c r="M496" s="10" t="str">
        <f t="shared" si="47"/>
        <v>C5</v>
      </c>
      <c r="N496" s="10" t="str">
        <f t="shared" si="48"/>
        <v>C85</v>
      </c>
      <c r="O496" s="5">
        <f t="shared" si="52"/>
        <v>4.9080436494971691</v>
      </c>
      <c r="P496" s="22">
        <f>O496/Explications!$C$8</f>
        <v>0.16360145498323897</v>
      </c>
      <c r="Q496" s="7" t="str">
        <f t="shared" si="49"/>
        <v>C85</v>
      </c>
      <c r="R496" s="7" t="str">
        <f t="shared" si="50"/>
        <v>C5</v>
      </c>
      <c r="S496" s="18">
        <f t="shared" si="51"/>
        <v>4.9080436494971691</v>
      </c>
      <c r="T496" s="18">
        <f>S496/Explications!$C$8</f>
        <v>0.16360145498323897</v>
      </c>
    </row>
    <row r="497" spans="7:20">
      <c r="G497" s="10" t="s">
        <v>21</v>
      </c>
      <c r="H497" s="10" t="s">
        <v>23</v>
      </c>
      <c r="I497" s="10">
        <v>46.8018</v>
      </c>
      <c r="J497" s="10">
        <v>-71.243099999999998</v>
      </c>
      <c r="K497" s="10">
        <v>46.794699999999999</v>
      </c>
      <c r="L497" s="10">
        <v>-71.254199999999997</v>
      </c>
      <c r="M497" s="10" t="str">
        <f t="shared" si="47"/>
        <v>C6</v>
      </c>
      <c r="N497" s="10" t="str">
        <f t="shared" si="48"/>
        <v>C7</v>
      </c>
      <c r="O497" s="5">
        <f t="shared" si="52"/>
        <v>1.1563766923320034</v>
      </c>
      <c r="P497" s="22">
        <f>O497/Explications!$C$8</f>
        <v>3.8545889744400111E-2</v>
      </c>
      <c r="Q497" s="7" t="str">
        <f t="shared" si="49"/>
        <v>C7</v>
      </c>
      <c r="R497" s="7" t="str">
        <f t="shared" si="50"/>
        <v>C6</v>
      </c>
      <c r="S497" s="18">
        <f t="shared" si="51"/>
        <v>1.1563766923320034</v>
      </c>
      <c r="T497" s="18">
        <f>S497/Explications!$C$8</f>
        <v>3.8545889744400111E-2</v>
      </c>
    </row>
    <row r="498" spans="7:20">
      <c r="G498" s="10" t="s">
        <v>21</v>
      </c>
      <c r="H498" s="10" t="s">
        <v>24</v>
      </c>
      <c r="I498" s="10">
        <v>46.8018</v>
      </c>
      <c r="J498" s="10">
        <v>-71.243099999999998</v>
      </c>
      <c r="K498" s="10">
        <v>46.741</v>
      </c>
      <c r="L498" s="10">
        <v>-71.385499999999993</v>
      </c>
      <c r="M498" s="10" t="str">
        <f t="shared" si="47"/>
        <v>C6</v>
      </c>
      <c r="N498" s="10" t="str">
        <f t="shared" si="48"/>
        <v>C8</v>
      </c>
      <c r="O498" s="5">
        <f t="shared" si="52"/>
        <v>12.779674187223623</v>
      </c>
      <c r="P498" s="22">
        <f>O498/Explications!$C$8</f>
        <v>0.42598913957412077</v>
      </c>
      <c r="Q498" s="7" t="str">
        <f t="shared" si="49"/>
        <v>C8</v>
      </c>
      <c r="R498" s="7" t="str">
        <f t="shared" si="50"/>
        <v>C6</v>
      </c>
      <c r="S498" s="18">
        <f t="shared" si="51"/>
        <v>12.779674187223623</v>
      </c>
      <c r="T498" s="18">
        <f>S498/Explications!$C$8</f>
        <v>0.42598913957412077</v>
      </c>
    </row>
    <row r="499" spans="7:20">
      <c r="G499" s="10" t="s">
        <v>21</v>
      </c>
      <c r="H499" s="10" t="s">
        <v>25</v>
      </c>
      <c r="I499" s="10">
        <v>46.8018</v>
      </c>
      <c r="J499" s="10">
        <v>-71.243099999999998</v>
      </c>
      <c r="K499" s="10">
        <v>46.839399999999998</v>
      </c>
      <c r="L499" s="10">
        <v>-71.282700000000006</v>
      </c>
      <c r="M499" s="10" t="str">
        <f t="shared" si="47"/>
        <v>C6</v>
      </c>
      <c r="N499" s="10" t="str">
        <f t="shared" si="48"/>
        <v>C9</v>
      </c>
      <c r="O499" s="5">
        <f t="shared" si="52"/>
        <v>5.1535512430440145</v>
      </c>
      <c r="P499" s="22">
        <f>O499/Explications!$C$8</f>
        <v>0.17178504143480047</v>
      </c>
      <c r="Q499" s="7" t="str">
        <f t="shared" si="49"/>
        <v>C9</v>
      </c>
      <c r="R499" s="7" t="str">
        <f t="shared" si="50"/>
        <v>C6</v>
      </c>
      <c r="S499" s="18">
        <f t="shared" si="51"/>
        <v>5.1535512430440145</v>
      </c>
      <c r="T499" s="18">
        <f>S499/Explications!$C$8</f>
        <v>0.17178504143480047</v>
      </c>
    </row>
    <row r="500" spans="7:20">
      <c r="G500" s="10" t="s">
        <v>21</v>
      </c>
      <c r="H500" s="10" t="s">
        <v>26</v>
      </c>
      <c r="I500" s="10">
        <v>46.8018</v>
      </c>
      <c r="J500" s="10">
        <v>-71.243099999999998</v>
      </c>
      <c r="K500" s="10">
        <v>46.860799999999998</v>
      </c>
      <c r="L500" s="10">
        <v>-71.217699999999994</v>
      </c>
      <c r="M500" s="10" t="str">
        <f t="shared" si="47"/>
        <v>C6</v>
      </c>
      <c r="N500" s="10" t="str">
        <f t="shared" si="48"/>
        <v>C10</v>
      </c>
      <c r="O500" s="5">
        <f t="shared" si="52"/>
        <v>6.8391417280074274</v>
      </c>
      <c r="P500" s="22">
        <f>O500/Explications!$C$8</f>
        <v>0.2279713909335809</v>
      </c>
      <c r="Q500" s="7" t="str">
        <f t="shared" si="49"/>
        <v>C10</v>
      </c>
      <c r="R500" s="7" t="str">
        <f t="shared" si="50"/>
        <v>C6</v>
      </c>
      <c r="S500" s="18">
        <f t="shared" si="51"/>
        <v>6.8391417280074274</v>
      </c>
      <c r="T500" s="18">
        <f>S500/Explications!$C$8</f>
        <v>0.2279713909335809</v>
      </c>
    </row>
    <row r="501" spans="7:20">
      <c r="G501" s="10" t="s">
        <v>21</v>
      </c>
      <c r="H501" s="10" t="s">
        <v>27</v>
      </c>
      <c r="I501" s="10">
        <v>46.8018</v>
      </c>
      <c r="J501" s="10">
        <v>-71.243099999999998</v>
      </c>
      <c r="K501" s="10">
        <v>46.868299999999998</v>
      </c>
      <c r="L501" s="10">
        <v>-71.167000000000002</v>
      </c>
      <c r="M501" s="10" t="str">
        <f t="shared" si="47"/>
        <v>C6</v>
      </c>
      <c r="N501" s="10" t="str">
        <f t="shared" si="48"/>
        <v>C11</v>
      </c>
      <c r="O501" s="5">
        <f t="shared" si="52"/>
        <v>9.3908716161798651</v>
      </c>
      <c r="P501" s="22">
        <f>O501/Explications!$C$8</f>
        <v>0.31302905387266217</v>
      </c>
      <c r="Q501" s="7" t="str">
        <f t="shared" si="49"/>
        <v>C11</v>
      </c>
      <c r="R501" s="7" t="str">
        <f t="shared" si="50"/>
        <v>C6</v>
      </c>
      <c r="S501" s="18">
        <f t="shared" si="51"/>
        <v>9.3908716161798651</v>
      </c>
      <c r="T501" s="18">
        <f>S501/Explications!$C$8</f>
        <v>0.31302905387266217</v>
      </c>
    </row>
    <row r="502" spans="7:20">
      <c r="G502" s="10" t="s">
        <v>21</v>
      </c>
      <c r="H502" s="10" t="s">
        <v>28</v>
      </c>
      <c r="I502" s="10">
        <v>46.8018</v>
      </c>
      <c r="J502" s="10">
        <v>-71.243099999999998</v>
      </c>
      <c r="K502" s="10">
        <v>46.895099999999999</v>
      </c>
      <c r="L502" s="10">
        <v>-71.378600000000006</v>
      </c>
      <c r="M502" s="10" t="str">
        <f t="shared" si="47"/>
        <v>C6</v>
      </c>
      <c r="N502" s="10" t="str">
        <f t="shared" si="48"/>
        <v>C12</v>
      </c>
      <c r="O502" s="5">
        <f t="shared" si="52"/>
        <v>14.622486092290183</v>
      </c>
      <c r="P502" s="22">
        <f>O502/Explications!$C$8</f>
        <v>0.48741620307633943</v>
      </c>
      <c r="Q502" s="7" t="str">
        <f t="shared" si="49"/>
        <v>C12</v>
      </c>
      <c r="R502" s="7" t="str">
        <f t="shared" si="50"/>
        <v>C6</v>
      </c>
      <c r="S502" s="18">
        <f t="shared" si="51"/>
        <v>14.622486092290183</v>
      </c>
      <c r="T502" s="18">
        <f>S502/Explications!$C$8</f>
        <v>0.48741620307633943</v>
      </c>
    </row>
    <row r="503" spans="7:20">
      <c r="G503" s="10" t="s">
        <v>21</v>
      </c>
      <c r="H503" s="10" t="s">
        <v>29</v>
      </c>
      <c r="I503" s="10">
        <v>46.8018</v>
      </c>
      <c r="J503" s="10">
        <v>-71.243099999999998</v>
      </c>
      <c r="K503" s="10">
        <v>46.8033</v>
      </c>
      <c r="L503" s="10">
        <v>-71.1691</v>
      </c>
      <c r="M503" s="10" t="str">
        <f t="shared" si="47"/>
        <v>C6</v>
      </c>
      <c r="N503" s="10" t="str">
        <f t="shared" si="48"/>
        <v>C13</v>
      </c>
      <c r="O503" s="5">
        <f t="shared" si="52"/>
        <v>5.6349460937947073</v>
      </c>
      <c r="P503" s="22">
        <f>O503/Explications!$C$8</f>
        <v>0.18783153645982359</v>
      </c>
      <c r="Q503" s="7" t="str">
        <f t="shared" si="49"/>
        <v>C13</v>
      </c>
      <c r="R503" s="7" t="str">
        <f t="shared" si="50"/>
        <v>C6</v>
      </c>
      <c r="S503" s="18">
        <f t="shared" si="51"/>
        <v>5.6349460937947073</v>
      </c>
      <c r="T503" s="18">
        <f>S503/Explications!$C$8</f>
        <v>0.18783153645982359</v>
      </c>
    </row>
    <row r="504" spans="7:20">
      <c r="G504" s="10" t="s">
        <v>21</v>
      </c>
      <c r="H504" s="10" t="s">
        <v>30</v>
      </c>
      <c r="I504" s="10">
        <v>46.8018</v>
      </c>
      <c r="J504" s="10">
        <v>-71.243099999999998</v>
      </c>
      <c r="K504" s="10">
        <v>46.8596</v>
      </c>
      <c r="L504" s="10">
        <v>-71.267200000000003</v>
      </c>
      <c r="M504" s="10" t="str">
        <f t="shared" si="47"/>
        <v>C6</v>
      </c>
      <c r="N504" s="10" t="str">
        <f t="shared" si="48"/>
        <v>C14</v>
      </c>
      <c r="O504" s="5">
        <f t="shared" si="52"/>
        <v>6.6834530277716508</v>
      </c>
      <c r="P504" s="22">
        <f>O504/Explications!$C$8</f>
        <v>0.22278176759238835</v>
      </c>
      <c r="Q504" s="7" t="str">
        <f t="shared" si="49"/>
        <v>C14</v>
      </c>
      <c r="R504" s="7" t="str">
        <f t="shared" si="50"/>
        <v>C6</v>
      </c>
      <c r="S504" s="18">
        <f t="shared" si="51"/>
        <v>6.6834530277716508</v>
      </c>
      <c r="T504" s="18">
        <f>S504/Explications!$C$8</f>
        <v>0.22278176759238835</v>
      </c>
    </row>
    <row r="505" spans="7:20">
      <c r="G505" s="10" t="s">
        <v>21</v>
      </c>
      <c r="H505" s="10" t="s">
        <v>31</v>
      </c>
      <c r="I505" s="10">
        <v>46.8018</v>
      </c>
      <c r="J505" s="10">
        <v>-71.243099999999998</v>
      </c>
      <c r="K505" s="10">
        <v>46.813499999999998</v>
      </c>
      <c r="L505" s="10">
        <v>-71.215900000000005</v>
      </c>
      <c r="M505" s="10" t="str">
        <f t="shared" si="47"/>
        <v>C6</v>
      </c>
      <c r="N505" s="10" t="str">
        <f t="shared" si="48"/>
        <v>C15</v>
      </c>
      <c r="O505" s="5">
        <f t="shared" si="52"/>
        <v>2.4449838645592847</v>
      </c>
      <c r="P505" s="22">
        <f>O505/Explications!$C$8</f>
        <v>8.1499462151976163E-2</v>
      </c>
      <c r="Q505" s="7" t="str">
        <f t="shared" si="49"/>
        <v>C15</v>
      </c>
      <c r="R505" s="7" t="str">
        <f t="shared" si="50"/>
        <v>C6</v>
      </c>
      <c r="S505" s="18">
        <f t="shared" si="51"/>
        <v>2.4449838645592847</v>
      </c>
      <c r="T505" s="18">
        <f>S505/Explications!$C$8</f>
        <v>8.1499462151976163E-2</v>
      </c>
    </row>
    <row r="506" spans="7:20">
      <c r="G506" s="10" t="s">
        <v>21</v>
      </c>
      <c r="H506" s="10" t="s">
        <v>32</v>
      </c>
      <c r="I506" s="10">
        <v>46.8018</v>
      </c>
      <c r="J506" s="10">
        <v>-71.243099999999998</v>
      </c>
      <c r="K506" s="10">
        <v>46.733699999999999</v>
      </c>
      <c r="L506" s="10">
        <v>-71.270099999999999</v>
      </c>
      <c r="M506" s="10" t="str">
        <f t="shared" si="47"/>
        <v>C6</v>
      </c>
      <c r="N506" s="10" t="str">
        <f t="shared" si="48"/>
        <v>C16</v>
      </c>
      <c r="O506" s="5">
        <f t="shared" si="52"/>
        <v>7.8466378068891602</v>
      </c>
      <c r="P506" s="22">
        <f>O506/Explications!$C$8</f>
        <v>0.261554593562972</v>
      </c>
      <c r="Q506" s="7" t="str">
        <f t="shared" si="49"/>
        <v>C16</v>
      </c>
      <c r="R506" s="7" t="str">
        <f t="shared" si="50"/>
        <v>C6</v>
      </c>
      <c r="S506" s="18">
        <f t="shared" si="51"/>
        <v>7.8466378068891602</v>
      </c>
      <c r="T506" s="18">
        <f>S506/Explications!$C$8</f>
        <v>0.261554593562972</v>
      </c>
    </row>
    <row r="507" spans="7:20">
      <c r="G507" s="10" t="s">
        <v>21</v>
      </c>
      <c r="H507" s="10" t="s">
        <v>33</v>
      </c>
      <c r="I507" s="10">
        <v>46.8018</v>
      </c>
      <c r="J507" s="10">
        <v>-71.243099999999998</v>
      </c>
      <c r="K507" s="10">
        <v>46.8035</v>
      </c>
      <c r="L507" s="10">
        <v>-71.3553</v>
      </c>
      <c r="M507" s="10" t="str">
        <f t="shared" si="47"/>
        <v>C6</v>
      </c>
      <c r="N507" s="10" t="str">
        <f t="shared" si="48"/>
        <v>C17</v>
      </c>
      <c r="O507" s="5">
        <f t="shared" si="52"/>
        <v>8.5421285859794658</v>
      </c>
      <c r="P507" s="22">
        <f>O507/Explications!$C$8</f>
        <v>0.28473761953264887</v>
      </c>
      <c r="Q507" s="7" t="str">
        <f t="shared" si="49"/>
        <v>C17</v>
      </c>
      <c r="R507" s="7" t="str">
        <f t="shared" si="50"/>
        <v>C6</v>
      </c>
      <c r="S507" s="18">
        <f t="shared" si="51"/>
        <v>8.5421285859794658</v>
      </c>
      <c r="T507" s="18">
        <f>S507/Explications!$C$8</f>
        <v>0.28473761953264887</v>
      </c>
    </row>
    <row r="508" spans="7:20">
      <c r="G508" s="10" t="s">
        <v>21</v>
      </c>
      <c r="H508" s="10" t="s">
        <v>34</v>
      </c>
      <c r="I508" s="10">
        <v>46.8018</v>
      </c>
      <c r="J508" s="10">
        <v>-71.243099999999998</v>
      </c>
      <c r="K508" s="10">
        <v>46.730200000000004</v>
      </c>
      <c r="L508" s="10">
        <v>-71.274100000000004</v>
      </c>
      <c r="M508" s="10" t="str">
        <f t="shared" si="47"/>
        <v>C6</v>
      </c>
      <c r="N508" s="10" t="str">
        <f t="shared" si="48"/>
        <v>C18</v>
      </c>
      <c r="O508" s="5">
        <f t="shared" si="52"/>
        <v>8.3043018950948344</v>
      </c>
      <c r="P508" s="22">
        <f>O508/Explications!$C$8</f>
        <v>0.27681006316982781</v>
      </c>
      <c r="Q508" s="7" t="str">
        <f t="shared" si="49"/>
        <v>C18</v>
      </c>
      <c r="R508" s="7" t="str">
        <f t="shared" si="50"/>
        <v>C6</v>
      </c>
      <c r="S508" s="18">
        <f t="shared" si="51"/>
        <v>8.3043018950948344</v>
      </c>
      <c r="T508" s="18">
        <f>S508/Explications!$C$8</f>
        <v>0.27681006316982781</v>
      </c>
    </row>
    <row r="509" spans="7:20">
      <c r="G509" s="10" t="s">
        <v>21</v>
      </c>
      <c r="H509" s="10" t="s">
        <v>35</v>
      </c>
      <c r="I509" s="10">
        <v>46.8018</v>
      </c>
      <c r="J509" s="10">
        <v>-71.243099999999998</v>
      </c>
      <c r="K509" s="10">
        <v>46.785600000000002</v>
      </c>
      <c r="L509" s="10">
        <v>-71.245500000000007</v>
      </c>
      <c r="M509" s="10" t="str">
        <f t="shared" si="47"/>
        <v>C6</v>
      </c>
      <c r="N509" s="10" t="str">
        <f t="shared" si="48"/>
        <v>C19</v>
      </c>
      <c r="O509" s="5">
        <f t="shared" si="52"/>
        <v>1.8105996448586157</v>
      </c>
      <c r="P509" s="22">
        <f>O509/Explications!$C$8</f>
        <v>6.0353321495287188E-2</v>
      </c>
      <c r="Q509" s="7" t="str">
        <f t="shared" si="49"/>
        <v>C19</v>
      </c>
      <c r="R509" s="7" t="str">
        <f t="shared" si="50"/>
        <v>C6</v>
      </c>
      <c r="S509" s="18">
        <f t="shared" si="51"/>
        <v>1.8105996448586157</v>
      </c>
      <c r="T509" s="18">
        <f>S509/Explications!$C$8</f>
        <v>6.0353321495287188E-2</v>
      </c>
    </row>
    <row r="510" spans="7:20">
      <c r="G510" s="10" t="s">
        <v>21</v>
      </c>
      <c r="H510" s="10" t="s">
        <v>36</v>
      </c>
      <c r="I510" s="10">
        <v>46.8018</v>
      </c>
      <c r="J510" s="10">
        <v>-71.243099999999998</v>
      </c>
      <c r="K510" s="10">
        <v>46.8215</v>
      </c>
      <c r="L510" s="10">
        <v>-71.355400000000003</v>
      </c>
      <c r="M510" s="10" t="str">
        <f t="shared" si="47"/>
        <v>C6</v>
      </c>
      <c r="N510" s="10" t="str">
        <f t="shared" si="48"/>
        <v>C20</v>
      </c>
      <c r="O510" s="5">
        <f t="shared" si="52"/>
        <v>8.8224887475211311</v>
      </c>
      <c r="P510" s="22">
        <f>O510/Explications!$C$8</f>
        <v>0.29408295825070435</v>
      </c>
      <c r="Q510" s="7" t="str">
        <f t="shared" si="49"/>
        <v>C20</v>
      </c>
      <c r="R510" s="7" t="str">
        <f t="shared" si="50"/>
        <v>C6</v>
      </c>
      <c r="S510" s="18">
        <f t="shared" si="51"/>
        <v>8.8224887475211311</v>
      </c>
      <c r="T510" s="18">
        <f>S510/Explications!$C$8</f>
        <v>0.29408295825070435</v>
      </c>
    </row>
    <row r="511" spans="7:20">
      <c r="G511" s="10" t="s">
        <v>21</v>
      </c>
      <c r="H511" s="10" t="s">
        <v>37</v>
      </c>
      <c r="I511" s="10">
        <v>46.8018</v>
      </c>
      <c r="J511" s="10">
        <v>-71.243099999999998</v>
      </c>
      <c r="K511" s="10">
        <v>46.8093</v>
      </c>
      <c r="L511" s="10">
        <v>-71.2273</v>
      </c>
      <c r="M511" s="10" t="str">
        <f t="shared" si="47"/>
        <v>C6</v>
      </c>
      <c r="N511" s="10" t="str">
        <f t="shared" si="48"/>
        <v>C21</v>
      </c>
      <c r="O511" s="5">
        <f t="shared" si="52"/>
        <v>1.463421354942869</v>
      </c>
      <c r="P511" s="22">
        <f>O511/Explications!$C$8</f>
        <v>4.8780711831428965E-2</v>
      </c>
      <c r="Q511" s="7" t="str">
        <f t="shared" si="49"/>
        <v>C21</v>
      </c>
      <c r="R511" s="7" t="str">
        <f t="shared" si="50"/>
        <v>C6</v>
      </c>
      <c r="S511" s="18">
        <f t="shared" si="51"/>
        <v>1.463421354942869</v>
      </c>
      <c r="T511" s="18">
        <f>S511/Explications!$C$8</f>
        <v>4.8780711831428965E-2</v>
      </c>
    </row>
    <row r="512" spans="7:20">
      <c r="G512" s="10" t="s">
        <v>21</v>
      </c>
      <c r="H512" s="10" t="s">
        <v>38</v>
      </c>
      <c r="I512" s="10">
        <v>46.8018</v>
      </c>
      <c r="J512" s="10">
        <v>-71.243099999999998</v>
      </c>
      <c r="K512" s="10">
        <v>46.781300000000002</v>
      </c>
      <c r="L512" s="10">
        <v>-71.301000000000002</v>
      </c>
      <c r="M512" s="10" t="str">
        <f t="shared" si="47"/>
        <v>C6</v>
      </c>
      <c r="N512" s="10" t="str">
        <f t="shared" si="48"/>
        <v>C22</v>
      </c>
      <c r="O512" s="5">
        <f t="shared" si="52"/>
        <v>4.9624571816521783</v>
      </c>
      <c r="P512" s="22">
        <f>O512/Explications!$C$8</f>
        <v>0.16541523938840594</v>
      </c>
      <c r="Q512" s="7" t="str">
        <f t="shared" si="49"/>
        <v>C22</v>
      </c>
      <c r="R512" s="7" t="str">
        <f t="shared" si="50"/>
        <v>C6</v>
      </c>
      <c r="S512" s="18">
        <f t="shared" si="51"/>
        <v>4.9624571816521783</v>
      </c>
      <c r="T512" s="18">
        <f>S512/Explications!$C$8</f>
        <v>0.16541523938840594</v>
      </c>
    </row>
    <row r="513" spans="7:20">
      <c r="G513" s="10" t="s">
        <v>21</v>
      </c>
      <c r="H513" s="10" t="s">
        <v>39</v>
      </c>
      <c r="I513" s="10">
        <v>46.8018</v>
      </c>
      <c r="J513" s="10">
        <v>-71.243099999999998</v>
      </c>
      <c r="K513" s="10">
        <v>46.844900000000003</v>
      </c>
      <c r="L513" s="10">
        <v>-71.251400000000004</v>
      </c>
      <c r="M513" s="10" t="str">
        <f t="shared" si="47"/>
        <v>C6</v>
      </c>
      <c r="N513" s="10" t="str">
        <f t="shared" si="48"/>
        <v>C23</v>
      </c>
      <c r="O513" s="5">
        <f t="shared" si="52"/>
        <v>4.8339289935031236</v>
      </c>
      <c r="P513" s="22">
        <f>O513/Explications!$C$8</f>
        <v>0.16113096645010411</v>
      </c>
      <c r="Q513" s="7" t="str">
        <f t="shared" si="49"/>
        <v>C23</v>
      </c>
      <c r="R513" s="7" t="str">
        <f t="shared" si="50"/>
        <v>C6</v>
      </c>
      <c r="S513" s="18">
        <f t="shared" si="51"/>
        <v>4.8339289935031236</v>
      </c>
      <c r="T513" s="18">
        <f>S513/Explications!$C$8</f>
        <v>0.16113096645010411</v>
      </c>
    </row>
    <row r="514" spans="7:20">
      <c r="G514" s="10" t="s">
        <v>21</v>
      </c>
      <c r="H514" s="10" t="s">
        <v>40</v>
      </c>
      <c r="I514" s="10">
        <v>46.8018</v>
      </c>
      <c r="J514" s="10">
        <v>-71.243099999999998</v>
      </c>
      <c r="K514" s="10">
        <v>46.805500000000002</v>
      </c>
      <c r="L514" s="10">
        <v>-71.2196</v>
      </c>
      <c r="M514" s="10" t="str">
        <f t="shared" si="47"/>
        <v>C6</v>
      </c>
      <c r="N514" s="10" t="str">
        <f t="shared" si="48"/>
        <v>C24</v>
      </c>
      <c r="O514" s="5">
        <f t="shared" si="52"/>
        <v>1.8353626357688377</v>
      </c>
      <c r="P514" s="22">
        <f>O514/Explications!$C$8</f>
        <v>6.1178754525627925E-2</v>
      </c>
      <c r="Q514" s="7" t="str">
        <f t="shared" si="49"/>
        <v>C24</v>
      </c>
      <c r="R514" s="7" t="str">
        <f t="shared" si="50"/>
        <v>C6</v>
      </c>
      <c r="S514" s="18">
        <f t="shared" si="51"/>
        <v>1.8353626357688377</v>
      </c>
      <c r="T514" s="18">
        <f>S514/Explications!$C$8</f>
        <v>6.1178754525627925E-2</v>
      </c>
    </row>
    <row r="515" spans="7:20">
      <c r="G515" s="10" t="s">
        <v>21</v>
      </c>
      <c r="H515" s="10" t="s">
        <v>41</v>
      </c>
      <c r="I515" s="10">
        <v>46.8018</v>
      </c>
      <c r="J515" s="10">
        <v>-71.243099999999998</v>
      </c>
      <c r="K515" s="10">
        <v>46.734900000000003</v>
      </c>
      <c r="L515" s="10">
        <v>-71.266199999999998</v>
      </c>
      <c r="M515" s="10" t="str">
        <f t="shared" si="47"/>
        <v>C6</v>
      </c>
      <c r="N515" s="10" t="str">
        <f t="shared" si="48"/>
        <v>C25</v>
      </c>
      <c r="O515" s="5">
        <f t="shared" si="52"/>
        <v>7.6441609156149131</v>
      </c>
      <c r="P515" s="22">
        <f>O515/Explications!$C$8</f>
        <v>0.25480536385383046</v>
      </c>
      <c r="Q515" s="7" t="str">
        <f t="shared" si="49"/>
        <v>C25</v>
      </c>
      <c r="R515" s="7" t="str">
        <f t="shared" si="50"/>
        <v>C6</v>
      </c>
      <c r="S515" s="18">
        <f t="shared" si="51"/>
        <v>7.6441609156149131</v>
      </c>
      <c r="T515" s="18">
        <f>S515/Explications!$C$8</f>
        <v>0.25480536385383046</v>
      </c>
    </row>
    <row r="516" spans="7:20">
      <c r="G516" s="10" t="s">
        <v>21</v>
      </c>
      <c r="H516" s="10" t="s">
        <v>42</v>
      </c>
      <c r="I516" s="10">
        <v>46.8018</v>
      </c>
      <c r="J516" s="10">
        <v>-71.243099999999998</v>
      </c>
      <c r="K516" s="10">
        <v>46.817700000000002</v>
      </c>
      <c r="L516" s="10">
        <v>-71.214100000000002</v>
      </c>
      <c r="M516" s="10" t="str">
        <f t="shared" ref="M516:M579" si="53">G516</f>
        <v>C6</v>
      </c>
      <c r="N516" s="10" t="str">
        <f t="shared" ref="N516:N579" si="54">H516</f>
        <v>C26</v>
      </c>
      <c r="O516" s="5">
        <f t="shared" si="52"/>
        <v>2.8278593508509209</v>
      </c>
      <c r="P516" s="22">
        <f>O516/Explications!$C$8</f>
        <v>9.4261978361697363E-2</v>
      </c>
      <c r="Q516" s="7" t="str">
        <f t="shared" ref="Q516:Q579" si="55">N516</f>
        <v>C26</v>
      </c>
      <c r="R516" s="7" t="str">
        <f t="shared" ref="R516:R579" si="56">M516</f>
        <v>C6</v>
      </c>
      <c r="S516" s="18">
        <f t="shared" ref="S516:S579" si="57">O516</f>
        <v>2.8278593508509209</v>
      </c>
      <c r="T516" s="18">
        <f>S516/Explications!$C$8</f>
        <v>9.4261978361697363E-2</v>
      </c>
    </row>
    <row r="517" spans="7:20">
      <c r="G517" s="10" t="s">
        <v>21</v>
      </c>
      <c r="H517" s="10" t="s">
        <v>43</v>
      </c>
      <c r="I517" s="10">
        <v>46.8018</v>
      </c>
      <c r="J517" s="10">
        <v>-71.243099999999998</v>
      </c>
      <c r="K517" s="10">
        <v>46.603000000000002</v>
      </c>
      <c r="L517" s="10">
        <v>-71.490600000000001</v>
      </c>
      <c r="M517" s="10" t="str">
        <f t="shared" si="53"/>
        <v>C6</v>
      </c>
      <c r="N517" s="10" t="str">
        <f t="shared" si="54"/>
        <v>C27</v>
      </c>
      <c r="O517" s="5">
        <f t="shared" si="52"/>
        <v>29.066449602813734</v>
      </c>
      <c r="P517" s="22">
        <f>O517/Explications!$C$8</f>
        <v>0.9688816534271244</v>
      </c>
      <c r="Q517" s="7" t="str">
        <f t="shared" si="55"/>
        <v>C27</v>
      </c>
      <c r="R517" s="7" t="str">
        <f t="shared" si="56"/>
        <v>C6</v>
      </c>
      <c r="S517" s="18">
        <f t="shared" si="57"/>
        <v>29.066449602813734</v>
      </c>
      <c r="T517" s="18">
        <f>S517/Explications!$C$8</f>
        <v>0.9688816534271244</v>
      </c>
    </row>
    <row r="518" spans="7:20">
      <c r="G518" s="10" t="s">
        <v>21</v>
      </c>
      <c r="H518" s="10" t="s">
        <v>44</v>
      </c>
      <c r="I518" s="10">
        <v>46.8018</v>
      </c>
      <c r="J518" s="10">
        <v>-71.243099999999998</v>
      </c>
      <c r="K518" s="10">
        <v>47.000500000000002</v>
      </c>
      <c r="L518" s="10">
        <v>-71.388400000000004</v>
      </c>
      <c r="M518" s="10" t="str">
        <f t="shared" si="53"/>
        <v>C6</v>
      </c>
      <c r="N518" s="10" t="str">
        <f t="shared" si="54"/>
        <v>C28</v>
      </c>
      <c r="O518" s="5">
        <f t="shared" si="52"/>
        <v>24.698712464837904</v>
      </c>
      <c r="P518" s="22">
        <f>O518/Explications!$C$8</f>
        <v>0.82329041549459681</v>
      </c>
      <c r="Q518" s="7" t="str">
        <f t="shared" si="55"/>
        <v>C28</v>
      </c>
      <c r="R518" s="7" t="str">
        <f t="shared" si="56"/>
        <v>C6</v>
      </c>
      <c r="S518" s="18">
        <f t="shared" si="57"/>
        <v>24.698712464837904</v>
      </c>
      <c r="T518" s="18">
        <f>S518/Explications!$C$8</f>
        <v>0.82329041549459681</v>
      </c>
    </row>
    <row r="519" spans="7:20">
      <c r="G519" s="10" t="s">
        <v>21</v>
      </c>
      <c r="H519" s="10" t="s">
        <v>45</v>
      </c>
      <c r="I519" s="10">
        <v>46.8018</v>
      </c>
      <c r="J519" s="10">
        <v>-71.243099999999998</v>
      </c>
      <c r="K519" s="10">
        <v>46.839100000000002</v>
      </c>
      <c r="L519" s="10">
        <v>-71.245699999999999</v>
      </c>
      <c r="M519" s="10" t="str">
        <f t="shared" si="53"/>
        <v>C6</v>
      </c>
      <c r="N519" s="10" t="str">
        <f t="shared" si="54"/>
        <v>C29</v>
      </c>
      <c r="O519" s="5">
        <f t="shared" si="52"/>
        <v>4.152286204767103</v>
      </c>
      <c r="P519" s="22">
        <f>O519/Explications!$C$8</f>
        <v>0.13840954015890344</v>
      </c>
      <c r="Q519" s="7" t="str">
        <f t="shared" si="55"/>
        <v>C29</v>
      </c>
      <c r="R519" s="7" t="str">
        <f t="shared" si="56"/>
        <v>C6</v>
      </c>
      <c r="S519" s="18">
        <f t="shared" si="57"/>
        <v>4.152286204767103</v>
      </c>
      <c r="T519" s="18">
        <f>S519/Explications!$C$8</f>
        <v>0.13840954015890344</v>
      </c>
    </row>
    <row r="520" spans="7:20">
      <c r="G520" s="10" t="s">
        <v>21</v>
      </c>
      <c r="H520" s="10" t="s">
        <v>46</v>
      </c>
      <c r="I520" s="10">
        <v>46.8018</v>
      </c>
      <c r="J520" s="10">
        <v>-71.243099999999998</v>
      </c>
      <c r="K520" s="10">
        <v>46.865699999999997</v>
      </c>
      <c r="L520" s="10">
        <v>-71.27</v>
      </c>
      <c r="M520" s="10" t="str">
        <f t="shared" si="53"/>
        <v>C6</v>
      </c>
      <c r="N520" s="10" t="str">
        <f t="shared" si="54"/>
        <v>C30</v>
      </c>
      <c r="O520" s="5">
        <f t="shared" si="52"/>
        <v>7.3941461979168501</v>
      </c>
      <c r="P520" s="22">
        <f>O520/Explications!$C$8</f>
        <v>0.24647153993056167</v>
      </c>
      <c r="Q520" s="7" t="str">
        <f t="shared" si="55"/>
        <v>C30</v>
      </c>
      <c r="R520" s="7" t="str">
        <f t="shared" si="56"/>
        <v>C6</v>
      </c>
      <c r="S520" s="18">
        <f t="shared" si="57"/>
        <v>7.3941461979168501</v>
      </c>
      <c r="T520" s="18">
        <f>S520/Explications!$C$8</f>
        <v>0.24647153993056167</v>
      </c>
    </row>
    <row r="521" spans="7:20">
      <c r="G521" s="10" t="s">
        <v>21</v>
      </c>
      <c r="H521" s="10" t="s">
        <v>47</v>
      </c>
      <c r="I521" s="10">
        <v>46.8018</v>
      </c>
      <c r="J521" s="10">
        <v>-71.243099999999998</v>
      </c>
      <c r="K521" s="10">
        <v>46.805500000000002</v>
      </c>
      <c r="L521" s="10">
        <v>-71.217299999999994</v>
      </c>
      <c r="M521" s="10" t="str">
        <f t="shared" si="53"/>
        <v>C6</v>
      </c>
      <c r="N521" s="10" t="str">
        <f t="shared" si="54"/>
        <v>C31</v>
      </c>
      <c r="O521" s="5">
        <f t="shared" ref="O521:O579" si="58">ACOS(SIN(RADIANS(I521))*SIN(RADIANS(K521))+COS(RADIANS(I521))*COS(RADIANS(K521))*COS(RADIANS(J521-L521)))*6371</f>
        <v>2.0063513383573564</v>
      </c>
      <c r="P521" s="22">
        <f>O521/Explications!$C$8</f>
        <v>6.6878377945245218E-2</v>
      </c>
      <c r="Q521" s="7" t="str">
        <f t="shared" si="55"/>
        <v>C31</v>
      </c>
      <c r="R521" s="7" t="str">
        <f t="shared" si="56"/>
        <v>C6</v>
      </c>
      <c r="S521" s="18">
        <f t="shared" si="57"/>
        <v>2.0063513383573564</v>
      </c>
      <c r="T521" s="18">
        <f>S521/Explications!$C$8</f>
        <v>6.6878377945245218E-2</v>
      </c>
    </row>
    <row r="522" spans="7:20">
      <c r="G522" s="10" t="s">
        <v>21</v>
      </c>
      <c r="H522" s="10" t="s">
        <v>48</v>
      </c>
      <c r="I522" s="10">
        <v>46.8018</v>
      </c>
      <c r="J522" s="10">
        <v>-71.243099999999998</v>
      </c>
      <c r="K522" s="10">
        <v>46.792299999999997</v>
      </c>
      <c r="L522" s="10">
        <v>-71.172899999999998</v>
      </c>
      <c r="M522" s="10" t="str">
        <f t="shared" si="53"/>
        <v>C6</v>
      </c>
      <c r="N522" s="10" t="str">
        <f t="shared" si="54"/>
        <v>C32</v>
      </c>
      <c r="O522" s="5">
        <f t="shared" si="58"/>
        <v>5.4471964276999971</v>
      </c>
      <c r="P522" s="22">
        <f>O522/Explications!$C$8</f>
        <v>0.18157321425666656</v>
      </c>
      <c r="Q522" s="7" t="str">
        <f t="shared" si="55"/>
        <v>C32</v>
      </c>
      <c r="R522" s="7" t="str">
        <f t="shared" si="56"/>
        <v>C6</v>
      </c>
      <c r="S522" s="18">
        <f t="shared" si="57"/>
        <v>5.4471964276999971</v>
      </c>
      <c r="T522" s="18">
        <f>S522/Explications!$C$8</f>
        <v>0.18157321425666656</v>
      </c>
    </row>
    <row r="523" spans="7:20">
      <c r="G523" s="10" t="s">
        <v>21</v>
      </c>
      <c r="H523" s="10" t="s">
        <v>49</v>
      </c>
      <c r="I523" s="10">
        <v>46.8018</v>
      </c>
      <c r="J523" s="10">
        <v>-71.243099999999998</v>
      </c>
      <c r="K523" s="10">
        <v>46.7883</v>
      </c>
      <c r="L523" s="10">
        <v>-71.131200000000007</v>
      </c>
      <c r="M523" s="10" t="str">
        <f t="shared" si="53"/>
        <v>C6</v>
      </c>
      <c r="N523" s="10" t="str">
        <f t="shared" si="54"/>
        <v>C33</v>
      </c>
      <c r="O523" s="5">
        <f t="shared" si="58"/>
        <v>8.6496605486580442</v>
      </c>
      <c r="P523" s="22">
        <f>O523/Explications!$C$8</f>
        <v>0.28832201828860149</v>
      </c>
      <c r="Q523" s="7" t="str">
        <f t="shared" si="55"/>
        <v>C33</v>
      </c>
      <c r="R523" s="7" t="str">
        <f t="shared" si="56"/>
        <v>C6</v>
      </c>
      <c r="S523" s="18">
        <f t="shared" si="57"/>
        <v>8.6496605486580442</v>
      </c>
      <c r="T523" s="18">
        <f>S523/Explications!$C$8</f>
        <v>0.28832201828860149</v>
      </c>
    </row>
    <row r="524" spans="7:20">
      <c r="G524" s="10" t="s">
        <v>21</v>
      </c>
      <c r="H524" s="10" t="s">
        <v>50</v>
      </c>
      <c r="I524" s="10">
        <v>46.8018</v>
      </c>
      <c r="J524" s="10">
        <v>-71.243099999999998</v>
      </c>
      <c r="K524" s="10">
        <v>46.8611</v>
      </c>
      <c r="L524" s="10">
        <v>-71.268799999999999</v>
      </c>
      <c r="M524" s="10" t="str">
        <f t="shared" si="53"/>
        <v>C6</v>
      </c>
      <c r="N524" s="10" t="str">
        <f t="shared" si="54"/>
        <v>C34</v>
      </c>
      <c r="O524" s="5">
        <f t="shared" si="58"/>
        <v>6.8775988475523073</v>
      </c>
      <c r="P524" s="22">
        <f>O524/Explications!$C$8</f>
        <v>0.22925329491841023</v>
      </c>
      <c r="Q524" s="7" t="str">
        <f t="shared" si="55"/>
        <v>C34</v>
      </c>
      <c r="R524" s="7" t="str">
        <f t="shared" si="56"/>
        <v>C6</v>
      </c>
      <c r="S524" s="18">
        <f t="shared" si="57"/>
        <v>6.8775988475523073</v>
      </c>
      <c r="T524" s="18">
        <f>S524/Explications!$C$8</f>
        <v>0.22925329491841023</v>
      </c>
    </row>
    <row r="525" spans="7:20">
      <c r="G525" s="10" t="s">
        <v>21</v>
      </c>
      <c r="H525" s="10" t="s">
        <v>51</v>
      </c>
      <c r="I525" s="10">
        <v>46.8018</v>
      </c>
      <c r="J525" s="10">
        <v>-71.243099999999998</v>
      </c>
      <c r="K525" s="10">
        <v>46.869700000000002</v>
      </c>
      <c r="L525" s="10">
        <v>-71.205200000000005</v>
      </c>
      <c r="M525" s="10" t="str">
        <f t="shared" si="53"/>
        <v>C6</v>
      </c>
      <c r="N525" s="10" t="str">
        <f t="shared" si="54"/>
        <v>C35</v>
      </c>
      <c r="O525" s="5">
        <f t="shared" si="58"/>
        <v>8.0818318701972132</v>
      </c>
      <c r="P525" s="22">
        <f>O525/Explications!$C$8</f>
        <v>0.26939439567324042</v>
      </c>
      <c r="Q525" s="7" t="str">
        <f t="shared" si="55"/>
        <v>C35</v>
      </c>
      <c r="R525" s="7" t="str">
        <f t="shared" si="56"/>
        <v>C6</v>
      </c>
      <c r="S525" s="18">
        <f t="shared" si="57"/>
        <v>8.0818318701972132</v>
      </c>
      <c r="T525" s="18">
        <f>S525/Explications!$C$8</f>
        <v>0.26939439567324042</v>
      </c>
    </row>
    <row r="526" spans="7:20">
      <c r="G526" s="10" t="s">
        <v>21</v>
      </c>
      <c r="H526" s="10" t="s">
        <v>52</v>
      </c>
      <c r="I526" s="10">
        <v>46.8018</v>
      </c>
      <c r="J526" s="10">
        <v>-71.243099999999998</v>
      </c>
      <c r="K526" s="10">
        <v>46.774099999999997</v>
      </c>
      <c r="L526" s="10">
        <v>-71.174000000000007</v>
      </c>
      <c r="M526" s="10" t="str">
        <f t="shared" si="53"/>
        <v>C6</v>
      </c>
      <c r="N526" s="10" t="str">
        <f t="shared" si="54"/>
        <v>C36</v>
      </c>
      <c r="O526" s="5">
        <f t="shared" si="58"/>
        <v>6.0962718646856615</v>
      </c>
      <c r="P526" s="22">
        <f>O526/Explications!$C$8</f>
        <v>0.20320906215618872</v>
      </c>
      <c r="Q526" s="7" t="str">
        <f t="shared" si="55"/>
        <v>C36</v>
      </c>
      <c r="R526" s="7" t="str">
        <f t="shared" si="56"/>
        <v>C6</v>
      </c>
      <c r="S526" s="18">
        <f t="shared" si="57"/>
        <v>6.0962718646856615</v>
      </c>
      <c r="T526" s="18">
        <f>S526/Explications!$C$8</f>
        <v>0.20320906215618872</v>
      </c>
    </row>
    <row r="527" spans="7:20">
      <c r="G527" s="10" t="s">
        <v>21</v>
      </c>
      <c r="H527" s="10" t="s">
        <v>53</v>
      </c>
      <c r="I527" s="10">
        <v>46.8018</v>
      </c>
      <c r="J527" s="10">
        <v>-71.243099999999998</v>
      </c>
      <c r="K527" s="10">
        <v>46.808500000000002</v>
      </c>
      <c r="L527" s="10">
        <v>-71.326599999999999</v>
      </c>
      <c r="M527" s="10" t="str">
        <f t="shared" si="53"/>
        <v>C6</v>
      </c>
      <c r="N527" s="10" t="str">
        <f t="shared" si="54"/>
        <v>C37</v>
      </c>
      <c r="O527" s="5">
        <f t="shared" si="58"/>
        <v>6.3987763938550524</v>
      </c>
      <c r="P527" s="22">
        <f>O527/Explications!$C$8</f>
        <v>0.21329254646183507</v>
      </c>
      <c r="Q527" s="7" t="str">
        <f t="shared" si="55"/>
        <v>C37</v>
      </c>
      <c r="R527" s="7" t="str">
        <f t="shared" si="56"/>
        <v>C6</v>
      </c>
      <c r="S527" s="18">
        <f t="shared" si="57"/>
        <v>6.3987763938550524</v>
      </c>
      <c r="T527" s="18">
        <f>S527/Explications!$C$8</f>
        <v>0.21329254646183507</v>
      </c>
    </row>
    <row r="528" spans="7:20">
      <c r="G528" s="10" t="s">
        <v>21</v>
      </c>
      <c r="H528" s="10" t="s">
        <v>54</v>
      </c>
      <c r="I528" s="10">
        <v>46.8018</v>
      </c>
      <c r="J528" s="10">
        <v>-71.243099999999998</v>
      </c>
      <c r="K528" s="10">
        <v>46.797499999999999</v>
      </c>
      <c r="L528" s="10">
        <v>-71.306100000000001</v>
      </c>
      <c r="M528" s="10" t="str">
        <f t="shared" si="53"/>
        <v>C6</v>
      </c>
      <c r="N528" s="10" t="str">
        <f t="shared" si="54"/>
        <v>C38</v>
      </c>
      <c r="O528" s="5">
        <f t="shared" si="58"/>
        <v>4.8192531698404668</v>
      </c>
      <c r="P528" s="22">
        <f>O528/Explications!$C$8</f>
        <v>0.16064177232801555</v>
      </c>
      <c r="Q528" s="7" t="str">
        <f t="shared" si="55"/>
        <v>C38</v>
      </c>
      <c r="R528" s="7" t="str">
        <f t="shared" si="56"/>
        <v>C6</v>
      </c>
      <c r="S528" s="18">
        <f t="shared" si="57"/>
        <v>4.8192531698404668</v>
      </c>
      <c r="T528" s="18">
        <f>S528/Explications!$C$8</f>
        <v>0.16064177232801555</v>
      </c>
    </row>
    <row r="529" spans="7:20">
      <c r="G529" s="10" t="s">
        <v>21</v>
      </c>
      <c r="H529" s="10" t="s">
        <v>55</v>
      </c>
      <c r="I529" s="10">
        <v>46.8018</v>
      </c>
      <c r="J529" s="10">
        <v>-71.243099999999998</v>
      </c>
      <c r="K529" s="10">
        <v>46.8155</v>
      </c>
      <c r="L529" s="10">
        <v>-71.268199999999993</v>
      </c>
      <c r="M529" s="10" t="str">
        <f t="shared" si="53"/>
        <v>C6</v>
      </c>
      <c r="N529" s="10" t="str">
        <f t="shared" si="54"/>
        <v>C39</v>
      </c>
      <c r="O529" s="5">
        <f t="shared" si="58"/>
        <v>2.4433063903582832</v>
      </c>
      <c r="P529" s="22">
        <f>O529/Explications!$C$8</f>
        <v>8.1443546345276105E-2</v>
      </c>
      <c r="Q529" s="7" t="str">
        <f t="shared" si="55"/>
        <v>C39</v>
      </c>
      <c r="R529" s="7" t="str">
        <f t="shared" si="56"/>
        <v>C6</v>
      </c>
      <c r="S529" s="18">
        <f t="shared" si="57"/>
        <v>2.4433063903582832</v>
      </c>
      <c r="T529" s="18">
        <f>S529/Explications!$C$8</f>
        <v>8.1443546345276105E-2</v>
      </c>
    </row>
    <row r="530" spans="7:20">
      <c r="G530" s="10" t="s">
        <v>21</v>
      </c>
      <c r="H530" s="10" t="s">
        <v>56</v>
      </c>
      <c r="I530" s="10">
        <v>46.8018</v>
      </c>
      <c r="J530" s="10">
        <v>-71.243099999999998</v>
      </c>
      <c r="K530" s="10">
        <v>46.866700000000002</v>
      </c>
      <c r="L530" s="10">
        <v>-71.215900000000005</v>
      </c>
      <c r="M530" s="10" t="str">
        <f t="shared" si="53"/>
        <v>C6</v>
      </c>
      <c r="N530" s="10" t="str">
        <f t="shared" si="54"/>
        <v>C40</v>
      </c>
      <c r="O530" s="5">
        <f t="shared" si="58"/>
        <v>7.5073137547747297</v>
      </c>
      <c r="P530" s="22">
        <f>O530/Explications!$C$8</f>
        <v>0.25024379182582435</v>
      </c>
      <c r="Q530" s="7" t="str">
        <f t="shared" si="55"/>
        <v>C40</v>
      </c>
      <c r="R530" s="7" t="str">
        <f t="shared" si="56"/>
        <v>C6</v>
      </c>
      <c r="S530" s="18">
        <f t="shared" si="57"/>
        <v>7.5073137547747297</v>
      </c>
      <c r="T530" s="18">
        <f>S530/Explications!$C$8</f>
        <v>0.25024379182582435</v>
      </c>
    </row>
    <row r="531" spans="7:20">
      <c r="G531" s="10" t="s">
        <v>21</v>
      </c>
      <c r="H531" s="10" t="s">
        <v>57</v>
      </c>
      <c r="I531" s="10">
        <v>46.8018</v>
      </c>
      <c r="J531" s="10">
        <v>-71.243099999999998</v>
      </c>
      <c r="K531" s="10">
        <v>46.762099999999997</v>
      </c>
      <c r="L531" s="10">
        <v>-71.235399999999998</v>
      </c>
      <c r="M531" s="10" t="str">
        <f t="shared" si="53"/>
        <v>C6</v>
      </c>
      <c r="N531" s="10" t="str">
        <f t="shared" si="54"/>
        <v>C41</v>
      </c>
      <c r="O531" s="5">
        <f t="shared" si="58"/>
        <v>4.453203707996467</v>
      </c>
      <c r="P531" s="22">
        <f>O531/Explications!$C$8</f>
        <v>0.14844012359988223</v>
      </c>
      <c r="Q531" s="7" t="str">
        <f t="shared" si="55"/>
        <v>C41</v>
      </c>
      <c r="R531" s="7" t="str">
        <f t="shared" si="56"/>
        <v>C6</v>
      </c>
      <c r="S531" s="18">
        <f t="shared" si="57"/>
        <v>4.453203707996467</v>
      </c>
      <c r="T531" s="18">
        <f>S531/Explications!$C$8</f>
        <v>0.14844012359988223</v>
      </c>
    </row>
    <row r="532" spans="7:20">
      <c r="G532" s="10" t="s">
        <v>21</v>
      </c>
      <c r="H532" s="10" t="s">
        <v>58</v>
      </c>
      <c r="I532" s="10">
        <v>46.8018</v>
      </c>
      <c r="J532" s="10">
        <v>-71.243099999999998</v>
      </c>
      <c r="K532" s="10">
        <v>46.8157</v>
      </c>
      <c r="L532" s="10">
        <v>-71.2042</v>
      </c>
      <c r="M532" s="10" t="str">
        <f t="shared" si="53"/>
        <v>C6</v>
      </c>
      <c r="N532" s="10" t="str">
        <f t="shared" si="54"/>
        <v>C42</v>
      </c>
      <c r="O532" s="5">
        <f t="shared" si="58"/>
        <v>3.3396942522651689</v>
      </c>
      <c r="P532" s="22">
        <f>O532/Explications!$C$8</f>
        <v>0.1113231417421723</v>
      </c>
      <c r="Q532" s="7" t="str">
        <f t="shared" si="55"/>
        <v>C42</v>
      </c>
      <c r="R532" s="7" t="str">
        <f t="shared" si="56"/>
        <v>C6</v>
      </c>
      <c r="S532" s="18">
        <f t="shared" si="57"/>
        <v>3.3396942522651689</v>
      </c>
      <c r="T532" s="18">
        <f>S532/Explications!$C$8</f>
        <v>0.1113231417421723</v>
      </c>
    </row>
    <row r="533" spans="7:20">
      <c r="G533" s="10" t="s">
        <v>21</v>
      </c>
      <c r="H533" s="10" t="s">
        <v>59</v>
      </c>
      <c r="I533" s="10">
        <v>46.8018</v>
      </c>
      <c r="J533" s="10">
        <v>-71.243099999999998</v>
      </c>
      <c r="K533" s="10">
        <v>46.707000000000001</v>
      </c>
      <c r="L533" s="10">
        <v>-71.217100000000002</v>
      </c>
      <c r="M533" s="10" t="str">
        <f t="shared" si="53"/>
        <v>C6</v>
      </c>
      <c r="N533" s="10" t="str">
        <f t="shared" si="54"/>
        <v>C43</v>
      </c>
      <c r="O533" s="5">
        <f t="shared" si="58"/>
        <v>10.725759945769319</v>
      </c>
      <c r="P533" s="22">
        <f>O533/Explications!$C$8</f>
        <v>0.35752533152564397</v>
      </c>
      <c r="Q533" s="7" t="str">
        <f t="shared" si="55"/>
        <v>C43</v>
      </c>
      <c r="R533" s="7" t="str">
        <f t="shared" si="56"/>
        <v>C6</v>
      </c>
      <c r="S533" s="18">
        <f t="shared" si="57"/>
        <v>10.725759945769319</v>
      </c>
      <c r="T533" s="18">
        <f>S533/Explications!$C$8</f>
        <v>0.35752533152564397</v>
      </c>
    </row>
    <row r="534" spans="7:20">
      <c r="G534" s="10" t="s">
        <v>21</v>
      </c>
      <c r="H534" s="10" t="s">
        <v>60</v>
      </c>
      <c r="I534" s="10">
        <v>46.8018</v>
      </c>
      <c r="J534" s="10">
        <v>-71.243099999999998</v>
      </c>
      <c r="K534" s="10">
        <v>46.802900000000001</v>
      </c>
      <c r="L534" s="10">
        <v>-71.228899999999996</v>
      </c>
      <c r="M534" s="10" t="str">
        <f t="shared" si="53"/>
        <v>C6</v>
      </c>
      <c r="N534" s="10" t="str">
        <f t="shared" si="54"/>
        <v>C44</v>
      </c>
      <c r="O534" s="5">
        <f t="shared" si="58"/>
        <v>1.0877296945662727</v>
      </c>
      <c r="P534" s="22">
        <f>O534/Explications!$C$8</f>
        <v>3.6257656485542425E-2</v>
      </c>
      <c r="Q534" s="7" t="str">
        <f t="shared" si="55"/>
        <v>C44</v>
      </c>
      <c r="R534" s="7" t="str">
        <f t="shared" si="56"/>
        <v>C6</v>
      </c>
      <c r="S534" s="18">
        <f t="shared" si="57"/>
        <v>1.0877296945662727</v>
      </c>
      <c r="T534" s="18">
        <f>S534/Explications!$C$8</f>
        <v>3.6257656485542425E-2</v>
      </c>
    </row>
    <row r="535" spans="7:20">
      <c r="G535" s="10" t="s">
        <v>21</v>
      </c>
      <c r="H535" s="10" t="s">
        <v>61</v>
      </c>
      <c r="I535" s="10">
        <v>46.8018</v>
      </c>
      <c r="J535" s="10">
        <v>-71.243099999999998</v>
      </c>
      <c r="K535" s="10">
        <v>46.796900000000001</v>
      </c>
      <c r="L535" s="10">
        <v>-71.3078</v>
      </c>
      <c r="M535" s="10" t="str">
        <f t="shared" si="53"/>
        <v>C6</v>
      </c>
      <c r="N535" s="10" t="str">
        <f t="shared" si="54"/>
        <v>C45</v>
      </c>
      <c r="O535" s="5">
        <f t="shared" si="58"/>
        <v>4.9549523556100894</v>
      </c>
      <c r="P535" s="22">
        <f>O535/Explications!$C$8</f>
        <v>0.16516507852033632</v>
      </c>
      <c r="Q535" s="7" t="str">
        <f t="shared" si="55"/>
        <v>C45</v>
      </c>
      <c r="R535" s="7" t="str">
        <f t="shared" si="56"/>
        <v>C6</v>
      </c>
      <c r="S535" s="18">
        <f t="shared" si="57"/>
        <v>4.9549523556100894</v>
      </c>
      <c r="T535" s="18">
        <f>S535/Explications!$C$8</f>
        <v>0.16516507852033632</v>
      </c>
    </row>
    <row r="536" spans="7:20">
      <c r="G536" s="10" t="s">
        <v>21</v>
      </c>
      <c r="H536" s="10" t="s">
        <v>62</v>
      </c>
      <c r="I536" s="10">
        <v>46.8018</v>
      </c>
      <c r="J536" s="10">
        <v>-71.243099999999998</v>
      </c>
      <c r="K536" s="10">
        <v>46.803600000000003</v>
      </c>
      <c r="L536" s="10">
        <v>-71.231099999999998</v>
      </c>
      <c r="M536" s="10" t="str">
        <f t="shared" si="53"/>
        <v>C6</v>
      </c>
      <c r="N536" s="10" t="str">
        <f t="shared" si="54"/>
        <v>C46</v>
      </c>
      <c r="O536" s="5">
        <f t="shared" si="58"/>
        <v>0.93504494195497601</v>
      </c>
      <c r="P536" s="22">
        <f>O536/Explications!$C$8</f>
        <v>3.1168164731832534E-2</v>
      </c>
      <c r="Q536" s="7" t="str">
        <f t="shared" si="55"/>
        <v>C46</v>
      </c>
      <c r="R536" s="7" t="str">
        <f t="shared" si="56"/>
        <v>C6</v>
      </c>
      <c r="S536" s="18">
        <f t="shared" si="57"/>
        <v>0.93504494195497601</v>
      </c>
      <c r="T536" s="18">
        <f>S536/Explications!$C$8</f>
        <v>3.1168164731832534E-2</v>
      </c>
    </row>
    <row r="537" spans="7:20">
      <c r="G537" s="10" t="s">
        <v>21</v>
      </c>
      <c r="H537" s="10" t="s">
        <v>63</v>
      </c>
      <c r="I537" s="10">
        <v>46.8018</v>
      </c>
      <c r="J537" s="10">
        <v>-71.243099999999998</v>
      </c>
      <c r="K537" s="10">
        <v>46.802399999999999</v>
      </c>
      <c r="L537" s="10">
        <v>-71.269800000000004</v>
      </c>
      <c r="M537" s="10" t="str">
        <f t="shared" si="53"/>
        <v>C6</v>
      </c>
      <c r="N537" s="10" t="str">
        <f t="shared" si="54"/>
        <v>C47</v>
      </c>
      <c r="O537" s="5">
        <f t="shared" si="58"/>
        <v>2.0333704952449185</v>
      </c>
      <c r="P537" s="22">
        <f>O537/Explications!$C$8</f>
        <v>6.7779016508163953E-2</v>
      </c>
      <c r="Q537" s="7" t="str">
        <f t="shared" si="55"/>
        <v>C47</v>
      </c>
      <c r="R537" s="7" t="str">
        <f t="shared" si="56"/>
        <v>C6</v>
      </c>
      <c r="S537" s="18">
        <f t="shared" si="57"/>
        <v>2.0333704952449185</v>
      </c>
      <c r="T537" s="18">
        <f>S537/Explications!$C$8</f>
        <v>6.7779016508163953E-2</v>
      </c>
    </row>
    <row r="538" spans="7:20">
      <c r="G538" s="10" t="s">
        <v>21</v>
      </c>
      <c r="H538" s="10" t="s">
        <v>64</v>
      </c>
      <c r="I538" s="10">
        <v>46.8018</v>
      </c>
      <c r="J538" s="10">
        <v>-71.243099999999998</v>
      </c>
      <c r="K538" s="10">
        <v>46.826799999999999</v>
      </c>
      <c r="L538" s="10">
        <v>-71.224199999999996</v>
      </c>
      <c r="M538" s="10" t="str">
        <f t="shared" si="53"/>
        <v>C6</v>
      </c>
      <c r="N538" s="10" t="str">
        <f t="shared" si="54"/>
        <v>C48</v>
      </c>
      <c r="O538" s="5">
        <f t="shared" si="58"/>
        <v>3.1298978216101689</v>
      </c>
      <c r="P538" s="22">
        <f>O538/Explications!$C$8</f>
        <v>0.10432992738700562</v>
      </c>
      <c r="Q538" s="7" t="str">
        <f t="shared" si="55"/>
        <v>C48</v>
      </c>
      <c r="R538" s="7" t="str">
        <f t="shared" si="56"/>
        <v>C6</v>
      </c>
      <c r="S538" s="18">
        <f t="shared" si="57"/>
        <v>3.1298978216101689</v>
      </c>
      <c r="T538" s="18">
        <f>S538/Explications!$C$8</f>
        <v>0.10432992738700562</v>
      </c>
    </row>
    <row r="539" spans="7:20">
      <c r="G539" s="10" t="s">
        <v>21</v>
      </c>
      <c r="H539" s="10" t="s">
        <v>65</v>
      </c>
      <c r="I539" s="10">
        <v>46.8018</v>
      </c>
      <c r="J539" s="10">
        <v>-71.243099999999998</v>
      </c>
      <c r="K539" s="10">
        <v>46.864100000000001</v>
      </c>
      <c r="L539" s="10">
        <v>-71.255499999999998</v>
      </c>
      <c r="M539" s="10" t="str">
        <f t="shared" si="53"/>
        <v>C6</v>
      </c>
      <c r="N539" s="10" t="str">
        <f t="shared" si="54"/>
        <v>C49</v>
      </c>
      <c r="O539" s="5">
        <f t="shared" si="58"/>
        <v>6.9913710744660085</v>
      </c>
      <c r="P539" s="22">
        <f>O539/Explications!$C$8</f>
        <v>0.23304570248220027</v>
      </c>
      <c r="Q539" s="7" t="str">
        <f t="shared" si="55"/>
        <v>C49</v>
      </c>
      <c r="R539" s="7" t="str">
        <f t="shared" si="56"/>
        <v>C6</v>
      </c>
      <c r="S539" s="18">
        <f t="shared" si="57"/>
        <v>6.9913710744660085</v>
      </c>
      <c r="T539" s="18">
        <f>S539/Explications!$C$8</f>
        <v>0.23304570248220027</v>
      </c>
    </row>
    <row r="540" spans="7:20">
      <c r="G540" s="10" t="s">
        <v>21</v>
      </c>
      <c r="H540" s="10" t="s">
        <v>66</v>
      </c>
      <c r="I540" s="10">
        <v>46.8018</v>
      </c>
      <c r="J540" s="10">
        <v>-71.243099999999998</v>
      </c>
      <c r="K540" s="10">
        <v>46.843800000000002</v>
      </c>
      <c r="L540" s="10">
        <v>-71.247299999999996</v>
      </c>
      <c r="M540" s="10" t="str">
        <f t="shared" si="53"/>
        <v>C6</v>
      </c>
      <c r="N540" s="10" t="str">
        <f t="shared" si="54"/>
        <v>C50</v>
      </c>
      <c r="O540" s="5">
        <f t="shared" si="58"/>
        <v>4.6811072340320896</v>
      </c>
      <c r="P540" s="22">
        <f>O540/Explications!$C$8</f>
        <v>0.15603690780106966</v>
      </c>
      <c r="Q540" s="7" t="str">
        <f t="shared" si="55"/>
        <v>C50</v>
      </c>
      <c r="R540" s="7" t="str">
        <f t="shared" si="56"/>
        <v>C6</v>
      </c>
      <c r="S540" s="18">
        <f t="shared" si="57"/>
        <v>4.6811072340320896</v>
      </c>
      <c r="T540" s="18">
        <f>S540/Explications!$C$8</f>
        <v>0.15603690780106966</v>
      </c>
    </row>
    <row r="541" spans="7:20">
      <c r="G541" s="10" t="s">
        <v>21</v>
      </c>
      <c r="H541" s="10" t="s">
        <v>67</v>
      </c>
      <c r="I541" s="10">
        <v>46.8018</v>
      </c>
      <c r="J541" s="10">
        <v>-71.243099999999998</v>
      </c>
      <c r="K541" s="10">
        <v>46.765599999999999</v>
      </c>
      <c r="L541" s="10">
        <v>-71.312100000000001</v>
      </c>
      <c r="M541" s="10" t="str">
        <f t="shared" si="53"/>
        <v>C6</v>
      </c>
      <c r="N541" s="10" t="str">
        <f t="shared" si="54"/>
        <v>C51</v>
      </c>
      <c r="O541" s="5">
        <f t="shared" si="58"/>
        <v>6.6184977358600126</v>
      </c>
      <c r="P541" s="22">
        <f>O541/Explications!$C$8</f>
        <v>0.22061659119533375</v>
      </c>
      <c r="Q541" s="7" t="str">
        <f t="shared" si="55"/>
        <v>C51</v>
      </c>
      <c r="R541" s="7" t="str">
        <f t="shared" si="56"/>
        <v>C6</v>
      </c>
      <c r="S541" s="18">
        <f t="shared" si="57"/>
        <v>6.6184977358600126</v>
      </c>
      <c r="T541" s="18">
        <f>S541/Explications!$C$8</f>
        <v>0.22061659119533375</v>
      </c>
    </row>
    <row r="542" spans="7:20">
      <c r="G542" s="10" t="s">
        <v>21</v>
      </c>
      <c r="H542" s="10" t="s">
        <v>68</v>
      </c>
      <c r="I542" s="10">
        <v>46.8018</v>
      </c>
      <c r="J542" s="10">
        <v>-71.243099999999998</v>
      </c>
      <c r="K542" s="10">
        <v>46.787599999999998</v>
      </c>
      <c r="L542" s="10">
        <v>-71.288600000000002</v>
      </c>
      <c r="M542" s="10" t="str">
        <f t="shared" si="53"/>
        <v>C6</v>
      </c>
      <c r="N542" s="10" t="str">
        <f t="shared" si="54"/>
        <v>C52</v>
      </c>
      <c r="O542" s="5">
        <f t="shared" si="58"/>
        <v>3.8066362131020481</v>
      </c>
      <c r="P542" s="22">
        <f>O542/Explications!$C$8</f>
        <v>0.12688787377006827</v>
      </c>
      <c r="Q542" s="7" t="str">
        <f t="shared" si="55"/>
        <v>C52</v>
      </c>
      <c r="R542" s="7" t="str">
        <f t="shared" si="56"/>
        <v>C6</v>
      </c>
      <c r="S542" s="18">
        <f t="shared" si="57"/>
        <v>3.8066362131020481</v>
      </c>
      <c r="T542" s="18">
        <f>S542/Explications!$C$8</f>
        <v>0.12688787377006827</v>
      </c>
    </row>
    <row r="543" spans="7:20">
      <c r="G543" s="10" t="s">
        <v>21</v>
      </c>
      <c r="H543" s="10" t="s">
        <v>69</v>
      </c>
      <c r="I543" s="10">
        <v>46.8018</v>
      </c>
      <c r="J543" s="10">
        <v>-71.243099999999998</v>
      </c>
      <c r="K543" s="10">
        <v>46.764600000000002</v>
      </c>
      <c r="L543" s="10">
        <v>-71.308300000000003</v>
      </c>
      <c r="M543" s="10" t="str">
        <f t="shared" si="53"/>
        <v>C6</v>
      </c>
      <c r="N543" s="10" t="str">
        <f t="shared" si="54"/>
        <v>C53</v>
      </c>
      <c r="O543" s="5">
        <f t="shared" si="58"/>
        <v>6.4618902287642266</v>
      </c>
      <c r="P543" s="22">
        <f>O543/Explications!$C$8</f>
        <v>0.21539634095880755</v>
      </c>
      <c r="Q543" s="7" t="str">
        <f t="shared" si="55"/>
        <v>C53</v>
      </c>
      <c r="R543" s="7" t="str">
        <f t="shared" si="56"/>
        <v>C6</v>
      </c>
      <c r="S543" s="18">
        <f t="shared" si="57"/>
        <v>6.4618902287642266</v>
      </c>
      <c r="T543" s="18">
        <f>S543/Explications!$C$8</f>
        <v>0.21539634095880755</v>
      </c>
    </row>
    <row r="544" spans="7:20">
      <c r="G544" s="10" t="s">
        <v>21</v>
      </c>
      <c r="H544" s="10" t="s">
        <v>70</v>
      </c>
      <c r="I544" s="10">
        <v>46.8018</v>
      </c>
      <c r="J544" s="10">
        <v>-71.243099999999998</v>
      </c>
      <c r="K544" s="10">
        <v>46.849699999999999</v>
      </c>
      <c r="L544" s="10">
        <v>-71.097399999999993</v>
      </c>
      <c r="M544" s="10" t="str">
        <f t="shared" si="53"/>
        <v>C6</v>
      </c>
      <c r="N544" s="10" t="str">
        <f t="shared" si="54"/>
        <v>C54</v>
      </c>
      <c r="O544" s="5">
        <f t="shared" si="58"/>
        <v>12.298306768557412</v>
      </c>
      <c r="P544" s="22">
        <f>O544/Explications!$C$8</f>
        <v>0.4099435589519137</v>
      </c>
      <c r="Q544" s="7" t="str">
        <f t="shared" si="55"/>
        <v>C54</v>
      </c>
      <c r="R544" s="7" t="str">
        <f t="shared" si="56"/>
        <v>C6</v>
      </c>
      <c r="S544" s="18">
        <f t="shared" si="57"/>
        <v>12.298306768557412</v>
      </c>
      <c r="T544" s="18">
        <f>S544/Explications!$C$8</f>
        <v>0.4099435589519137</v>
      </c>
    </row>
    <row r="545" spans="7:20">
      <c r="G545" s="10" t="s">
        <v>21</v>
      </c>
      <c r="H545" s="10" t="s">
        <v>71</v>
      </c>
      <c r="I545" s="10">
        <v>46.8018</v>
      </c>
      <c r="J545" s="10">
        <v>-71.243099999999998</v>
      </c>
      <c r="K545" s="10">
        <v>46.788899999999998</v>
      </c>
      <c r="L545" s="10">
        <v>-71.321399999999997</v>
      </c>
      <c r="M545" s="10" t="str">
        <f t="shared" si="53"/>
        <v>C6</v>
      </c>
      <c r="N545" s="10" t="str">
        <f t="shared" si="54"/>
        <v>C55</v>
      </c>
      <c r="O545" s="5">
        <f t="shared" si="58"/>
        <v>6.1307344893291642</v>
      </c>
      <c r="P545" s="22">
        <f>O545/Explications!$C$8</f>
        <v>0.20435781631097213</v>
      </c>
      <c r="Q545" s="7" t="str">
        <f t="shared" si="55"/>
        <v>C55</v>
      </c>
      <c r="R545" s="7" t="str">
        <f t="shared" si="56"/>
        <v>C6</v>
      </c>
      <c r="S545" s="18">
        <f t="shared" si="57"/>
        <v>6.1307344893291642</v>
      </c>
      <c r="T545" s="18">
        <f>S545/Explications!$C$8</f>
        <v>0.20435781631097213</v>
      </c>
    </row>
    <row r="546" spans="7:20">
      <c r="G546" s="10" t="s">
        <v>21</v>
      </c>
      <c r="H546" s="10" t="s">
        <v>72</v>
      </c>
      <c r="I546" s="10">
        <v>46.8018</v>
      </c>
      <c r="J546" s="10">
        <v>-71.243099999999998</v>
      </c>
      <c r="K546" s="10">
        <v>46.795400000000001</v>
      </c>
      <c r="L546" s="10">
        <v>-71.232600000000005</v>
      </c>
      <c r="M546" s="10" t="str">
        <f t="shared" si="53"/>
        <v>C6</v>
      </c>
      <c r="N546" s="10" t="str">
        <f t="shared" si="54"/>
        <v>C56</v>
      </c>
      <c r="O546" s="5">
        <f t="shared" si="58"/>
        <v>1.0701687748485111</v>
      </c>
      <c r="P546" s="22">
        <f>O546/Explications!$C$8</f>
        <v>3.5672292494950374E-2</v>
      </c>
      <c r="Q546" s="7" t="str">
        <f t="shared" si="55"/>
        <v>C56</v>
      </c>
      <c r="R546" s="7" t="str">
        <f t="shared" si="56"/>
        <v>C6</v>
      </c>
      <c r="S546" s="18">
        <f t="shared" si="57"/>
        <v>1.0701687748485111</v>
      </c>
      <c r="T546" s="18">
        <f>S546/Explications!$C$8</f>
        <v>3.5672292494950374E-2</v>
      </c>
    </row>
    <row r="547" spans="7:20">
      <c r="G547" s="10" t="s">
        <v>21</v>
      </c>
      <c r="H547" s="10" t="s">
        <v>73</v>
      </c>
      <c r="I547" s="10">
        <v>46.8018</v>
      </c>
      <c r="J547" s="10">
        <v>-71.243099999999998</v>
      </c>
      <c r="K547" s="10">
        <v>46.801200000000001</v>
      </c>
      <c r="L547" s="10">
        <v>-71.224999999999994</v>
      </c>
      <c r="M547" s="10" t="str">
        <f t="shared" si="53"/>
        <v>C6</v>
      </c>
      <c r="N547" s="10" t="str">
        <f t="shared" si="54"/>
        <v>C57</v>
      </c>
      <c r="O547" s="5">
        <f t="shared" si="58"/>
        <v>1.3793148586298729</v>
      </c>
      <c r="P547" s="22">
        <f>O547/Explications!$C$8</f>
        <v>4.5977161954329097E-2</v>
      </c>
      <c r="Q547" s="7" t="str">
        <f t="shared" si="55"/>
        <v>C57</v>
      </c>
      <c r="R547" s="7" t="str">
        <f t="shared" si="56"/>
        <v>C6</v>
      </c>
      <c r="S547" s="18">
        <f t="shared" si="57"/>
        <v>1.3793148586298729</v>
      </c>
      <c r="T547" s="18">
        <f>S547/Explications!$C$8</f>
        <v>4.5977161954329097E-2</v>
      </c>
    </row>
    <row r="548" spans="7:20">
      <c r="G548" s="10" t="s">
        <v>21</v>
      </c>
      <c r="H548" s="10" t="s">
        <v>74</v>
      </c>
      <c r="I548" s="10">
        <v>46.8018</v>
      </c>
      <c r="J548" s="10">
        <v>-71.243099999999998</v>
      </c>
      <c r="K548" s="10">
        <v>46.773200000000003</v>
      </c>
      <c r="L548" s="10">
        <v>-71.275899999999993</v>
      </c>
      <c r="M548" s="10" t="str">
        <f t="shared" si="53"/>
        <v>C6</v>
      </c>
      <c r="N548" s="10" t="str">
        <f t="shared" si="54"/>
        <v>C58</v>
      </c>
      <c r="O548" s="5">
        <f t="shared" si="58"/>
        <v>4.0434883778635058</v>
      </c>
      <c r="P548" s="22">
        <f>O548/Explications!$C$8</f>
        <v>0.13478294592878354</v>
      </c>
      <c r="Q548" s="7" t="str">
        <f t="shared" si="55"/>
        <v>C58</v>
      </c>
      <c r="R548" s="7" t="str">
        <f t="shared" si="56"/>
        <v>C6</v>
      </c>
      <c r="S548" s="18">
        <f t="shared" si="57"/>
        <v>4.0434883778635058</v>
      </c>
      <c r="T548" s="18">
        <f>S548/Explications!$C$8</f>
        <v>0.13478294592878354</v>
      </c>
    </row>
    <row r="549" spans="7:20">
      <c r="G549" s="10" t="s">
        <v>21</v>
      </c>
      <c r="H549" s="10" t="s">
        <v>75</v>
      </c>
      <c r="I549" s="10">
        <v>46.8018</v>
      </c>
      <c r="J549" s="10">
        <v>-71.243099999999998</v>
      </c>
      <c r="K549" s="10">
        <v>46.814399999999999</v>
      </c>
      <c r="L549" s="10">
        <v>-71.225700000000003</v>
      </c>
      <c r="M549" s="10" t="str">
        <f t="shared" si="53"/>
        <v>C6</v>
      </c>
      <c r="N549" s="10" t="str">
        <f t="shared" si="54"/>
        <v>C59</v>
      </c>
      <c r="O549" s="5">
        <f t="shared" si="58"/>
        <v>1.9278521246380891</v>
      </c>
      <c r="P549" s="22">
        <f>O549/Explications!$C$8</f>
        <v>6.4261737487936302E-2</v>
      </c>
      <c r="Q549" s="7" t="str">
        <f t="shared" si="55"/>
        <v>C59</v>
      </c>
      <c r="R549" s="7" t="str">
        <f t="shared" si="56"/>
        <v>C6</v>
      </c>
      <c r="S549" s="18">
        <f t="shared" si="57"/>
        <v>1.9278521246380891</v>
      </c>
      <c r="T549" s="18">
        <f>S549/Explications!$C$8</f>
        <v>6.4261737487936302E-2</v>
      </c>
    </row>
    <row r="550" spans="7:20">
      <c r="G550" s="10" t="s">
        <v>21</v>
      </c>
      <c r="H550" s="10" t="s">
        <v>76</v>
      </c>
      <c r="I550" s="10">
        <v>46.8018</v>
      </c>
      <c r="J550" s="10">
        <v>-71.243099999999998</v>
      </c>
      <c r="K550" s="10">
        <v>46.772500000000001</v>
      </c>
      <c r="L550" s="10">
        <v>-71.276300000000006</v>
      </c>
      <c r="M550" s="10" t="str">
        <f t="shared" si="53"/>
        <v>C6</v>
      </c>
      <c r="N550" s="10" t="str">
        <f t="shared" si="54"/>
        <v>C60</v>
      </c>
      <c r="O550" s="5">
        <f t="shared" si="58"/>
        <v>4.1235953814362762</v>
      </c>
      <c r="P550" s="22">
        <f>O550/Explications!$C$8</f>
        <v>0.13745317938120921</v>
      </c>
      <c r="Q550" s="7" t="str">
        <f t="shared" si="55"/>
        <v>C60</v>
      </c>
      <c r="R550" s="7" t="str">
        <f t="shared" si="56"/>
        <v>C6</v>
      </c>
      <c r="S550" s="18">
        <f t="shared" si="57"/>
        <v>4.1235953814362762</v>
      </c>
      <c r="T550" s="18">
        <f>S550/Explications!$C$8</f>
        <v>0.13745317938120921</v>
      </c>
    </row>
    <row r="551" spans="7:20">
      <c r="G551" s="10" t="s">
        <v>21</v>
      </c>
      <c r="H551" s="10" t="s">
        <v>77</v>
      </c>
      <c r="I551" s="10">
        <v>46.8018</v>
      </c>
      <c r="J551" s="10">
        <v>-71.243099999999998</v>
      </c>
      <c r="K551" s="10">
        <v>46.810899999999997</v>
      </c>
      <c r="L551" s="10">
        <v>-71.215599999999995</v>
      </c>
      <c r="M551" s="10" t="str">
        <f t="shared" si="53"/>
        <v>C6</v>
      </c>
      <c r="N551" s="10" t="str">
        <f t="shared" si="54"/>
        <v>C61</v>
      </c>
      <c r="O551" s="5">
        <f t="shared" si="58"/>
        <v>2.3247683689211169</v>
      </c>
      <c r="P551" s="22">
        <f>O551/Explications!$C$8</f>
        <v>7.7492278964037237E-2</v>
      </c>
      <c r="Q551" s="7" t="str">
        <f t="shared" si="55"/>
        <v>C61</v>
      </c>
      <c r="R551" s="7" t="str">
        <f t="shared" si="56"/>
        <v>C6</v>
      </c>
      <c r="S551" s="18">
        <f t="shared" si="57"/>
        <v>2.3247683689211169</v>
      </c>
      <c r="T551" s="18">
        <f>S551/Explications!$C$8</f>
        <v>7.7492278964037237E-2</v>
      </c>
    </row>
    <row r="552" spans="7:20">
      <c r="G552" s="10" t="s">
        <v>21</v>
      </c>
      <c r="H552" s="10" t="s">
        <v>78</v>
      </c>
      <c r="I552" s="10">
        <v>46.8018</v>
      </c>
      <c r="J552" s="10">
        <v>-71.243099999999998</v>
      </c>
      <c r="K552" s="10">
        <v>46.795200000000001</v>
      </c>
      <c r="L552" s="10">
        <v>-71.245099999999994</v>
      </c>
      <c r="M552" s="10" t="str">
        <f t="shared" si="53"/>
        <v>C6</v>
      </c>
      <c r="N552" s="10" t="str">
        <f t="shared" si="54"/>
        <v>C62</v>
      </c>
      <c r="O552" s="5">
        <f t="shared" si="58"/>
        <v>0.74951091314978524</v>
      </c>
      <c r="P552" s="22">
        <f>O552/Explications!$C$8</f>
        <v>2.498369710499284E-2</v>
      </c>
      <c r="Q552" s="7" t="str">
        <f t="shared" si="55"/>
        <v>C62</v>
      </c>
      <c r="R552" s="7" t="str">
        <f t="shared" si="56"/>
        <v>C6</v>
      </c>
      <c r="S552" s="18">
        <f t="shared" si="57"/>
        <v>0.74951091314978524</v>
      </c>
      <c r="T552" s="18">
        <f>S552/Explications!$C$8</f>
        <v>2.498369710499284E-2</v>
      </c>
    </row>
    <row r="553" spans="7:20">
      <c r="G553" s="10" t="s">
        <v>21</v>
      </c>
      <c r="H553" s="10" t="s">
        <v>79</v>
      </c>
      <c r="I553" s="10">
        <v>46.8018</v>
      </c>
      <c r="J553" s="10">
        <v>-71.243099999999998</v>
      </c>
      <c r="K553" s="10">
        <v>46.822000000000003</v>
      </c>
      <c r="L553" s="10">
        <v>-71.345699999999994</v>
      </c>
      <c r="M553" s="10" t="str">
        <f t="shared" si="53"/>
        <v>C6</v>
      </c>
      <c r="N553" s="10" t="str">
        <f t="shared" si="54"/>
        <v>C63</v>
      </c>
      <c r="O553" s="5">
        <f t="shared" si="58"/>
        <v>8.124649434074863</v>
      </c>
      <c r="P553" s="22">
        <f>O553/Explications!$C$8</f>
        <v>0.27082164780249546</v>
      </c>
      <c r="Q553" s="7" t="str">
        <f t="shared" si="55"/>
        <v>C63</v>
      </c>
      <c r="R553" s="7" t="str">
        <f t="shared" si="56"/>
        <v>C6</v>
      </c>
      <c r="S553" s="18">
        <f t="shared" si="57"/>
        <v>8.124649434074863</v>
      </c>
      <c r="T553" s="18">
        <f>S553/Explications!$C$8</f>
        <v>0.27082164780249546</v>
      </c>
    </row>
    <row r="554" spans="7:20">
      <c r="G554" s="10" t="s">
        <v>21</v>
      </c>
      <c r="H554" s="10" t="s">
        <v>80</v>
      </c>
      <c r="I554" s="10">
        <v>46.8018</v>
      </c>
      <c r="J554" s="10">
        <v>-71.243099999999998</v>
      </c>
      <c r="K554" s="10">
        <v>46.779400000000003</v>
      </c>
      <c r="L554" s="10">
        <v>-71.350399999999993</v>
      </c>
      <c r="M554" s="10" t="str">
        <f t="shared" si="53"/>
        <v>C6</v>
      </c>
      <c r="N554" s="10" t="str">
        <f t="shared" si="54"/>
        <v>C64</v>
      </c>
      <c r="O554" s="5">
        <f t="shared" si="58"/>
        <v>8.5401947951171611</v>
      </c>
      <c r="P554" s="22">
        <f>O554/Explications!$C$8</f>
        <v>0.28467315983723868</v>
      </c>
      <c r="Q554" s="7" t="str">
        <f t="shared" si="55"/>
        <v>C64</v>
      </c>
      <c r="R554" s="7" t="str">
        <f t="shared" si="56"/>
        <v>C6</v>
      </c>
      <c r="S554" s="18">
        <f t="shared" si="57"/>
        <v>8.5401947951171611</v>
      </c>
      <c r="T554" s="18">
        <f>S554/Explications!$C$8</f>
        <v>0.28467315983723868</v>
      </c>
    </row>
    <row r="555" spans="7:20">
      <c r="G555" s="10" t="s">
        <v>21</v>
      </c>
      <c r="H555" s="10" t="s">
        <v>81</v>
      </c>
      <c r="I555" s="10">
        <v>46.8018</v>
      </c>
      <c r="J555" s="10">
        <v>-71.243099999999998</v>
      </c>
      <c r="K555" s="10">
        <v>46.772300000000001</v>
      </c>
      <c r="L555" s="10">
        <v>-71.279799999999994</v>
      </c>
      <c r="M555" s="10" t="str">
        <f t="shared" si="53"/>
        <v>C6</v>
      </c>
      <c r="N555" s="10" t="str">
        <f t="shared" si="54"/>
        <v>C65</v>
      </c>
      <c r="O555" s="5">
        <f t="shared" si="58"/>
        <v>4.3090190399724699</v>
      </c>
      <c r="P555" s="22">
        <f>O555/Explications!$C$8</f>
        <v>0.14363396799908232</v>
      </c>
      <c r="Q555" s="7" t="str">
        <f t="shared" si="55"/>
        <v>C65</v>
      </c>
      <c r="R555" s="7" t="str">
        <f t="shared" si="56"/>
        <v>C6</v>
      </c>
      <c r="S555" s="18">
        <f t="shared" si="57"/>
        <v>4.3090190399724699</v>
      </c>
      <c r="T555" s="18">
        <f>S555/Explications!$C$8</f>
        <v>0.14363396799908232</v>
      </c>
    </row>
    <row r="556" spans="7:20">
      <c r="G556" s="10" t="s">
        <v>21</v>
      </c>
      <c r="H556" s="10" t="s">
        <v>82</v>
      </c>
      <c r="I556" s="10">
        <v>46.8018</v>
      </c>
      <c r="J556" s="10">
        <v>-71.243099999999998</v>
      </c>
      <c r="K556" s="10">
        <v>46.814900000000002</v>
      </c>
      <c r="L556" s="10">
        <v>-71.225200000000001</v>
      </c>
      <c r="M556" s="10" t="str">
        <f t="shared" si="53"/>
        <v>C6</v>
      </c>
      <c r="N556" s="10" t="str">
        <f t="shared" si="54"/>
        <v>C66</v>
      </c>
      <c r="O556" s="5">
        <f t="shared" si="58"/>
        <v>1.9944199263857643</v>
      </c>
      <c r="P556" s="22">
        <f>O556/Explications!$C$8</f>
        <v>6.6480664212858809E-2</v>
      </c>
      <c r="Q556" s="7" t="str">
        <f t="shared" si="55"/>
        <v>C66</v>
      </c>
      <c r="R556" s="7" t="str">
        <f t="shared" si="56"/>
        <v>C6</v>
      </c>
      <c r="S556" s="18">
        <f t="shared" si="57"/>
        <v>1.9944199263857643</v>
      </c>
      <c r="T556" s="18">
        <f>S556/Explications!$C$8</f>
        <v>6.6480664212858809E-2</v>
      </c>
    </row>
    <row r="557" spans="7:20">
      <c r="G557" s="10" t="s">
        <v>21</v>
      </c>
      <c r="H557" s="10" t="s">
        <v>83</v>
      </c>
      <c r="I557" s="10">
        <v>46.8018</v>
      </c>
      <c r="J557" s="10">
        <v>-71.243099999999998</v>
      </c>
      <c r="K557" s="10">
        <v>46.814700000000002</v>
      </c>
      <c r="L557" s="10">
        <v>-71.207300000000004</v>
      </c>
      <c r="M557" s="10" t="str">
        <f t="shared" si="53"/>
        <v>C6</v>
      </c>
      <c r="N557" s="10" t="str">
        <f t="shared" si="54"/>
        <v>C67</v>
      </c>
      <c r="O557" s="5">
        <f t="shared" si="58"/>
        <v>3.079132643300297</v>
      </c>
      <c r="P557" s="22">
        <f>O557/Explications!$C$8</f>
        <v>0.10263775477667657</v>
      </c>
      <c r="Q557" s="7" t="str">
        <f t="shared" si="55"/>
        <v>C67</v>
      </c>
      <c r="R557" s="7" t="str">
        <f t="shared" si="56"/>
        <v>C6</v>
      </c>
      <c r="S557" s="18">
        <f t="shared" si="57"/>
        <v>3.079132643300297</v>
      </c>
      <c r="T557" s="18">
        <f>S557/Explications!$C$8</f>
        <v>0.10263775477667657</v>
      </c>
    </row>
    <row r="558" spans="7:20">
      <c r="G558" s="10" t="s">
        <v>21</v>
      </c>
      <c r="H558" s="10" t="s">
        <v>84</v>
      </c>
      <c r="I558" s="10">
        <v>46.8018</v>
      </c>
      <c r="J558" s="10">
        <v>-71.243099999999998</v>
      </c>
      <c r="K558" s="10">
        <v>46.815600000000003</v>
      </c>
      <c r="L558" s="10">
        <v>-71.2029</v>
      </c>
      <c r="M558" s="10" t="str">
        <f t="shared" si="53"/>
        <v>C6</v>
      </c>
      <c r="N558" s="10" t="str">
        <f t="shared" si="54"/>
        <v>C68</v>
      </c>
      <c r="O558" s="5">
        <f t="shared" si="58"/>
        <v>3.4227074958766792</v>
      </c>
      <c r="P558" s="22">
        <f>O558/Explications!$C$8</f>
        <v>0.11409024986255598</v>
      </c>
      <c r="Q558" s="7" t="str">
        <f t="shared" si="55"/>
        <v>C68</v>
      </c>
      <c r="R558" s="7" t="str">
        <f t="shared" si="56"/>
        <v>C6</v>
      </c>
      <c r="S558" s="18">
        <f t="shared" si="57"/>
        <v>3.4227074958766792</v>
      </c>
      <c r="T558" s="18">
        <f>S558/Explications!$C$8</f>
        <v>0.11409024986255598</v>
      </c>
    </row>
    <row r="559" spans="7:20">
      <c r="G559" s="10" t="s">
        <v>21</v>
      </c>
      <c r="H559" s="10" t="s">
        <v>85</v>
      </c>
      <c r="I559" s="10">
        <v>46.8018</v>
      </c>
      <c r="J559" s="10">
        <v>-71.243099999999998</v>
      </c>
      <c r="K559" s="10">
        <v>46.821899999999999</v>
      </c>
      <c r="L559" s="10">
        <v>-71.249899999999997</v>
      </c>
      <c r="M559" s="10" t="str">
        <f t="shared" si="53"/>
        <v>C6</v>
      </c>
      <c r="N559" s="10" t="str">
        <f t="shared" si="54"/>
        <v>C69</v>
      </c>
      <c r="O559" s="5">
        <f t="shared" si="58"/>
        <v>2.2941449299452983</v>
      </c>
      <c r="P559" s="22">
        <f>O559/Explications!$C$8</f>
        <v>7.6471497664843277E-2</v>
      </c>
      <c r="Q559" s="7" t="str">
        <f t="shared" si="55"/>
        <v>C69</v>
      </c>
      <c r="R559" s="7" t="str">
        <f t="shared" si="56"/>
        <v>C6</v>
      </c>
      <c r="S559" s="18">
        <f t="shared" si="57"/>
        <v>2.2941449299452983</v>
      </c>
      <c r="T559" s="18">
        <f>S559/Explications!$C$8</f>
        <v>7.6471497664843277E-2</v>
      </c>
    </row>
    <row r="560" spans="7:20">
      <c r="G560" s="10" t="s">
        <v>21</v>
      </c>
      <c r="H560" s="10" t="s">
        <v>86</v>
      </c>
      <c r="I560" s="10">
        <v>46.8018</v>
      </c>
      <c r="J560" s="10">
        <v>-71.243099999999998</v>
      </c>
      <c r="K560" s="10">
        <v>46.8872</v>
      </c>
      <c r="L560" s="10">
        <v>-71.27</v>
      </c>
      <c r="M560" s="10" t="str">
        <f t="shared" si="53"/>
        <v>C6</v>
      </c>
      <c r="N560" s="10" t="str">
        <f t="shared" si="54"/>
        <v>C70</v>
      </c>
      <c r="O560" s="5">
        <f t="shared" si="58"/>
        <v>9.7139355399601701</v>
      </c>
      <c r="P560" s="22">
        <f>O560/Explications!$C$8</f>
        <v>0.32379785133200567</v>
      </c>
      <c r="Q560" s="7" t="str">
        <f t="shared" si="55"/>
        <v>C70</v>
      </c>
      <c r="R560" s="7" t="str">
        <f t="shared" si="56"/>
        <v>C6</v>
      </c>
      <c r="S560" s="18">
        <f t="shared" si="57"/>
        <v>9.7139355399601701</v>
      </c>
      <c r="T560" s="18">
        <f>S560/Explications!$C$8</f>
        <v>0.32379785133200567</v>
      </c>
    </row>
    <row r="561" spans="7:20">
      <c r="G561" s="10" t="s">
        <v>21</v>
      </c>
      <c r="H561" s="10" t="s">
        <v>87</v>
      </c>
      <c r="I561" s="10">
        <v>46.8018</v>
      </c>
      <c r="J561" s="10">
        <v>-71.243099999999998</v>
      </c>
      <c r="K561" s="10">
        <v>46.816299999999998</v>
      </c>
      <c r="L561" s="10">
        <v>-71.210300000000004</v>
      </c>
      <c r="M561" s="10" t="str">
        <f t="shared" si="53"/>
        <v>C6</v>
      </c>
      <c r="N561" s="10" t="str">
        <f t="shared" si="54"/>
        <v>C71</v>
      </c>
      <c r="O561" s="5">
        <f t="shared" si="58"/>
        <v>2.9716812636509351</v>
      </c>
      <c r="P561" s="22">
        <f>O561/Explications!$C$8</f>
        <v>9.9056042121697843E-2</v>
      </c>
      <c r="Q561" s="7" t="str">
        <f t="shared" si="55"/>
        <v>C71</v>
      </c>
      <c r="R561" s="7" t="str">
        <f t="shared" si="56"/>
        <v>C6</v>
      </c>
      <c r="S561" s="18">
        <f t="shared" si="57"/>
        <v>2.9716812636509351</v>
      </c>
      <c r="T561" s="18">
        <f>S561/Explications!$C$8</f>
        <v>9.9056042121697843E-2</v>
      </c>
    </row>
    <row r="562" spans="7:20">
      <c r="G562" s="10" t="s">
        <v>21</v>
      </c>
      <c r="H562" s="10" t="s">
        <v>88</v>
      </c>
      <c r="I562" s="10">
        <v>46.8018</v>
      </c>
      <c r="J562" s="10">
        <v>-71.243099999999998</v>
      </c>
      <c r="K562" s="10">
        <v>46.807000000000002</v>
      </c>
      <c r="L562" s="10">
        <v>-71.3566</v>
      </c>
      <c r="M562" s="10" t="str">
        <f t="shared" si="53"/>
        <v>C6</v>
      </c>
      <c r="N562" s="10" t="str">
        <f t="shared" si="54"/>
        <v>C72</v>
      </c>
      <c r="O562" s="5">
        <f t="shared" si="58"/>
        <v>8.6580335877241801</v>
      </c>
      <c r="P562" s="22">
        <f>O562/Explications!$C$8</f>
        <v>0.28860111959080598</v>
      </c>
      <c r="Q562" s="7" t="str">
        <f t="shared" si="55"/>
        <v>C72</v>
      </c>
      <c r="R562" s="7" t="str">
        <f t="shared" si="56"/>
        <v>C6</v>
      </c>
      <c r="S562" s="18">
        <f t="shared" si="57"/>
        <v>8.6580335877241801</v>
      </c>
      <c r="T562" s="18">
        <f>S562/Explications!$C$8</f>
        <v>0.28860111959080598</v>
      </c>
    </row>
    <row r="563" spans="7:20">
      <c r="G563" s="10" t="s">
        <v>21</v>
      </c>
      <c r="H563" s="10" t="s">
        <v>89</v>
      </c>
      <c r="I563" s="10">
        <v>46.8018</v>
      </c>
      <c r="J563" s="10">
        <v>-71.243099999999998</v>
      </c>
      <c r="K563" s="10">
        <v>46.822899999999997</v>
      </c>
      <c r="L563" s="10">
        <v>-71.341899999999995</v>
      </c>
      <c r="M563" s="10" t="str">
        <f t="shared" si="53"/>
        <v>C6</v>
      </c>
      <c r="N563" s="10" t="str">
        <f t="shared" si="54"/>
        <v>C73</v>
      </c>
      <c r="O563" s="5">
        <f t="shared" si="58"/>
        <v>7.8763114130613845</v>
      </c>
      <c r="P563" s="22">
        <f>O563/Explications!$C$8</f>
        <v>0.26254371376871283</v>
      </c>
      <c r="Q563" s="7" t="str">
        <f t="shared" si="55"/>
        <v>C73</v>
      </c>
      <c r="R563" s="7" t="str">
        <f t="shared" si="56"/>
        <v>C6</v>
      </c>
      <c r="S563" s="18">
        <f t="shared" si="57"/>
        <v>7.8763114130613845</v>
      </c>
      <c r="T563" s="18">
        <f>S563/Explications!$C$8</f>
        <v>0.26254371376871283</v>
      </c>
    </row>
    <row r="564" spans="7:20">
      <c r="G564" s="10" t="s">
        <v>21</v>
      </c>
      <c r="H564" s="10" t="s">
        <v>90</v>
      </c>
      <c r="I564" s="10">
        <v>46.8018</v>
      </c>
      <c r="J564" s="10">
        <v>-71.243099999999998</v>
      </c>
      <c r="K564" s="10">
        <v>46.730699999999999</v>
      </c>
      <c r="L564" s="10">
        <v>-71.261099999999999</v>
      </c>
      <c r="M564" s="10" t="str">
        <f t="shared" si="53"/>
        <v>C6</v>
      </c>
      <c r="N564" s="10" t="str">
        <f t="shared" si="54"/>
        <v>C74</v>
      </c>
      <c r="O564" s="5">
        <f t="shared" si="58"/>
        <v>8.0239512855865058</v>
      </c>
      <c r="P564" s="22">
        <f>O564/Explications!$C$8</f>
        <v>0.26746504285288353</v>
      </c>
      <c r="Q564" s="7" t="str">
        <f t="shared" si="55"/>
        <v>C74</v>
      </c>
      <c r="R564" s="7" t="str">
        <f t="shared" si="56"/>
        <v>C6</v>
      </c>
      <c r="S564" s="18">
        <f t="shared" si="57"/>
        <v>8.0239512855865058</v>
      </c>
      <c r="T564" s="18">
        <f>S564/Explications!$C$8</f>
        <v>0.26746504285288353</v>
      </c>
    </row>
    <row r="565" spans="7:20">
      <c r="G565" s="10" t="s">
        <v>21</v>
      </c>
      <c r="H565" s="10" t="s">
        <v>91</v>
      </c>
      <c r="I565" s="10">
        <v>46.8018</v>
      </c>
      <c r="J565" s="10">
        <v>-71.243099999999998</v>
      </c>
      <c r="K565" s="10">
        <v>46.840600000000002</v>
      </c>
      <c r="L565" s="10">
        <v>-71.289100000000005</v>
      </c>
      <c r="M565" s="10" t="str">
        <f t="shared" si="53"/>
        <v>C6</v>
      </c>
      <c r="N565" s="10" t="str">
        <f t="shared" si="54"/>
        <v>C75</v>
      </c>
      <c r="O565" s="5">
        <f t="shared" si="58"/>
        <v>5.5555483150325147</v>
      </c>
      <c r="P565" s="22">
        <f>O565/Explications!$C$8</f>
        <v>0.18518494383441716</v>
      </c>
      <c r="Q565" s="7" t="str">
        <f t="shared" si="55"/>
        <v>C75</v>
      </c>
      <c r="R565" s="7" t="str">
        <f t="shared" si="56"/>
        <v>C6</v>
      </c>
      <c r="S565" s="18">
        <f t="shared" si="57"/>
        <v>5.5555483150325147</v>
      </c>
      <c r="T565" s="18">
        <f>S565/Explications!$C$8</f>
        <v>0.18518494383441716</v>
      </c>
    </row>
    <row r="566" spans="7:20">
      <c r="G566" s="10" t="s">
        <v>21</v>
      </c>
      <c r="H566" s="10" t="s">
        <v>92</v>
      </c>
      <c r="I566" s="10">
        <v>46.8018</v>
      </c>
      <c r="J566" s="10">
        <v>-71.243099999999998</v>
      </c>
      <c r="K566" s="10">
        <v>46.840600000000002</v>
      </c>
      <c r="L566" s="10">
        <v>-71.281599999999997</v>
      </c>
      <c r="M566" s="10" t="str">
        <f t="shared" si="53"/>
        <v>C6</v>
      </c>
      <c r="N566" s="10" t="str">
        <f t="shared" si="54"/>
        <v>C76</v>
      </c>
      <c r="O566" s="5">
        <f t="shared" si="58"/>
        <v>5.2148901936453198</v>
      </c>
      <c r="P566" s="22">
        <f>O566/Explications!$C$8</f>
        <v>0.17382967312151065</v>
      </c>
      <c r="Q566" s="7" t="str">
        <f t="shared" si="55"/>
        <v>C76</v>
      </c>
      <c r="R566" s="7" t="str">
        <f t="shared" si="56"/>
        <v>C6</v>
      </c>
      <c r="S566" s="18">
        <f t="shared" si="57"/>
        <v>5.2148901936453198</v>
      </c>
      <c r="T566" s="18">
        <f>S566/Explications!$C$8</f>
        <v>0.17382967312151065</v>
      </c>
    </row>
    <row r="567" spans="7:20">
      <c r="G567" s="10" t="s">
        <v>21</v>
      </c>
      <c r="H567" s="10" t="s">
        <v>93</v>
      </c>
      <c r="I567" s="10">
        <v>46.8018</v>
      </c>
      <c r="J567" s="10">
        <v>-71.243099999999998</v>
      </c>
      <c r="K567" s="10">
        <v>46.839399999999998</v>
      </c>
      <c r="L567" s="10">
        <v>-71.282600000000002</v>
      </c>
      <c r="M567" s="10" t="str">
        <f t="shared" si="53"/>
        <v>C6</v>
      </c>
      <c r="N567" s="10" t="str">
        <f t="shared" si="54"/>
        <v>C77</v>
      </c>
      <c r="O567" s="5">
        <f t="shared" si="58"/>
        <v>5.1491062502915703</v>
      </c>
      <c r="P567" s="22">
        <f>O567/Explications!$C$8</f>
        <v>0.171636875009719</v>
      </c>
      <c r="Q567" s="7" t="str">
        <f t="shared" si="55"/>
        <v>C77</v>
      </c>
      <c r="R567" s="7" t="str">
        <f t="shared" si="56"/>
        <v>C6</v>
      </c>
      <c r="S567" s="18">
        <f t="shared" si="57"/>
        <v>5.1491062502915703</v>
      </c>
      <c r="T567" s="18">
        <f>S567/Explications!$C$8</f>
        <v>0.171636875009719</v>
      </c>
    </row>
    <row r="568" spans="7:20">
      <c r="G568" s="10" t="s">
        <v>21</v>
      </c>
      <c r="H568" s="10" t="s">
        <v>94</v>
      </c>
      <c r="I568" s="10">
        <v>46.8018</v>
      </c>
      <c r="J568" s="10">
        <v>-71.243099999999998</v>
      </c>
      <c r="K568" s="10">
        <v>46.788499999999999</v>
      </c>
      <c r="L568" s="10">
        <v>-71.282399999999996</v>
      </c>
      <c r="M568" s="10" t="str">
        <f t="shared" si="53"/>
        <v>C6</v>
      </c>
      <c r="N568" s="10" t="str">
        <f t="shared" si="54"/>
        <v>C78</v>
      </c>
      <c r="O568" s="5">
        <f t="shared" si="58"/>
        <v>3.3372852174758183</v>
      </c>
      <c r="P568" s="22">
        <f>O568/Explications!$C$8</f>
        <v>0.11124284058252727</v>
      </c>
      <c r="Q568" s="7" t="str">
        <f t="shared" si="55"/>
        <v>C78</v>
      </c>
      <c r="R568" s="7" t="str">
        <f t="shared" si="56"/>
        <v>C6</v>
      </c>
      <c r="S568" s="18">
        <f t="shared" si="57"/>
        <v>3.3372852174758183</v>
      </c>
      <c r="T568" s="18">
        <f>S568/Explications!$C$8</f>
        <v>0.11124284058252727</v>
      </c>
    </row>
    <row r="569" spans="7:20">
      <c r="G569" s="10" t="s">
        <v>21</v>
      </c>
      <c r="H569" s="10" t="s">
        <v>95</v>
      </c>
      <c r="I569" s="10">
        <v>46.8018</v>
      </c>
      <c r="J569" s="10">
        <v>-71.243099999999998</v>
      </c>
      <c r="K569" s="10">
        <v>46.840699999999998</v>
      </c>
      <c r="L569" s="10">
        <v>-71.325400000000002</v>
      </c>
      <c r="M569" s="10" t="str">
        <f t="shared" si="53"/>
        <v>C6</v>
      </c>
      <c r="N569" s="10" t="str">
        <f t="shared" si="54"/>
        <v>C79</v>
      </c>
      <c r="O569" s="5">
        <f t="shared" si="58"/>
        <v>7.6107204034479423</v>
      </c>
      <c r="P569" s="22">
        <f>O569/Explications!$C$8</f>
        <v>0.2536906801149314</v>
      </c>
      <c r="Q569" s="7" t="str">
        <f t="shared" si="55"/>
        <v>C79</v>
      </c>
      <c r="R569" s="7" t="str">
        <f t="shared" si="56"/>
        <v>C6</v>
      </c>
      <c r="S569" s="18">
        <f t="shared" si="57"/>
        <v>7.6107204034479423</v>
      </c>
      <c r="T569" s="18">
        <f>S569/Explications!$C$8</f>
        <v>0.2536906801149314</v>
      </c>
    </row>
    <row r="570" spans="7:20">
      <c r="G570" s="10" t="s">
        <v>21</v>
      </c>
      <c r="H570" s="10" t="s">
        <v>96</v>
      </c>
      <c r="I570" s="10">
        <v>46.8018</v>
      </c>
      <c r="J570" s="10">
        <v>-71.243099999999998</v>
      </c>
      <c r="K570" s="10">
        <v>46.798400000000001</v>
      </c>
      <c r="L570" s="10">
        <v>-71.183199999999999</v>
      </c>
      <c r="M570" s="10" t="str">
        <f t="shared" si="53"/>
        <v>C6</v>
      </c>
      <c r="N570" s="10" t="str">
        <f t="shared" si="54"/>
        <v>C80</v>
      </c>
      <c r="O570" s="5">
        <f t="shared" si="58"/>
        <v>4.5751167910316752</v>
      </c>
      <c r="P570" s="22">
        <f>O570/Explications!$C$8</f>
        <v>0.15250389303438919</v>
      </c>
      <c r="Q570" s="7" t="str">
        <f t="shared" si="55"/>
        <v>C80</v>
      </c>
      <c r="R570" s="7" t="str">
        <f t="shared" si="56"/>
        <v>C6</v>
      </c>
      <c r="S570" s="18">
        <f t="shared" si="57"/>
        <v>4.5751167910316752</v>
      </c>
      <c r="T570" s="18">
        <f>S570/Explications!$C$8</f>
        <v>0.15250389303438919</v>
      </c>
    </row>
    <row r="571" spans="7:20">
      <c r="G571" s="10" t="s">
        <v>21</v>
      </c>
      <c r="H571" s="10" t="s">
        <v>97</v>
      </c>
      <c r="I571" s="10">
        <v>46.8018</v>
      </c>
      <c r="J571" s="10">
        <v>-71.243099999999998</v>
      </c>
      <c r="K571" s="10">
        <v>46.724800000000002</v>
      </c>
      <c r="L571" s="10">
        <v>-71.2988</v>
      </c>
      <c r="M571" s="10" t="str">
        <f t="shared" si="53"/>
        <v>C6</v>
      </c>
      <c r="N571" s="10" t="str">
        <f t="shared" si="54"/>
        <v>C81</v>
      </c>
      <c r="O571" s="5">
        <f t="shared" si="58"/>
        <v>9.5555358179341408</v>
      </c>
      <c r="P571" s="22">
        <f>O571/Explications!$C$8</f>
        <v>0.31851786059780468</v>
      </c>
      <c r="Q571" s="7" t="str">
        <f t="shared" si="55"/>
        <v>C81</v>
      </c>
      <c r="R571" s="7" t="str">
        <f t="shared" si="56"/>
        <v>C6</v>
      </c>
      <c r="S571" s="18">
        <f t="shared" si="57"/>
        <v>9.5555358179341408</v>
      </c>
      <c r="T571" s="18">
        <f>S571/Explications!$C$8</f>
        <v>0.31851786059780468</v>
      </c>
    </row>
    <row r="572" spans="7:20">
      <c r="G572" s="10" t="s">
        <v>21</v>
      </c>
      <c r="H572" s="10" t="s">
        <v>98</v>
      </c>
      <c r="I572" s="10">
        <v>46.8018</v>
      </c>
      <c r="J572" s="10">
        <v>-71.243099999999998</v>
      </c>
      <c r="K572" s="10">
        <v>46.795499999999997</v>
      </c>
      <c r="L572" s="10">
        <v>-71.242900000000006</v>
      </c>
      <c r="M572" s="10" t="str">
        <f t="shared" si="53"/>
        <v>C6</v>
      </c>
      <c r="N572" s="10" t="str">
        <f t="shared" si="54"/>
        <v>C82</v>
      </c>
      <c r="O572" s="5">
        <f t="shared" si="58"/>
        <v>0.70069343994699818</v>
      </c>
      <c r="P572" s="22">
        <f>O572/Explications!$C$8</f>
        <v>2.3356447998233273E-2</v>
      </c>
      <c r="Q572" s="7" t="str">
        <f t="shared" si="55"/>
        <v>C82</v>
      </c>
      <c r="R572" s="7" t="str">
        <f t="shared" si="56"/>
        <v>C6</v>
      </c>
      <c r="S572" s="18">
        <f t="shared" si="57"/>
        <v>0.70069343994699818</v>
      </c>
      <c r="T572" s="18">
        <f>S572/Explications!$C$8</f>
        <v>2.3356447998233273E-2</v>
      </c>
    </row>
    <row r="573" spans="7:20">
      <c r="G573" s="10" t="s">
        <v>21</v>
      </c>
      <c r="H573" s="10" t="s">
        <v>99</v>
      </c>
      <c r="I573" s="10">
        <v>46.8018</v>
      </c>
      <c r="J573" s="10">
        <v>-71.243099999999998</v>
      </c>
      <c r="K573" s="10">
        <v>46.8157</v>
      </c>
      <c r="L573" s="10">
        <v>-71.201899999999995</v>
      </c>
      <c r="M573" s="10" t="str">
        <f t="shared" si="53"/>
        <v>C6</v>
      </c>
      <c r="N573" s="10" t="str">
        <f t="shared" si="54"/>
        <v>C83</v>
      </c>
      <c r="O573" s="5">
        <f t="shared" si="58"/>
        <v>3.4958024087072701</v>
      </c>
      <c r="P573" s="22">
        <f>O573/Explications!$C$8</f>
        <v>0.116526746956909</v>
      </c>
      <c r="Q573" s="7" t="str">
        <f t="shared" si="55"/>
        <v>C83</v>
      </c>
      <c r="R573" s="7" t="str">
        <f t="shared" si="56"/>
        <v>C6</v>
      </c>
      <c r="S573" s="18">
        <f t="shared" si="57"/>
        <v>3.4958024087072701</v>
      </c>
      <c r="T573" s="18">
        <f>S573/Explications!$C$8</f>
        <v>0.116526746956909</v>
      </c>
    </row>
    <row r="574" spans="7:20">
      <c r="G574" s="10" t="s">
        <v>21</v>
      </c>
      <c r="H574" s="10" t="s">
        <v>100</v>
      </c>
      <c r="I574" s="10">
        <v>46.8018</v>
      </c>
      <c r="J574" s="10">
        <v>-71.243099999999998</v>
      </c>
      <c r="K574" s="10">
        <v>46.837600000000002</v>
      </c>
      <c r="L574" s="10">
        <v>-71.196299999999994</v>
      </c>
      <c r="M574" s="10" t="str">
        <f t="shared" si="53"/>
        <v>C6</v>
      </c>
      <c r="N574" s="10" t="str">
        <f t="shared" si="54"/>
        <v>C84</v>
      </c>
      <c r="O574" s="5">
        <f t="shared" si="58"/>
        <v>5.3411138937161011</v>
      </c>
      <c r="P574" s="22">
        <f>O574/Explications!$C$8</f>
        <v>0.17803712979053671</v>
      </c>
      <c r="Q574" s="7" t="str">
        <f t="shared" si="55"/>
        <v>C84</v>
      </c>
      <c r="R574" s="7" t="str">
        <f t="shared" si="56"/>
        <v>C6</v>
      </c>
      <c r="S574" s="18">
        <f t="shared" si="57"/>
        <v>5.3411138937161011</v>
      </c>
      <c r="T574" s="18">
        <f>S574/Explications!$C$8</f>
        <v>0.17803712979053671</v>
      </c>
    </row>
    <row r="575" spans="7:20">
      <c r="G575" s="10" t="s">
        <v>21</v>
      </c>
      <c r="H575" s="10" t="s">
        <v>101</v>
      </c>
      <c r="I575" s="10">
        <v>46.8018</v>
      </c>
      <c r="J575" s="10">
        <v>-71.243099999999998</v>
      </c>
      <c r="K575" s="10">
        <v>46.7988</v>
      </c>
      <c r="L575" s="10">
        <v>-71.318200000000004</v>
      </c>
      <c r="M575" s="10" t="str">
        <f t="shared" si="53"/>
        <v>C6</v>
      </c>
      <c r="N575" s="10" t="str">
        <f t="shared" si="54"/>
        <v>C85</v>
      </c>
      <c r="O575" s="5">
        <f t="shared" si="58"/>
        <v>5.7261670652558871</v>
      </c>
      <c r="P575" s="22">
        <f>O575/Explications!$C$8</f>
        <v>0.19087223550852958</v>
      </c>
      <c r="Q575" s="7" t="str">
        <f t="shared" si="55"/>
        <v>C85</v>
      </c>
      <c r="R575" s="7" t="str">
        <f t="shared" si="56"/>
        <v>C6</v>
      </c>
      <c r="S575" s="18">
        <f t="shared" si="57"/>
        <v>5.7261670652558871</v>
      </c>
      <c r="T575" s="18">
        <f>S575/Explications!$C$8</f>
        <v>0.19087223550852958</v>
      </c>
    </row>
    <row r="576" spans="7:20">
      <c r="G576" s="10" t="s">
        <v>23</v>
      </c>
      <c r="H576" s="10" t="s">
        <v>24</v>
      </c>
      <c r="I576" s="10">
        <v>46.794699999999999</v>
      </c>
      <c r="J576" s="10">
        <v>-71.254199999999997</v>
      </c>
      <c r="K576" s="10">
        <v>46.741</v>
      </c>
      <c r="L576" s="10">
        <v>-71.385499999999993</v>
      </c>
      <c r="M576" s="10" t="str">
        <f t="shared" si="53"/>
        <v>C7</v>
      </c>
      <c r="N576" s="10" t="str">
        <f t="shared" si="54"/>
        <v>C8</v>
      </c>
      <c r="O576" s="5">
        <f t="shared" si="58"/>
        <v>11.647338594191385</v>
      </c>
      <c r="P576" s="22">
        <f>O576/Explications!$C$8</f>
        <v>0.38824461980637953</v>
      </c>
      <c r="Q576" s="7" t="str">
        <f t="shared" si="55"/>
        <v>C8</v>
      </c>
      <c r="R576" s="7" t="str">
        <f t="shared" si="56"/>
        <v>C7</v>
      </c>
      <c r="S576" s="18">
        <f t="shared" si="57"/>
        <v>11.647338594191385</v>
      </c>
      <c r="T576" s="18">
        <f>S576/Explications!$C$8</f>
        <v>0.38824461980637953</v>
      </c>
    </row>
    <row r="577" spans="7:20">
      <c r="G577" s="10" t="s">
        <v>23</v>
      </c>
      <c r="H577" s="10" t="s">
        <v>25</v>
      </c>
      <c r="I577" s="10">
        <v>46.794699999999999</v>
      </c>
      <c r="J577" s="10">
        <v>-71.254199999999997</v>
      </c>
      <c r="K577" s="10">
        <v>46.839399999999998</v>
      </c>
      <c r="L577" s="10">
        <v>-71.282700000000006</v>
      </c>
      <c r="M577" s="10" t="str">
        <f t="shared" si="53"/>
        <v>C7</v>
      </c>
      <c r="N577" s="10" t="str">
        <f t="shared" si="54"/>
        <v>C9</v>
      </c>
      <c r="O577" s="5">
        <f t="shared" si="58"/>
        <v>5.4229309537168398</v>
      </c>
      <c r="P577" s="22">
        <f>O577/Explications!$C$8</f>
        <v>0.18076436512389465</v>
      </c>
      <c r="Q577" s="7" t="str">
        <f t="shared" si="55"/>
        <v>C9</v>
      </c>
      <c r="R577" s="7" t="str">
        <f t="shared" si="56"/>
        <v>C7</v>
      </c>
      <c r="S577" s="18">
        <f t="shared" si="57"/>
        <v>5.4229309537168398</v>
      </c>
      <c r="T577" s="18">
        <f>S577/Explications!$C$8</f>
        <v>0.18076436512389465</v>
      </c>
    </row>
    <row r="578" spans="7:20">
      <c r="G578" s="10" t="s">
        <v>23</v>
      </c>
      <c r="H578" s="10" t="s">
        <v>26</v>
      </c>
      <c r="I578" s="10">
        <v>46.794699999999999</v>
      </c>
      <c r="J578" s="10">
        <v>-71.254199999999997</v>
      </c>
      <c r="K578" s="10">
        <v>46.860799999999998</v>
      </c>
      <c r="L578" s="10">
        <v>-71.217699999999994</v>
      </c>
      <c r="M578" s="10" t="str">
        <f t="shared" si="53"/>
        <v>C7</v>
      </c>
      <c r="N578" s="10" t="str">
        <f t="shared" si="54"/>
        <v>C10</v>
      </c>
      <c r="O578" s="5">
        <f t="shared" si="58"/>
        <v>7.8570561736406184</v>
      </c>
      <c r="P578" s="22">
        <f>O578/Explications!$C$8</f>
        <v>0.26190187245468727</v>
      </c>
      <c r="Q578" s="7" t="str">
        <f t="shared" si="55"/>
        <v>C10</v>
      </c>
      <c r="R578" s="7" t="str">
        <f t="shared" si="56"/>
        <v>C7</v>
      </c>
      <c r="S578" s="18">
        <f t="shared" si="57"/>
        <v>7.8570561736406184</v>
      </c>
      <c r="T578" s="18">
        <f>S578/Explications!$C$8</f>
        <v>0.26190187245468727</v>
      </c>
    </row>
    <row r="579" spans="7:20">
      <c r="G579" s="10" t="s">
        <v>23</v>
      </c>
      <c r="H579" s="10" t="s">
        <v>27</v>
      </c>
      <c r="I579" s="10">
        <v>46.794699999999999</v>
      </c>
      <c r="J579" s="10">
        <v>-71.254199999999997</v>
      </c>
      <c r="K579" s="10">
        <v>46.868299999999998</v>
      </c>
      <c r="L579" s="10">
        <v>-71.167000000000002</v>
      </c>
      <c r="M579" s="10" t="str">
        <f t="shared" si="53"/>
        <v>C7</v>
      </c>
      <c r="N579" s="10" t="str">
        <f t="shared" si="54"/>
        <v>C11</v>
      </c>
      <c r="O579" s="5">
        <f t="shared" si="58"/>
        <v>10.534791212015985</v>
      </c>
      <c r="P579" s="22">
        <f>O579/Explications!$C$8</f>
        <v>0.35115970706719951</v>
      </c>
      <c r="Q579" s="7" t="str">
        <f t="shared" si="55"/>
        <v>C11</v>
      </c>
      <c r="R579" s="7" t="str">
        <f t="shared" si="56"/>
        <v>C7</v>
      </c>
      <c r="S579" s="18">
        <f t="shared" si="57"/>
        <v>10.534791212015985</v>
      </c>
      <c r="T579" s="18">
        <f>S579/Explications!$C$8</f>
        <v>0.35115970706719951</v>
      </c>
    </row>
    <row r="580" spans="7:20">
      <c r="G580" s="10" t="s">
        <v>23</v>
      </c>
      <c r="H580" s="10" t="s">
        <v>28</v>
      </c>
      <c r="I580" s="10">
        <v>46.794699999999999</v>
      </c>
      <c r="J580" s="10">
        <v>-71.254199999999997</v>
      </c>
      <c r="K580" s="10">
        <v>46.895099999999999</v>
      </c>
      <c r="L580" s="10">
        <v>-71.378600000000006</v>
      </c>
      <c r="M580" s="10" t="str">
        <f t="shared" ref="M580:M643" si="59">G580</f>
        <v>C7</v>
      </c>
      <c r="N580" s="10" t="str">
        <f t="shared" ref="N580:N643" si="60">H580</f>
        <v>C12</v>
      </c>
      <c r="O580" s="5">
        <f t="shared" ref="O580:O643" si="61">ACOS(SIN(RADIANS(I580))*SIN(RADIANS(K580))+COS(RADIANS(I580))*COS(RADIANS(K580))*COS(RADIANS(J580-L580)))*6371</f>
        <v>14.63380771358006</v>
      </c>
      <c r="P580" s="22">
        <f>O580/Explications!$C$8</f>
        <v>0.48779359045266868</v>
      </c>
      <c r="Q580" s="7" t="str">
        <f t="shared" ref="Q580:Q643" si="62">N580</f>
        <v>C12</v>
      </c>
      <c r="R580" s="7" t="str">
        <f t="shared" ref="R580:R643" si="63">M580</f>
        <v>C7</v>
      </c>
      <c r="S580" s="18">
        <f t="shared" ref="S580:S643" si="64">O580</f>
        <v>14.63380771358006</v>
      </c>
      <c r="T580" s="18">
        <f>S580/Explications!$C$8</f>
        <v>0.48779359045266868</v>
      </c>
    </row>
    <row r="581" spans="7:20">
      <c r="G581" s="10" t="s">
        <v>23</v>
      </c>
      <c r="H581" s="10" t="s">
        <v>29</v>
      </c>
      <c r="I581" s="10">
        <v>46.794699999999999</v>
      </c>
      <c r="J581" s="10">
        <v>-71.254199999999997</v>
      </c>
      <c r="K581" s="10">
        <v>46.8033</v>
      </c>
      <c r="L581" s="10">
        <v>-71.1691</v>
      </c>
      <c r="M581" s="10" t="str">
        <f t="shared" si="59"/>
        <v>C7</v>
      </c>
      <c r="N581" s="10" t="str">
        <f t="shared" si="60"/>
        <v>C13</v>
      </c>
      <c r="O581" s="5">
        <f t="shared" si="61"/>
        <v>6.5479802407767318</v>
      </c>
      <c r="P581" s="22">
        <f>O581/Explications!$C$8</f>
        <v>0.21826600802589105</v>
      </c>
      <c r="Q581" s="7" t="str">
        <f t="shared" si="62"/>
        <v>C13</v>
      </c>
      <c r="R581" s="7" t="str">
        <f t="shared" si="63"/>
        <v>C7</v>
      </c>
      <c r="S581" s="18">
        <f t="shared" si="64"/>
        <v>6.5479802407767318</v>
      </c>
      <c r="T581" s="18">
        <f>S581/Explications!$C$8</f>
        <v>0.21826600802589105</v>
      </c>
    </row>
    <row r="582" spans="7:20">
      <c r="G582" s="10" t="s">
        <v>23</v>
      </c>
      <c r="H582" s="10" t="s">
        <v>30</v>
      </c>
      <c r="I582" s="10">
        <v>46.794699999999999</v>
      </c>
      <c r="J582" s="10">
        <v>-71.254199999999997</v>
      </c>
      <c r="K582" s="10">
        <v>46.8596</v>
      </c>
      <c r="L582" s="10">
        <v>-71.267200000000003</v>
      </c>
      <c r="M582" s="10" t="str">
        <f t="shared" si="59"/>
        <v>C7</v>
      </c>
      <c r="N582" s="10" t="str">
        <f t="shared" si="60"/>
        <v>C14</v>
      </c>
      <c r="O582" s="5">
        <f t="shared" si="61"/>
        <v>7.284009728477983</v>
      </c>
      <c r="P582" s="22">
        <f>O582/Explications!$C$8</f>
        <v>0.24280032428259943</v>
      </c>
      <c r="Q582" s="7" t="str">
        <f t="shared" si="62"/>
        <v>C14</v>
      </c>
      <c r="R582" s="7" t="str">
        <f t="shared" si="63"/>
        <v>C7</v>
      </c>
      <c r="S582" s="18">
        <f t="shared" si="64"/>
        <v>7.284009728477983</v>
      </c>
      <c r="T582" s="18">
        <f>S582/Explications!$C$8</f>
        <v>0.24280032428259943</v>
      </c>
    </row>
    <row r="583" spans="7:20">
      <c r="G583" s="10" t="s">
        <v>23</v>
      </c>
      <c r="H583" s="10" t="s">
        <v>31</v>
      </c>
      <c r="I583" s="10">
        <v>46.794699999999999</v>
      </c>
      <c r="J583" s="10">
        <v>-71.254199999999997</v>
      </c>
      <c r="K583" s="10">
        <v>46.813499999999998</v>
      </c>
      <c r="L583" s="10">
        <v>-71.215900000000005</v>
      </c>
      <c r="M583" s="10" t="str">
        <f t="shared" si="59"/>
        <v>C7</v>
      </c>
      <c r="N583" s="10" t="str">
        <f t="shared" si="60"/>
        <v>C15</v>
      </c>
      <c r="O583" s="5">
        <f t="shared" si="61"/>
        <v>3.5871814316569783</v>
      </c>
      <c r="P583" s="22">
        <f>O583/Explications!$C$8</f>
        <v>0.11957271438856594</v>
      </c>
      <c r="Q583" s="7" t="str">
        <f t="shared" si="62"/>
        <v>C15</v>
      </c>
      <c r="R583" s="7" t="str">
        <f t="shared" si="63"/>
        <v>C7</v>
      </c>
      <c r="S583" s="18">
        <f t="shared" si="64"/>
        <v>3.5871814316569783</v>
      </c>
      <c r="T583" s="18">
        <f>S583/Explications!$C$8</f>
        <v>0.11957271438856594</v>
      </c>
    </row>
    <row r="584" spans="7:20">
      <c r="G584" s="10" t="s">
        <v>23</v>
      </c>
      <c r="H584" s="10" t="s">
        <v>32</v>
      </c>
      <c r="I584" s="10">
        <v>46.794699999999999</v>
      </c>
      <c r="J584" s="10">
        <v>-71.254199999999997</v>
      </c>
      <c r="K584" s="10">
        <v>46.733699999999999</v>
      </c>
      <c r="L584" s="10">
        <v>-71.270099999999999</v>
      </c>
      <c r="M584" s="10" t="str">
        <f t="shared" si="59"/>
        <v>C7</v>
      </c>
      <c r="N584" s="10" t="str">
        <f t="shared" si="60"/>
        <v>C16</v>
      </c>
      <c r="O584" s="5">
        <f t="shared" si="61"/>
        <v>6.8901616405157773</v>
      </c>
      <c r="P584" s="22">
        <f>O584/Explications!$C$8</f>
        <v>0.22967205468385923</v>
      </c>
      <c r="Q584" s="7" t="str">
        <f t="shared" si="62"/>
        <v>C16</v>
      </c>
      <c r="R584" s="7" t="str">
        <f t="shared" si="63"/>
        <v>C7</v>
      </c>
      <c r="S584" s="18">
        <f t="shared" si="64"/>
        <v>6.8901616405157773</v>
      </c>
      <c r="T584" s="18">
        <f>S584/Explications!$C$8</f>
        <v>0.22967205468385923</v>
      </c>
    </row>
    <row r="585" spans="7:20">
      <c r="G585" s="10" t="s">
        <v>23</v>
      </c>
      <c r="H585" s="10" t="s">
        <v>33</v>
      </c>
      <c r="I585" s="10">
        <v>46.794699999999999</v>
      </c>
      <c r="J585" s="10">
        <v>-71.254199999999997</v>
      </c>
      <c r="K585" s="10">
        <v>46.8035</v>
      </c>
      <c r="L585" s="10">
        <v>-71.3553</v>
      </c>
      <c r="M585" s="10" t="str">
        <f t="shared" si="59"/>
        <v>C7</v>
      </c>
      <c r="N585" s="10" t="str">
        <f t="shared" si="60"/>
        <v>C17</v>
      </c>
      <c r="O585" s="5">
        <f t="shared" si="61"/>
        <v>7.7576350036935144</v>
      </c>
      <c r="P585" s="22">
        <f>O585/Explications!$C$8</f>
        <v>0.25858783345645048</v>
      </c>
      <c r="Q585" s="7" t="str">
        <f t="shared" si="62"/>
        <v>C17</v>
      </c>
      <c r="R585" s="7" t="str">
        <f t="shared" si="63"/>
        <v>C7</v>
      </c>
      <c r="S585" s="18">
        <f t="shared" si="64"/>
        <v>7.7576350036935144</v>
      </c>
      <c r="T585" s="18">
        <f>S585/Explications!$C$8</f>
        <v>0.25858783345645048</v>
      </c>
    </row>
    <row r="586" spans="7:20">
      <c r="G586" s="10" t="s">
        <v>23</v>
      </c>
      <c r="H586" s="10" t="s">
        <v>34</v>
      </c>
      <c r="I586" s="10">
        <v>46.794699999999999</v>
      </c>
      <c r="J586" s="10">
        <v>-71.254199999999997</v>
      </c>
      <c r="K586" s="10">
        <v>46.730200000000004</v>
      </c>
      <c r="L586" s="10">
        <v>-71.274100000000004</v>
      </c>
      <c r="M586" s="10" t="str">
        <f t="shared" si="59"/>
        <v>C7</v>
      </c>
      <c r="N586" s="10" t="str">
        <f t="shared" si="60"/>
        <v>C18</v>
      </c>
      <c r="O586" s="5">
        <f t="shared" si="61"/>
        <v>7.3305048627411624</v>
      </c>
      <c r="P586" s="22">
        <f>O586/Explications!$C$8</f>
        <v>0.24435016209137209</v>
      </c>
      <c r="Q586" s="7" t="str">
        <f t="shared" si="62"/>
        <v>C18</v>
      </c>
      <c r="R586" s="7" t="str">
        <f t="shared" si="63"/>
        <v>C7</v>
      </c>
      <c r="S586" s="18">
        <f t="shared" si="64"/>
        <v>7.3305048627411624</v>
      </c>
      <c r="T586" s="18">
        <f>S586/Explications!$C$8</f>
        <v>0.24435016209137209</v>
      </c>
    </row>
    <row r="587" spans="7:20">
      <c r="G587" s="10" t="s">
        <v>23</v>
      </c>
      <c r="H587" s="10" t="s">
        <v>35</v>
      </c>
      <c r="I587" s="10">
        <v>46.794699999999999</v>
      </c>
      <c r="J587" s="10">
        <v>-71.254199999999997</v>
      </c>
      <c r="K587" s="10">
        <v>46.785600000000002</v>
      </c>
      <c r="L587" s="10">
        <v>-71.245500000000007</v>
      </c>
      <c r="M587" s="10" t="str">
        <f t="shared" si="59"/>
        <v>C7</v>
      </c>
      <c r="N587" s="10" t="str">
        <f t="shared" si="60"/>
        <v>C19</v>
      </c>
      <c r="O587" s="5">
        <f t="shared" si="61"/>
        <v>1.2093780238687131</v>
      </c>
      <c r="P587" s="22">
        <f>O587/Explications!$C$8</f>
        <v>4.0312600795623772E-2</v>
      </c>
      <c r="Q587" s="7" t="str">
        <f t="shared" si="62"/>
        <v>C19</v>
      </c>
      <c r="R587" s="7" t="str">
        <f t="shared" si="63"/>
        <v>C7</v>
      </c>
      <c r="S587" s="18">
        <f t="shared" si="64"/>
        <v>1.2093780238687131</v>
      </c>
      <c r="T587" s="18">
        <f>S587/Explications!$C$8</f>
        <v>4.0312600795623772E-2</v>
      </c>
    </row>
    <row r="588" spans="7:20">
      <c r="G588" s="10" t="s">
        <v>23</v>
      </c>
      <c r="H588" s="10" t="s">
        <v>36</v>
      </c>
      <c r="I588" s="10">
        <v>46.794699999999999</v>
      </c>
      <c r="J588" s="10">
        <v>-71.254199999999997</v>
      </c>
      <c r="K588" s="10">
        <v>46.8215</v>
      </c>
      <c r="L588" s="10">
        <v>-71.355400000000003</v>
      </c>
      <c r="M588" s="10" t="str">
        <f t="shared" si="59"/>
        <v>C7</v>
      </c>
      <c r="N588" s="10" t="str">
        <f t="shared" si="60"/>
        <v>C20</v>
      </c>
      <c r="O588" s="5">
        <f t="shared" si="61"/>
        <v>8.2584085769251061</v>
      </c>
      <c r="P588" s="22">
        <f>O588/Explications!$C$8</f>
        <v>0.27528028589750353</v>
      </c>
      <c r="Q588" s="7" t="str">
        <f t="shared" si="62"/>
        <v>C20</v>
      </c>
      <c r="R588" s="7" t="str">
        <f t="shared" si="63"/>
        <v>C7</v>
      </c>
      <c r="S588" s="18">
        <f t="shared" si="64"/>
        <v>8.2584085769251061</v>
      </c>
      <c r="T588" s="18">
        <f>S588/Explications!$C$8</f>
        <v>0.27528028589750353</v>
      </c>
    </row>
    <row r="589" spans="7:20">
      <c r="G589" s="10" t="s">
        <v>23</v>
      </c>
      <c r="H589" s="10" t="s">
        <v>37</v>
      </c>
      <c r="I589" s="10">
        <v>46.794699999999999</v>
      </c>
      <c r="J589" s="10">
        <v>-71.254199999999997</v>
      </c>
      <c r="K589" s="10">
        <v>46.8093</v>
      </c>
      <c r="L589" s="10">
        <v>-71.2273</v>
      </c>
      <c r="M589" s="10" t="str">
        <f t="shared" si="59"/>
        <v>C7</v>
      </c>
      <c r="N589" s="10" t="str">
        <f t="shared" si="60"/>
        <v>C21</v>
      </c>
      <c r="O589" s="5">
        <f t="shared" si="61"/>
        <v>2.6130141910244236</v>
      </c>
      <c r="P589" s="22">
        <f>O589/Explications!$C$8</f>
        <v>8.7100473034147446E-2</v>
      </c>
      <c r="Q589" s="7" t="str">
        <f t="shared" si="62"/>
        <v>C21</v>
      </c>
      <c r="R589" s="7" t="str">
        <f t="shared" si="63"/>
        <v>C7</v>
      </c>
      <c r="S589" s="18">
        <f t="shared" si="64"/>
        <v>2.6130141910244236</v>
      </c>
      <c r="T589" s="18">
        <f>S589/Explications!$C$8</f>
        <v>8.7100473034147446E-2</v>
      </c>
    </row>
    <row r="590" spans="7:20">
      <c r="G590" s="10" t="s">
        <v>23</v>
      </c>
      <c r="H590" s="10" t="s">
        <v>38</v>
      </c>
      <c r="I590" s="10">
        <v>46.794699999999999</v>
      </c>
      <c r="J590" s="10">
        <v>-71.254199999999997</v>
      </c>
      <c r="K590" s="10">
        <v>46.781300000000002</v>
      </c>
      <c r="L590" s="10">
        <v>-71.301000000000002</v>
      </c>
      <c r="M590" s="10" t="str">
        <f t="shared" si="59"/>
        <v>C7</v>
      </c>
      <c r="N590" s="10" t="str">
        <f t="shared" si="60"/>
        <v>C22</v>
      </c>
      <c r="O590" s="5">
        <f t="shared" si="61"/>
        <v>3.8621227092261323</v>
      </c>
      <c r="P590" s="22">
        <f>O590/Explications!$C$8</f>
        <v>0.12873742364087107</v>
      </c>
      <c r="Q590" s="7" t="str">
        <f t="shared" si="62"/>
        <v>C22</v>
      </c>
      <c r="R590" s="7" t="str">
        <f t="shared" si="63"/>
        <v>C7</v>
      </c>
      <c r="S590" s="18">
        <f t="shared" si="64"/>
        <v>3.8621227092261323</v>
      </c>
      <c r="T590" s="18">
        <f>S590/Explications!$C$8</f>
        <v>0.12873742364087107</v>
      </c>
    </row>
    <row r="591" spans="7:20">
      <c r="G591" s="10" t="s">
        <v>23</v>
      </c>
      <c r="H591" s="10" t="s">
        <v>39</v>
      </c>
      <c r="I591" s="10">
        <v>46.794699999999999</v>
      </c>
      <c r="J591" s="10">
        <v>-71.254199999999997</v>
      </c>
      <c r="K591" s="10">
        <v>46.844900000000003</v>
      </c>
      <c r="L591" s="10">
        <v>-71.251400000000004</v>
      </c>
      <c r="M591" s="10" t="str">
        <f t="shared" si="59"/>
        <v>C7</v>
      </c>
      <c r="N591" s="10" t="str">
        <f t="shared" si="60"/>
        <v>C23</v>
      </c>
      <c r="O591" s="5">
        <f t="shared" si="61"/>
        <v>5.586049713958035</v>
      </c>
      <c r="P591" s="22">
        <f>O591/Explications!$C$8</f>
        <v>0.18620165713193451</v>
      </c>
      <c r="Q591" s="7" t="str">
        <f t="shared" si="62"/>
        <v>C23</v>
      </c>
      <c r="R591" s="7" t="str">
        <f t="shared" si="63"/>
        <v>C7</v>
      </c>
      <c r="S591" s="18">
        <f t="shared" si="64"/>
        <v>5.586049713958035</v>
      </c>
      <c r="T591" s="18">
        <f>S591/Explications!$C$8</f>
        <v>0.18620165713193451</v>
      </c>
    </row>
    <row r="592" spans="7:20">
      <c r="G592" s="10" t="s">
        <v>23</v>
      </c>
      <c r="H592" s="10" t="s">
        <v>40</v>
      </c>
      <c r="I592" s="10">
        <v>46.794699999999999</v>
      </c>
      <c r="J592" s="10">
        <v>-71.254199999999997</v>
      </c>
      <c r="K592" s="10">
        <v>46.805500000000002</v>
      </c>
      <c r="L592" s="10">
        <v>-71.2196</v>
      </c>
      <c r="M592" s="10" t="str">
        <f t="shared" si="59"/>
        <v>C7</v>
      </c>
      <c r="N592" s="10" t="str">
        <f t="shared" si="60"/>
        <v>C24</v>
      </c>
      <c r="O592" s="5">
        <f t="shared" si="61"/>
        <v>2.894557397814582</v>
      </c>
      <c r="P592" s="22">
        <f>O592/Explications!$C$8</f>
        <v>9.6485246593819393E-2</v>
      </c>
      <c r="Q592" s="7" t="str">
        <f t="shared" si="62"/>
        <v>C24</v>
      </c>
      <c r="R592" s="7" t="str">
        <f t="shared" si="63"/>
        <v>C7</v>
      </c>
      <c r="S592" s="18">
        <f t="shared" si="64"/>
        <v>2.894557397814582</v>
      </c>
      <c r="T592" s="18">
        <f>S592/Explications!$C$8</f>
        <v>9.6485246593819393E-2</v>
      </c>
    </row>
    <row r="593" spans="7:20">
      <c r="G593" s="10" t="s">
        <v>23</v>
      </c>
      <c r="H593" s="10" t="s">
        <v>41</v>
      </c>
      <c r="I593" s="10">
        <v>46.794699999999999</v>
      </c>
      <c r="J593" s="10">
        <v>-71.254199999999997</v>
      </c>
      <c r="K593" s="10">
        <v>46.734900000000003</v>
      </c>
      <c r="L593" s="10">
        <v>-71.266199999999998</v>
      </c>
      <c r="M593" s="10" t="str">
        <f t="shared" si="59"/>
        <v>C7</v>
      </c>
      <c r="N593" s="10" t="str">
        <f t="shared" si="60"/>
        <v>C25</v>
      </c>
      <c r="O593" s="5">
        <f t="shared" si="61"/>
        <v>6.7119816035215782</v>
      </c>
      <c r="P593" s="22">
        <f>O593/Explications!$C$8</f>
        <v>0.22373272011738593</v>
      </c>
      <c r="Q593" s="7" t="str">
        <f t="shared" si="62"/>
        <v>C25</v>
      </c>
      <c r="R593" s="7" t="str">
        <f t="shared" si="63"/>
        <v>C7</v>
      </c>
      <c r="S593" s="18">
        <f t="shared" si="64"/>
        <v>6.7119816035215782</v>
      </c>
      <c r="T593" s="18">
        <f>S593/Explications!$C$8</f>
        <v>0.22373272011738593</v>
      </c>
    </row>
    <row r="594" spans="7:20">
      <c r="G594" s="10" t="s">
        <v>23</v>
      </c>
      <c r="H594" s="10" t="s">
        <v>42</v>
      </c>
      <c r="I594" s="10">
        <v>46.794699999999999</v>
      </c>
      <c r="J594" s="10">
        <v>-71.254199999999997</v>
      </c>
      <c r="K594" s="10">
        <v>46.817700000000002</v>
      </c>
      <c r="L594" s="10">
        <v>-71.214100000000002</v>
      </c>
      <c r="M594" s="10" t="str">
        <f t="shared" si="59"/>
        <v>C7</v>
      </c>
      <c r="N594" s="10" t="str">
        <f t="shared" si="60"/>
        <v>C26</v>
      </c>
      <c r="O594" s="5">
        <f t="shared" si="61"/>
        <v>3.9818767969676618</v>
      </c>
      <c r="P594" s="22">
        <f>O594/Explications!$C$8</f>
        <v>0.13272922656558872</v>
      </c>
      <c r="Q594" s="7" t="str">
        <f t="shared" si="62"/>
        <v>C26</v>
      </c>
      <c r="R594" s="7" t="str">
        <f t="shared" si="63"/>
        <v>C7</v>
      </c>
      <c r="S594" s="18">
        <f t="shared" si="64"/>
        <v>3.9818767969676618</v>
      </c>
      <c r="T594" s="18">
        <f>S594/Explications!$C$8</f>
        <v>0.13272922656558872</v>
      </c>
    </row>
    <row r="595" spans="7:20">
      <c r="G595" s="10" t="s">
        <v>23</v>
      </c>
      <c r="H595" s="10" t="s">
        <v>43</v>
      </c>
      <c r="I595" s="10">
        <v>46.794699999999999</v>
      </c>
      <c r="J595" s="10">
        <v>-71.254199999999997</v>
      </c>
      <c r="K595" s="10">
        <v>46.603000000000002</v>
      </c>
      <c r="L595" s="10">
        <v>-71.490600000000001</v>
      </c>
      <c r="M595" s="10" t="str">
        <f t="shared" si="59"/>
        <v>C7</v>
      </c>
      <c r="N595" s="10" t="str">
        <f t="shared" si="60"/>
        <v>C27</v>
      </c>
      <c r="O595" s="5">
        <f t="shared" si="61"/>
        <v>27.917499982734615</v>
      </c>
      <c r="P595" s="22">
        <f>O595/Explications!$C$8</f>
        <v>0.93058333275782046</v>
      </c>
      <c r="Q595" s="7" t="str">
        <f t="shared" si="62"/>
        <v>C27</v>
      </c>
      <c r="R595" s="7" t="str">
        <f t="shared" si="63"/>
        <v>C7</v>
      </c>
      <c r="S595" s="18">
        <f t="shared" si="64"/>
        <v>27.917499982734615</v>
      </c>
      <c r="T595" s="18">
        <f>S595/Explications!$C$8</f>
        <v>0.93058333275782046</v>
      </c>
    </row>
    <row r="596" spans="7:20">
      <c r="G596" s="10" t="s">
        <v>23</v>
      </c>
      <c r="H596" s="10" t="s">
        <v>44</v>
      </c>
      <c r="I596" s="10">
        <v>46.794699999999999</v>
      </c>
      <c r="J596" s="10">
        <v>-71.254199999999997</v>
      </c>
      <c r="K596" s="10">
        <v>47.000500000000002</v>
      </c>
      <c r="L596" s="10">
        <v>-71.388400000000004</v>
      </c>
      <c r="M596" s="10" t="str">
        <f t="shared" si="59"/>
        <v>C7</v>
      </c>
      <c r="N596" s="10" t="str">
        <f t="shared" si="60"/>
        <v>C28</v>
      </c>
      <c r="O596" s="5">
        <f t="shared" si="61"/>
        <v>25.052783584189751</v>
      </c>
      <c r="P596" s="22">
        <f>O596/Explications!$C$8</f>
        <v>0.83509278613965832</v>
      </c>
      <c r="Q596" s="7" t="str">
        <f t="shared" si="62"/>
        <v>C28</v>
      </c>
      <c r="R596" s="7" t="str">
        <f t="shared" si="63"/>
        <v>C7</v>
      </c>
      <c r="S596" s="18">
        <f t="shared" si="64"/>
        <v>25.052783584189751</v>
      </c>
      <c r="T596" s="18">
        <f>S596/Explications!$C$8</f>
        <v>0.83509278613965832</v>
      </c>
    </row>
    <row r="597" spans="7:20">
      <c r="G597" s="10" t="s">
        <v>23</v>
      </c>
      <c r="H597" s="10" t="s">
        <v>45</v>
      </c>
      <c r="I597" s="10">
        <v>46.794699999999999</v>
      </c>
      <c r="J597" s="10">
        <v>-71.254199999999997</v>
      </c>
      <c r="K597" s="10">
        <v>46.839100000000002</v>
      </c>
      <c r="L597" s="10">
        <v>-71.245699999999999</v>
      </c>
      <c r="M597" s="10" t="str">
        <f t="shared" si="59"/>
        <v>C7</v>
      </c>
      <c r="N597" s="10" t="str">
        <f t="shared" si="60"/>
        <v>C29</v>
      </c>
      <c r="O597" s="5">
        <f t="shared" si="61"/>
        <v>4.979243031179637</v>
      </c>
      <c r="P597" s="22">
        <f>O597/Explications!$C$8</f>
        <v>0.1659747677059879</v>
      </c>
      <c r="Q597" s="7" t="str">
        <f t="shared" si="62"/>
        <v>C29</v>
      </c>
      <c r="R597" s="7" t="str">
        <f t="shared" si="63"/>
        <v>C7</v>
      </c>
      <c r="S597" s="18">
        <f t="shared" si="64"/>
        <v>4.979243031179637</v>
      </c>
      <c r="T597" s="18">
        <f>S597/Explications!$C$8</f>
        <v>0.1659747677059879</v>
      </c>
    </row>
    <row r="598" spans="7:20">
      <c r="G598" s="10" t="s">
        <v>23</v>
      </c>
      <c r="H598" s="10" t="s">
        <v>46</v>
      </c>
      <c r="I598" s="10">
        <v>46.794699999999999</v>
      </c>
      <c r="J598" s="10">
        <v>-71.254199999999997</v>
      </c>
      <c r="K598" s="10">
        <v>46.865699999999997</v>
      </c>
      <c r="L598" s="10">
        <v>-71.27</v>
      </c>
      <c r="M598" s="10" t="str">
        <f t="shared" si="59"/>
        <v>C7</v>
      </c>
      <c r="N598" s="10" t="str">
        <f t="shared" si="60"/>
        <v>C30</v>
      </c>
      <c r="O598" s="5">
        <f t="shared" si="61"/>
        <v>7.9858173523034637</v>
      </c>
      <c r="P598" s="22">
        <f>O598/Explications!$C$8</f>
        <v>0.26619391174344881</v>
      </c>
      <c r="Q598" s="7" t="str">
        <f t="shared" si="62"/>
        <v>C30</v>
      </c>
      <c r="R598" s="7" t="str">
        <f t="shared" si="63"/>
        <v>C7</v>
      </c>
      <c r="S598" s="18">
        <f t="shared" si="64"/>
        <v>7.9858173523034637</v>
      </c>
      <c r="T598" s="18">
        <f>S598/Explications!$C$8</f>
        <v>0.26619391174344881</v>
      </c>
    </row>
    <row r="599" spans="7:20">
      <c r="G599" s="10" t="s">
        <v>23</v>
      </c>
      <c r="H599" s="10" t="s">
        <v>47</v>
      </c>
      <c r="I599" s="10">
        <v>46.794699999999999</v>
      </c>
      <c r="J599" s="10">
        <v>-71.254199999999997</v>
      </c>
      <c r="K599" s="10">
        <v>46.805500000000002</v>
      </c>
      <c r="L599" s="10">
        <v>-71.217299999999994</v>
      </c>
      <c r="M599" s="10" t="str">
        <f t="shared" si="59"/>
        <v>C7</v>
      </c>
      <c r="N599" s="10" t="str">
        <f t="shared" si="60"/>
        <v>C31</v>
      </c>
      <c r="O599" s="5">
        <f t="shared" si="61"/>
        <v>3.054714086143794</v>
      </c>
      <c r="P599" s="22">
        <f>O599/Explications!$C$8</f>
        <v>0.1018238028714598</v>
      </c>
      <c r="Q599" s="7" t="str">
        <f t="shared" si="62"/>
        <v>C31</v>
      </c>
      <c r="R599" s="7" t="str">
        <f t="shared" si="63"/>
        <v>C7</v>
      </c>
      <c r="S599" s="18">
        <f t="shared" si="64"/>
        <v>3.054714086143794</v>
      </c>
      <c r="T599" s="18">
        <f>S599/Explications!$C$8</f>
        <v>0.1018238028714598</v>
      </c>
    </row>
    <row r="600" spans="7:20">
      <c r="G600" s="10" t="s">
        <v>23</v>
      </c>
      <c r="H600" s="10" t="s">
        <v>48</v>
      </c>
      <c r="I600" s="10">
        <v>46.794699999999999</v>
      </c>
      <c r="J600" s="10">
        <v>-71.254199999999997</v>
      </c>
      <c r="K600" s="10">
        <v>46.792299999999997</v>
      </c>
      <c r="L600" s="10">
        <v>-71.172899999999998</v>
      </c>
      <c r="M600" s="10" t="str">
        <f t="shared" si="59"/>
        <v>C7</v>
      </c>
      <c r="N600" s="10" t="str">
        <f t="shared" si="60"/>
        <v>C32</v>
      </c>
      <c r="O600" s="5">
        <f t="shared" si="61"/>
        <v>6.1949049404628145</v>
      </c>
      <c r="P600" s="22">
        <f>O600/Explications!$C$8</f>
        <v>0.20649683134876048</v>
      </c>
      <c r="Q600" s="7" t="str">
        <f t="shared" si="62"/>
        <v>C32</v>
      </c>
      <c r="R600" s="7" t="str">
        <f t="shared" si="63"/>
        <v>C7</v>
      </c>
      <c r="S600" s="18">
        <f t="shared" si="64"/>
        <v>6.1949049404628145</v>
      </c>
      <c r="T600" s="18">
        <f>S600/Explications!$C$8</f>
        <v>0.20649683134876048</v>
      </c>
    </row>
    <row r="601" spans="7:20">
      <c r="G601" s="10" t="s">
        <v>23</v>
      </c>
      <c r="H601" s="10" t="s">
        <v>49</v>
      </c>
      <c r="I601" s="10">
        <v>46.794699999999999</v>
      </c>
      <c r="J601" s="10">
        <v>-71.254199999999997</v>
      </c>
      <c r="K601" s="10">
        <v>46.7883</v>
      </c>
      <c r="L601" s="10">
        <v>-71.131200000000007</v>
      </c>
      <c r="M601" s="10" t="str">
        <f t="shared" si="59"/>
        <v>C7</v>
      </c>
      <c r="N601" s="10" t="str">
        <f t="shared" si="60"/>
        <v>C33</v>
      </c>
      <c r="O601" s="5">
        <f t="shared" si="61"/>
        <v>9.391015345889512</v>
      </c>
      <c r="P601" s="22">
        <f>O601/Explications!$C$8</f>
        <v>0.31303384486298375</v>
      </c>
      <c r="Q601" s="7" t="str">
        <f t="shared" si="62"/>
        <v>C33</v>
      </c>
      <c r="R601" s="7" t="str">
        <f t="shared" si="63"/>
        <v>C7</v>
      </c>
      <c r="S601" s="18">
        <f t="shared" si="64"/>
        <v>9.391015345889512</v>
      </c>
      <c r="T601" s="18">
        <f>S601/Explications!$C$8</f>
        <v>0.31303384486298375</v>
      </c>
    </row>
    <row r="602" spans="7:20">
      <c r="G602" s="10" t="s">
        <v>23</v>
      </c>
      <c r="H602" s="10" t="s">
        <v>50</v>
      </c>
      <c r="I602" s="10">
        <v>46.794699999999999</v>
      </c>
      <c r="J602" s="10">
        <v>-71.254199999999997</v>
      </c>
      <c r="K602" s="10">
        <v>46.8611</v>
      </c>
      <c r="L602" s="10">
        <v>-71.268799999999999</v>
      </c>
      <c r="M602" s="10" t="str">
        <f t="shared" si="59"/>
        <v>C7</v>
      </c>
      <c r="N602" s="10" t="str">
        <f t="shared" si="60"/>
        <v>C34</v>
      </c>
      <c r="O602" s="5">
        <f t="shared" si="61"/>
        <v>7.4664260567938552</v>
      </c>
      <c r="P602" s="22">
        <f>O602/Explications!$C$8</f>
        <v>0.24888086855979516</v>
      </c>
      <c r="Q602" s="7" t="str">
        <f t="shared" si="62"/>
        <v>C34</v>
      </c>
      <c r="R602" s="7" t="str">
        <f t="shared" si="63"/>
        <v>C7</v>
      </c>
      <c r="S602" s="18">
        <f t="shared" si="64"/>
        <v>7.4664260567938552</v>
      </c>
      <c r="T602" s="18">
        <f>S602/Explications!$C$8</f>
        <v>0.24888086855979516</v>
      </c>
    </row>
    <row r="603" spans="7:20">
      <c r="G603" s="10" t="s">
        <v>23</v>
      </c>
      <c r="H603" s="10" t="s">
        <v>51</v>
      </c>
      <c r="I603" s="10">
        <v>46.794699999999999</v>
      </c>
      <c r="J603" s="10">
        <v>-71.254199999999997</v>
      </c>
      <c r="K603" s="10">
        <v>46.869700000000002</v>
      </c>
      <c r="L603" s="10">
        <v>-71.205200000000005</v>
      </c>
      <c r="M603" s="10" t="str">
        <f t="shared" si="59"/>
        <v>C7</v>
      </c>
      <c r="N603" s="10" t="str">
        <f t="shared" si="60"/>
        <v>C35</v>
      </c>
      <c r="O603" s="5">
        <f t="shared" si="61"/>
        <v>9.1347648046042416</v>
      </c>
      <c r="P603" s="22">
        <f>O603/Explications!$C$8</f>
        <v>0.30449216015347474</v>
      </c>
      <c r="Q603" s="7" t="str">
        <f t="shared" si="62"/>
        <v>C35</v>
      </c>
      <c r="R603" s="7" t="str">
        <f t="shared" si="63"/>
        <v>C7</v>
      </c>
      <c r="S603" s="18">
        <f t="shared" si="64"/>
        <v>9.1347648046042416</v>
      </c>
      <c r="T603" s="18">
        <f>S603/Explications!$C$8</f>
        <v>0.30449216015347474</v>
      </c>
    </row>
    <row r="604" spans="7:20">
      <c r="G604" s="10" t="s">
        <v>23</v>
      </c>
      <c r="H604" s="10" t="s">
        <v>52</v>
      </c>
      <c r="I604" s="10">
        <v>46.794699999999999</v>
      </c>
      <c r="J604" s="10">
        <v>-71.254199999999997</v>
      </c>
      <c r="K604" s="10">
        <v>46.774099999999997</v>
      </c>
      <c r="L604" s="10">
        <v>-71.174000000000007</v>
      </c>
      <c r="M604" s="10" t="str">
        <f t="shared" si="59"/>
        <v>C7</v>
      </c>
      <c r="N604" s="10" t="str">
        <f t="shared" si="60"/>
        <v>C36</v>
      </c>
      <c r="O604" s="5">
        <f t="shared" si="61"/>
        <v>6.5219325773051837</v>
      </c>
      <c r="P604" s="22">
        <f>O604/Explications!$C$8</f>
        <v>0.21739775257683946</v>
      </c>
      <c r="Q604" s="7" t="str">
        <f t="shared" si="62"/>
        <v>C36</v>
      </c>
      <c r="R604" s="7" t="str">
        <f t="shared" si="63"/>
        <v>C7</v>
      </c>
      <c r="S604" s="18">
        <f t="shared" si="64"/>
        <v>6.5219325773051837</v>
      </c>
      <c r="T604" s="18">
        <f>S604/Explications!$C$8</f>
        <v>0.21739775257683946</v>
      </c>
    </row>
    <row r="605" spans="7:20">
      <c r="G605" s="10" t="s">
        <v>23</v>
      </c>
      <c r="H605" s="10" t="s">
        <v>53</v>
      </c>
      <c r="I605" s="10">
        <v>46.794699999999999</v>
      </c>
      <c r="J605" s="10">
        <v>-71.254199999999997</v>
      </c>
      <c r="K605" s="10">
        <v>46.808500000000002</v>
      </c>
      <c r="L605" s="10">
        <v>-71.326599999999999</v>
      </c>
      <c r="M605" s="10" t="str">
        <f t="shared" si="59"/>
        <v>C7</v>
      </c>
      <c r="N605" s="10" t="str">
        <f t="shared" si="60"/>
        <v>C37</v>
      </c>
      <c r="O605" s="5">
        <f t="shared" si="61"/>
        <v>5.7204437977798968</v>
      </c>
      <c r="P605" s="22">
        <f>O605/Explications!$C$8</f>
        <v>0.19068145992599655</v>
      </c>
      <c r="Q605" s="7" t="str">
        <f t="shared" si="62"/>
        <v>C37</v>
      </c>
      <c r="R605" s="7" t="str">
        <f t="shared" si="63"/>
        <v>C7</v>
      </c>
      <c r="S605" s="18">
        <f t="shared" si="64"/>
        <v>5.7204437977798968</v>
      </c>
      <c r="T605" s="18">
        <f>S605/Explications!$C$8</f>
        <v>0.19068145992599655</v>
      </c>
    </row>
    <row r="606" spans="7:20">
      <c r="G606" s="10" t="s">
        <v>23</v>
      </c>
      <c r="H606" s="10" t="s">
        <v>54</v>
      </c>
      <c r="I606" s="10">
        <v>46.794699999999999</v>
      </c>
      <c r="J606" s="10">
        <v>-71.254199999999997</v>
      </c>
      <c r="K606" s="10">
        <v>46.797499999999999</v>
      </c>
      <c r="L606" s="10">
        <v>-71.306100000000001</v>
      </c>
      <c r="M606" s="10" t="str">
        <f t="shared" si="59"/>
        <v>C7</v>
      </c>
      <c r="N606" s="10" t="str">
        <f t="shared" si="60"/>
        <v>C38</v>
      </c>
      <c r="O606" s="5">
        <f t="shared" si="61"/>
        <v>3.9630679201608414</v>
      </c>
      <c r="P606" s="22">
        <f>O606/Explications!$C$8</f>
        <v>0.13210226400536138</v>
      </c>
      <c r="Q606" s="7" t="str">
        <f t="shared" si="62"/>
        <v>C38</v>
      </c>
      <c r="R606" s="7" t="str">
        <f t="shared" si="63"/>
        <v>C7</v>
      </c>
      <c r="S606" s="18">
        <f t="shared" si="64"/>
        <v>3.9630679201608414</v>
      </c>
      <c r="T606" s="18">
        <f>S606/Explications!$C$8</f>
        <v>0.13210226400536138</v>
      </c>
    </row>
    <row r="607" spans="7:20">
      <c r="G607" s="10" t="s">
        <v>23</v>
      </c>
      <c r="H607" s="10" t="s">
        <v>55</v>
      </c>
      <c r="I607" s="10">
        <v>46.794699999999999</v>
      </c>
      <c r="J607" s="10">
        <v>-71.254199999999997</v>
      </c>
      <c r="K607" s="10">
        <v>46.8155</v>
      </c>
      <c r="L607" s="10">
        <v>-71.268199999999993</v>
      </c>
      <c r="M607" s="10" t="str">
        <f t="shared" si="59"/>
        <v>C7</v>
      </c>
      <c r="N607" s="10" t="str">
        <f t="shared" si="60"/>
        <v>C39</v>
      </c>
      <c r="O607" s="5">
        <f t="shared" si="61"/>
        <v>2.546507330270567</v>
      </c>
      <c r="P607" s="22">
        <f>O607/Explications!$C$8</f>
        <v>8.4883577675685565E-2</v>
      </c>
      <c r="Q607" s="7" t="str">
        <f t="shared" si="62"/>
        <v>C39</v>
      </c>
      <c r="R607" s="7" t="str">
        <f t="shared" si="63"/>
        <v>C7</v>
      </c>
      <c r="S607" s="18">
        <f t="shared" si="64"/>
        <v>2.546507330270567</v>
      </c>
      <c r="T607" s="18">
        <f>S607/Explications!$C$8</f>
        <v>8.4883577675685565E-2</v>
      </c>
    </row>
    <row r="608" spans="7:20">
      <c r="G608" s="10" t="s">
        <v>23</v>
      </c>
      <c r="H608" s="10" t="s">
        <v>56</v>
      </c>
      <c r="I608" s="10">
        <v>46.794699999999999</v>
      </c>
      <c r="J608" s="10">
        <v>-71.254199999999997</v>
      </c>
      <c r="K608" s="10">
        <v>46.866700000000002</v>
      </c>
      <c r="L608" s="10">
        <v>-71.215900000000005</v>
      </c>
      <c r="M608" s="10" t="str">
        <f t="shared" si="59"/>
        <v>C7</v>
      </c>
      <c r="N608" s="10" t="str">
        <f t="shared" si="60"/>
        <v>C40</v>
      </c>
      <c r="O608" s="5">
        <f t="shared" si="61"/>
        <v>8.5197425009847016</v>
      </c>
      <c r="P608" s="22">
        <f>O608/Explications!$C$8</f>
        <v>0.28399141669949007</v>
      </c>
      <c r="Q608" s="7" t="str">
        <f t="shared" si="62"/>
        <v>C40</v>
      </c>
      <c r="R608" s="7" t="str">
        <f t="shared" si="63"/>
        <v>C7</v>
      </c>
      <c r="S608" s="18">
        <f t="shared" si="64"/>
        <v>8.5197425009847016</v>
      </c>
      <c r="T608" s="18">
        <f>S608/Explications!$C$8</f>
        <v>0.28399141669949007</v>
      </c>
    </row>
    <row r="609" spans="7:20">
      <c r="G609" s="10" t="s">
        <v>23</v>
      </c>
      <c r="H609" s="10" t="s">
        <v>57</v>
      </c>
      <c r="I609" s="10">
        <v>46.794699999999999</v>
      </c>
      <c r="J609" s="10">
        <v>-71.254199999999997</v>
      </c>
      <c r="K609" s="10">
        <v>46.762099999999997</v>
      </c>
      <c r="L609" s="10">
        <v>-71.235399999999998</v>
      </c>
      <c r="M609" s="10" t="str">
        <f t="shared" si="59"/>
        <v>C7</v>
      </c>
      <c r="N609" s="10" t="str">
        <f t="shared" si="60"/>
        <v>C41</v>
      </c>
      <c r="O609" s="5">
        <f t="shared" si="61"/>
        <v>3.8974045804921489</v>
      </c>
      <c r="P609" s="22">
        <f>O609/Explications!$C$8</f>
        <v>0.12991348601640496</v>
      </c>
      <c r="Q609" s="7" t="str">
        <f t="shared" si="62"/>
        <v>C41</v>
      </c>
      <c r="R609" s="7" t="str">
        <f t="shared" si="63"/>
        <v>C7</v>
      </c>
      <c r="S609" s="18">
        <f t="shared" si="64"/>
        <v>3.8974045804921489</v>
      </c>
      <c r="T609" s="18">
        <f>S609/Explications!$C$8</f>
        <v>0.12991348601640496</v>
      </c>
    </row>
    <row r="610" spans="7:20">
      <c r="G610" s="10" t="s">
        <v>23</v>
      </c>
      <c r="H610" s="10" t="s">
        <v>58</v>
      </c>
      <c r="I610" s="10">
        <v>46.794699999999999</v>
      </c>
      <c r="J610" s="10">
        <v>-71.254199999999997</v>
      </c>
      <c r="K610" s="10">
        <v>46.8157</v>
      </c>
      <c r="L610" s="10">
        <v>-71.2042</v>
      </c>
      <c r="M610" s="10" t="str">
        <f t="shared" si="59"/>
        <v>C7</v>
      </c>
      <c r="N610" s="10" t="str">
        <f t="shared" si="60"/>
        <v>C42</v>
      </c>
      <c r="O610" s="5">
        <f t="shared" si="61"/>
        <v>4.4648402133858642</v>
      </c>
      <c r="P610" s="22">
        <f>O610/Explications!$C$8</f>
        <v>0.14882800711286215</v>
      </c>
      <c r="Q610" s="7" t="str">
        <f t="shared" si="62"/>
        <v>C42</v>
      </c>
      <c r="R610" s="7" t="str">
        <f t="shared" si="63"/>
        <v>C7</v>
      </c>
      <c r="S610" s="18">
        <f t="shared" si="64"/>
        <v>4.4648402133858642</v>
      </c>
      <c r="T610" s="18">
        <f>S610/Explications!$C$8</f>
        <v>0.14882800711286215</v>
      </c>
    </row>
    <row r="611" spans="7:20">
      <c r="G611" s="10" t="s">
        <v>23</v>
      </c>
      <c r="H611" s="10" t="s">
        <v>59</v>
      </c>
      <c r="I611" s="10">
        <v>46.794699999999999</v>
      </c>
      <c r="J611" s="10">
        <v>-71.254199999999997</v>
      </c>
      <c r="K611" s="10">
        <v>46.707000000000001</v>
      </c>
      <c r="L611" s="10">
        <v>-71.217100000000002</v>
      </c>
      <c r="M611" s="10" t="str">
        <f t="shared" si="59"/>
        <v>C7</v>
      </c>
      <c r="N611" s="10" t="str">
        <f t="shared" si="60"/>
        <v>C43</v>
      </c>
      <c r="O611" s="5">
        <f t="shared" si="61"/>
        <v>10.153174680153967</v>
      </c>
      <c r="P611" s="22">
        <f>O611/Explications!$C$8</f>
        <v>0.33843915600513225</v>
      </c>
      <c r="Q611" s="7" t="str">
        <f t="shared" si="62"/>
        <v>C43</v>
      </c>
      <c r="R611" s="7" t="str">
        <f t="shared" si="63"/>
        <v>C7</v>
      </c>
      <c r="S611" s="18">
        <f t="shared" si="64"/>
        <v>10.153174680153967</v>
      </c>
      <c r="T611" s="18">
        <f>S611/Explications!$C$8</f>
        <v>0.33843915600513225</v>
      </c>
    </row>
    <row r="612" spans="7:20">
      <c r="G612" s="10" t="s">
        <v>23</v>
      </c>
      <c r="H612" s="10" t="s">
        <v>60</v>
      </c>
      <c r="I612" s="10">
        <v>46.794699999999999</v>
      </c>
      <c r="J612" s="10">
        <v>-71.254199999999997</v>
      </c>
      <c r="K612" s="10">
        <v>46.802900000000001</v>
      </c>
      <c r="L612" s="10">
        <v>-71.228899999999996</v>
      </c>
      <c r="M612" s="10" t="str">
        <f t="shared" si="59"/>
        <v>C7</v>
      </c>
      <c r="N612" s="10" t="str">
        <f t="shared" si="60"/>
        <v>C44</v>
      </c>
      <c r="O612" s="5">
        <f t="shared" si="61"/>
        <v>2.1307761928532081</v>
      </c>
      <c r="P612" s="22">
        <f>O612/Explications!$C$8</f>
        <v>7.1025873095106939E-2</v>
      </c>
      <c r="Q612" s="7" t="str">
        <f t="shared" si="62"/>
        <v>C44</v>
      </c>
      <c r="R612" s="7" t="str">
        <f t="shared" si="63"/>
        <v>C7</v>
      </c>
      <c r="S612" s="18">
        <f t="shared" si="64"/>
        <v>2.1307761928532081</v>
      </c>
      <c r="T612" s="18">
        <f>S612/Explications!$C$8</f>
        <v>7.1025873095106939E-2</v>
      </c>
    </row>
    <row r="613" spans="7:20">
      <c r="G613" s="10" t="s">
        <v>23</v>
      </c>
      <c r="H613" s="10" t="s">
        <v>61</v>
      </c>
      <c r="I613" s="10">
        <v>46.794699999999999</v>
      </c>
      <c r="J613" s="10">
        <v>-71.254199999999997</v>
      </c>
      <c r="K613" s="10">
        <v>46.796900000000001</v>
      </c>
      <c r="L613" s="10">
        <v>-71.3078</v>
      </c>
      <c r="M613" s="10" t="str">
        <f t="shared" si="59"/>
        <v>C7</v>
      </c>
      <c r="N613" s="10" t="str">
        <f t="shared" si="60"/>
        <v>C45</v>
      </c>
      <c r="O613" s="5">
        <f t="shared" si="61"/>
        <v>4.0875787500893814</v>
      </c>
      <c r="P613" s="22">
        <f>O613/Explications!$C$8</f>
        <v>0.13625262500297938</v>
      </c>
      <c r="Q613" s="7" t="str">
        <f t="shared" si="62"/>
        <v>C45</v>
      </c>
      <c r="R613" s="7" t="str">
        <f t="shared" si="63"/>
        <v>C7</v>
      </c>
      <c r="S613" s="18">
        <f t="shared" si="64"/>
        <v>4.0875787500893814</v>
      </c>
      <c r="T613" s="18">
        <f>S613/Explications!$C$8</f>
        <v>0.13625262500297938</v>
      </c>
    </row>
    <row r="614" spans="7:20">
      <c r="G614" s="10" t="s">
        <v>23</v>
      </c>
      <c r="H614" s="10" t="s">
        <v>62</v>
      </c>
      <c r="I614" s="10">
        <v>46.794699999999999</v>
      </c>
      <c r="J614" s="10">
        <v>-71.254199999999997</v>
      </c>
      <c r="K614" s="10">
        <v>46.803600000000003</v>
      </c>
      <c r="L614" s="10">
        <v>-71.231099999999998</v>
      </c>
      <c r="M614" s="10" t="str">
        <f t="shared" si="59"/>
        <v>C7</v>
      </c>
      <c r="N614" s="10" t="str">
        <f t="shared" si="60"/>
        <v>C46</v>
      </c>
      <c r="O614" s="5">
        <f t="shared" si="61"/>
        <v>2.0177209422444013</v>
      </c>
      <c r="P614" s="22">
        <f>O614/Explications!$C$8</f>
        <v>6.7257364741480044E-2</v>
      </c>
      <c r="Q614" s="7" t="str">
        <f t="shared" si="62"/>
        <v>C46</v>
      </c>
      <c r="R614" s="7" t="str">
        <f t="shared" si="63"/>
        <v>C7</v>
      </c>
      <c r="S614" s="18">
        <f t="shared" si="64"/>
        <v>2.0177209422444013</v>
      </c>
      <c r="T614" s="18">
        <f>S614/Explications!$C$8</f>
        <v>6.7257364741480044E-2</v>
      </c>
    </row>
    <row r="615" spans="7:20">
      <c r="G615" s="10" t="s">
        <v>23</v>
      </c>
      <c r="H615" s="10" t="s">
        <v>63</v>
      </c>
      <c r="I615" s="10">
        <v>46.794699999999999</v>
      </c>
      <c r="J615" s="10">
        <v>-71.254199999999997</v>
      </c>
      <c r="K615" s="10">
        <v>46.802399999999999</v>
      </c>
      <c r="L615" s="10">
        <v>-71.269800000000004</v>
      </c>
      <c r="M615" s="10" t="str">
        <f t="shared" si="59"/>
        <v>C7</v>
      </c>
      <c r="N615" s="10" t="str">
        <f t="shared" si="60"/>
        <v>C47</v>
      </c>
      <c r="O615" s="5">
        <f t="shared" si="61"/>
        <v>1.4639596273099753</v>
      </c>
      <c r="P615" s="22">
        <f>O615/Explications!$C$8</f>
        <v>4.8798654243665841E-2</v>
      </c>
      <c r="Q615" s="7" t="str">
        <f t="shared" si="62"/>
        <v>C47</v>
      </c>
      <c r="R615" s="7" t="str">
        <f t="shared" si="63"/>
        <v>C7</v>
      </c>
      <c r="S615" s="18">
        <f t="shared" si="64"/>
        <v>1.4639596273099753</v>
      </c>
      <c r="T615" s="18">
        <f>S615/Explications!$C$8</f>
        <v>4.8798654243665841E-2</v>
      </c>
    </row>
    <row r="616" spans="7:20">
      <c r="G616" s="10" t="s">
        <v>23</v>
      </c>
      <c r="H616" s="10" t="s">
        <v>64</v>
      </c>
      <c r="I616" s="10">
        <v>46.794699999999999</v>
      </c>
      <c r="J616" s="10">
        <v>-71.254199999999997</v>
      </c>
      <c r="K616" s="10">
        <v>46.826799999999999</v>
      </c>
      <c r="L616" s="10">
        <v>-71.224199999999996</v>
      </c>
      <c r="M616" s="10" t="str">
        <f t="shared" si="59"/>
        <v>C7</v>
      </c>
      <c r="N616" s="10" t="str">
        <f t="shared" si="60"/>
        <v>C48</v>
      </c>
      <c r="O616" s="5">
        <f t="shared" si="61"/>
        <v>4.2370748921931929</v>
      </c>
      <c r="P616" s="22">
        <f>O616/Explications!$C$8</f>
        <v>0.14123582973977308</v>
      </c>
      <c r="Q616" s="7" t="str">
        <f t="shared" si="62"/>
        <v>C48</v>
      </c>
      <c r="R616" s="7" t="str">
        <f t="shared" si="63"/>
        <v>C7</v>
      </c>
      <c r="S616" s="18">
        <f t="shared" si="64"/>
        <v>4.2370748921931929</v>
      </c>
      <c r="T616" s="18">
        <f>S616/Explications!$C$8</f>
        <v>0.14123582973977308</v>
      </c>
    </row>
    <row r="617" spans="7:20">
      <c r="G617" s="10" t="s">
        <v>23</v>
      </c>
      <c r="H617" s="10" t="s">
        <v>65</v>
      </c>
      <c r="I617" s="10">
        <v>46.794699999999999</v>
      </c>
      <c r="J617" s="10">
        <v>-71.254199999999997</v>
      </c>
      <c r="K617" s="10">
        <v>46.864100000000001</v>
      </c>
      <c r="L617" s="10">
        <v>-71.255499999999998</v>
      </c>
      <c r="M617" s="10" t="str">
        <f t="shared" si="59"/>
        <v>C7</v>
      </c>
      <c r="N617" s="10" t="str">
        <f t="shared" si="60"/>
        <v>C49</v>
      </c>
      <c r="O617" s="5">
        <f t="shared" si="61"/>
        <v>7.7175616268427252</v>
      </c>
      <c r="P617" s="22">
        <f>O617/Explications!$C$8</f>
        <v>0.25725205422809083</v>
      </c>
      <c r="Q617" s="7" t="str">
        <f t="shared" si="62"/>
        <v>C49</v>
      </c>
      <c r="R617" s="7" t="str">
        <f t="shared" si="63"/>
        <v>C7</v>
      </c>
      <c r="S617" s="18">
        <f t="shared" si="64"/>
        <v>7.7175616268427252</v>
      </c>
      <c r="T617" s="18">
        <f>S617/Explications!$C$8</f>
        <v>0.25725205422809083</v>
      </c>
    </row>
    <row r="618" spans="7:20">
      <c r="G618" s="10" t="s">
        <v>23</v>
      </c>
      <c r="H618" s="10" t="s">
        <v>66</v>
      </c>
      <c r="I618" s="10">
        <v>46.794699999999999</v>
      </c>
      <c r="J618" s="10">
        <v>-71.254199999999997</v>
      </c>
      <c r="K618" s="10">
        <v>46.843800000000002</v>
      </c>
      <c r="L618" s="10">
        <v>-71.247299999999996</v>
      </c>
      <c r="M618" s="10" t="str">
        <f t="shared" si="59"/>
        <v>C7</v>
      </c>
      <c r="N618" s="10" t="str">
        <f t="shared" si="60"/>
        <v>C50</v>
      </c>
      <c r="O618" s="5">
        <f t="shared" si="61"/>
        <v>5.4848573373856091</v>
      </c>
      <c r="P618" s="22">
        <f>O618/Explications!$C$8</f>
        <v>0.18282857791285365</v>
      </c>
      <c r="Q618" s="7" t="str">
        <f t="shared" si="62"/>
        <v>C50</v>
      </c>
      <c r="R618" s="7" t="str">
        <f t="shared" si="63"/>
        <v>C7</v>
      </c>
      <c r="S618" s="18">
        <f t="shared" si="64"/>
        <v>5.4848573373856091</v>
      </c>
      <c r="T618" s="18">
        <f>S618/Explications!$C$8</f>
        <v>0.18282857791285365</v>
      </c>
    </row>
    <row r="619" spans="7:20">
      <c r="G619" s="10" t="s">
        <v>23</v>
      </c>
      <c r="H619" s="10" t="s">
        <v>67</v>
      </c>
      <c r="I619" s="10">
        <v>46.794699999999999</v>
      </c>
      <c r="J619" s="10">
        <v>-71.254199999999997</v>
      </c>
      <c r="K619" s="10">
        <v>46.765599999999999</v>
      </c>
      <c r="L619" s="10">
        <v>-71.312100000000001</v>
      </c>
      <c r="M619" s="10" t="str">
        <f t="shared" si="59"/>
        <v>C7</v>
      </c>
      <c r="N619" s="10" t="str">
        <f t="shared" si="60"/>
        <v>C51</v>
      </c>
      <c r="O619" s="5">
        <f t="shared" si="61"/>
        <v>5.4688511042997057</v>
      </c>
      <c r="P619" s="22">
        <f>O619/Explications!$C$8</f>
        <v>0.18229503680999018</v>
      </c>
      <c r="Q619" s="7" t="str">
        <f t="shared" si="62"/>
        <v>C51</v>
      </c>
      <c r="R619" s="7" t="str">
        <f t="shared" si="63"/>
        <v>C7</v>
      </c>
      <c r="S619" s="18">
        <f t="shared" si="64"/>
        <v>5.4688511042997057</v>
      </c>
      <c r="T619" s="18">
        <f>S619/Explications!$C$8</f>
        <v>0.18229503680999018</v>
      </c>
    </row>
    <row r="620" spans="7:20">
      <c r="G620" s="10" t="s">
        <v>23</v>
      </c>
      <c r="H620" s="10" t="s">
        <v>68</v>
      </c>
      <c r="I620" s="10">
        <v>46.794699999999999</v>
      </c>
      <c r="J620" s="10">
        <v>-71.254199999999997</v>
      </c>
      <c r="K620" s="10">
        <v>46.787599999999998</v>
      </c>
      <c r="L620" s="10">
        <v>-71.288600000000002</v>
      </c>
      <c r="M620" s="10" t="str">
        <f t="shared" si="59"/>
        <v>C7</v>
      </c>
      <c r="N620" s="10" t="str">
        <f t="shared" si="60"/>
        <v>C52</v>
      </c>
      <c r="O620" s="5">
        <f t="shared" si="61"/>
        <v>2.7353059618309761</v>
      </c>
      <c r="P620" s="22">
        <f>O620/Explications!$C$8</f>
        <v>9.1176865394365869E-2</v>
      </c>
      <c r="Q620" s="7" t="str">
        <f t="shared" si="62"/>
        <v>C52</v>
      </c>
      <c r="R620" s="7" t="str">
        <f t="shared" si="63"/>
        <v>C7</v>
      </c>
      <c r="S620" s="18">
        <f t="shared" si="64"/>
        <v>2.7353059618309761</v>
      </c>
      <c r="T620" s="18">
        <f>S620/Explications!$C$8</f>
        <v>9.1176865394365869E-2</v>
      </c>
    </row>
    <row r="621" spans="7:20">
      <c r="G621" s="10" t="s">
        <v>23</v>
      </c>
      <c r="H621" s="10" t="s">
        <v>69</v>
      </c>
      <c r="I621" s="10">
        <v>46.794699999999999</v>
      </c>
      <c r="J621" s="10">
        <v>-71.254199999999997</v>
      </c>
      <c r="K621" s="10">
        <v>46.764600000000002</v>
      </c>
      <c r="L621" s="10">
        <v>-71.308300000000003</v>
      </c>
      <c r="M621" s="10" t="str">
        <f t="shared" si="59"/>
        <v>C7</v>
      </c>
      <c r="N621" s="10" t="str">
        <f t="shared" si="60"/>
        <v>C53</v>
      </c>
      <c r="O621" s="5">
        <f t="shared" si="61"/>
        <v>5.3078130932731904</v>
      </c>
      <c r="P621" s="22">
        <f>O621/Explications!$C$8</f>
        <v>0.17692710310910634</v>
      </c>
      <c r="Q621" s="7" t="str">
        <f t="shared" si="62"/>
        <v>C53</v>
      </c>
      <c r="R621" s="7" t="str">
        <f t="shared" si="63"/>
        <v>C7</v>
      </c>
      <c r="S621" s="18">
        <f t="shared" si="64"/>
        <v>5.3078130932731904</v>
      </c>
      <c r="T621" s="18">
        <f>S621/Explications!$C$8</f>
        <v>0.17692710310910634</v>
      </c>
    </row>
    <row r="622" spans="7:20">
      <c r="G622" s="10" t="s">
        <v>23</v>
      </c>
      <c r="H622" s="10" t="s">
        <v>70</v>
      </c>
      <c r="I622" s="10">
        <v>46.794699999999999</v>
      </c>
      <c r="J622" s="10">
        <v>-71.254199999999997</v>
      </c>
      <c r="K622" s="10">
        <v>46.849699999999999</v>
      </c>
      <c r="L622" s="10">
        <v>-71.097399999999993</v>
      </c>
      <c r="M622" s="10" t="str">
        <f t="shared" si="59"/>
        <v>C7</v>
      </c>
      <c r="N622" s="10" t="str">
        <f t="shared" si="60"/>
        <v>C54</v>
      </c>
      <c r="O622" s="5">
        <f t="shared" si="61"/>
        <v>13.406582673426026</v>
      </c>
      <c r="P622" s="22">
        <f>O622/Explications!$C$8</f>
        <v>0.44688608911420086</v>
      </c>
      <c r="Q622" s="7" t="str">
        <f t="shared" si="62"/>
        <v>C54</v>
      </c>
      <c r="R622" s="7" t="str">
        <f t="shared" si="63"/>
        <v>C7</v>
      </c>
      <c r="S622" s="18">
        <f t="shared" si="64"/>
        <v>13.406582673426026</v>
      </c>
      <c r="T622" s="18">
        <f>S622/Explications!$C$8</f>
        <v>0.44688608911420086</v>
      </c>
    </row>
    <row r="623" spans="7:20">
      <c r="G623" s="10" t="s">
        <v>23</v>
      </c>
      <c r="H623" s="10" t="s">
        <v>71</v>
      </c>
      <c r="I623" s="10">
        <v>46.794699999999999</v>
      </c>
      <c r="J623" s="10">
        <v>-71.254199999999997</v>
      </c>
      <c r="K623" s="10">
        <v>46.788899999999998</v>
      </c>
      <c r="L623" s="10">
        <v>-71.321399999999997</v>
      </c>
      <c r="M623" s="10" t="str">
        <f t="shared" si="59"/>
        <v>C7</v>
      </c>
      <c r="N623" s="10" t="str">
        <f t="shared" si="60"/>
        <v>C55</v>
      </c>
      <c r="O623" s="5">
        <f t="shared" si="61"/>
        <v>5.1564109065689117</v>
      </c>
      <c r="P623" s="22">
        <f>O623/Explications!$C$8</f>
        <v>0.17188036355229705</v>
      </c>
      <c r="Q623" s="7" t="str">
        <f t="shared" si="62"/>
        <v>C55</v>
      </c>
      <c r="R623" s="7" t="str">
        <f t="shared" si="63"/>
        <v>C7</v>
      </c>
      <c r="S623" s="18">
        <f t="shared" si="64"/>
        <v>5.1564109065689117</v>
      </c>
      <c r="T623" s="18">
        <f>S623/Explications!$C$8</f>
        <v>0.17188036355229705</v>
      </c>
    </row>
    <row r="624" spans="7:20">
      <c r="G624" s="10" t="s">
        <v>23</v>
      </c>
      <c r="H624" s="10" t="s">
        <v>72</v>
      </c>
      <c r="I624" s="10">
        <v>46.794699999999999</v>
      </c>
      <c r="J624" s="10">
        <v>-71.254199999999997</v>
      </c>
      <c r="K624" s="10">
        <v>46.795400000000001</v>
      </c>
      <c r="L624" s="10">
        <v>-71.232600000000005</v>
      </c>
      <c r="M624" s="10" t="str">
        <f t="shared" si="59"/>
        <v>C7</v>
      </c>
      <c r="N624" s="10" t="str">
        <f t="shared" si="60"/>
        <v>C56</v>
      </c>
      <c r="O624" s="5">
        <f t="shared" si="61"/>
        <v>1.6461448600447577</v>
      </c>
      <c r="P624" s="22">
        <f>O624/Explications!$C$8</f>
        <v>5.4871495334825257E-2</v>
      </c>
      <c r="Q624" s="7" t="str">
        <f t="shared" si="62"/>
        <v>C56</v>
      </c>
      <c r="R624" s="7" t="str">
        <f t="shared" si="63"/>
        <v>C7</v>
      </c>
      <c r="S624" s="18">
        <f t="shared" si="64"/>
        <v>1.6461448600447577</v>
      </c>
      <c r="T624" s="18">
        <f>S624/Explications!$C$8</f>
        <v>5.4871495334825257E-2</v>
      </c>
    </row>
    <row r="625" spans="7:20">
      <c r="G625" s="10" t="s">
        <v>23</v>
      </c>
      <c r="H625" s="10" t="s">
        <v>73</v>
      </c>
      <c r="I625" s="10">
        <v>46.794699999999999</v>
      </c>
      <c r="J625" s="10">
        <v>-71.254199999999997</v>
      </c>
      <c r="K625" s="10">
        <v>46.801200000000001</v>
      </c>
      <c r="L625" s="10">
        <v>-71.224999999999994</v>
      </c>
      <c r="M625" s="10" t="str">
        <f t="shared" si="59"/>
        <v>C7</v>
      </c>
      <c r="N625" s="10" t="str">
        <f t="shared" si="60"/>
        <v>C57</v>
      </c>
      <c r="O625" s="5">
        <f t="shared" si="61"/>
        <v>2.3372940445551951</v>
      </c>
      <c r="P625" s="22">
        <f>O625/Explications!$C$8</f>
        <v>7.7909801485173166E-2</v>
      </c>
      <c r="Q625" s="7" t="str">
        <f t="shared" si="62"/>
        <v>C57</v>
      </c>
      <c r="R625" s="7" t="str">
        <f t="shared" si="63"/>
        <v>C7</v>
      </c>
      <c r="S625" s="18">
        <f t="shared" si="64"/>
        <v>2.3372940445551951</v>
      </c>
      <c r="T625" s="18">
        <f>S625/Explications!$C$8</f>
        <v>7.7909801485173166E-2</v>
      </c>
    </row>
    <row r="626" spans="7:20">
      <c r="G626" s="10" t="s">
        <v>23</v>
      </c>
      <c r="H626" s="10" t="s">
        <v>74</v>
      </c>
      <c r="I626" s="10">
        <v>46.794699999999999</v>
      </c>
      <c r="J626" s="10">
        <v>-71.254199999999997</v>
      </c>
      <c r="K626" s="10">
        <v>46.773200000000003</v>
      </c>
      <c r="L626" s="10">
        <v>-71.275899999999993</v>
      </c>
      <c r="M626" s="10" t="str">
        <f t="shared" si="59"/>
        <v>C7</v>
      </c>
      <c r="N626" s="10" t="str">
        <f t="shared" si="60"/>
        <v>C58</v>
      </c>
      <c r="O626" s="5">
        <f t="shared" si="61"/>
        <v>2.9060894031606641</v>
      </c>
      <c r="P626" s="22">
        <f>O626/Explications!$C$8</f>
        <v>9.686964677202213E-2</v>
      </c>
      <c r="Q626" s="7" t="str">
        <f t="shared" si="62"/>
        <v>C58</v>
      </c>
      <c r="R626" s="7" t="str">
        <f t="shared" si="63"/>
        <v>C7</v>
      </c>
      <c r="S626" s="18">
        <f t="shared" si="64"/>
        <v>2.9060894031606641</v>
      </c>
      <c r="T626" s="18">
        <f>S626/Explications!$C$8</f>
        <v>9.686964677202213E-2</v>
      </c>
    </row>
    <row r="627" spans="7:20">
      <c r="G627" s="10" t="s">
        <v>23</v>
      </c>
      <c r="H627" s="10" t="s">
        <v>75</v>
      </c>
      <c r="I627" s="10">
        <v>46.794699999999999</v>
      </c>
      <c r="J627" s="10">
        <v>-71.254199999999997</v>
      </c>
      <c r="K627" s="10">
        <v>46.814399999999999</v>
      </c>
      <c r="L627" s="10">
        <v>-71.225700000000003</v>
      </c>
      <c r="M627" s="10" t="str">
        <f t="shared" si="59"/>
        <v>C7</v>
      </c>
      <c r="N627" s="10" t="str">
        <f t="shared" si="60"/>
        <v>C59</v>
      </c>
      <c r="O627" s="5">
        <f t="shared" si="61"/>
        <v>3.0828275613447831</v>
      </c>
      <c r="P627" s="22">
        <f>O627/Explications!$C$8</f>
        <v>0.10276091871149277</v>
      </c>
      <c r="Q627" s="7" t="str">
        <f t="shared" si="62"/>
        <v>C59</v>
      </c>
      <c r="R627" s="7" t="str">
        <f t="shared" si="63"/>
        <v>C7</v>
      </c>
      <c r="S627" s="18">
        <f t="shared" si="64"/>
        <v>3.0828275613447831</v>
      </c>
      <c r="T627" s="18">
        <f>S627/Explications!$C$8</f>
        <v>0.10276091871149277</v>
      </c>
    </row>
    <row r="628" spans="7:20">
      <c r="G628" s="10" t="s">
        <v>23</v>
      </c>
      <c r="H628" s="10" t="s">
        <v>76</v>
      </c>
      <c r="I628" s="10">
        <v>46.794699999999999</v>
      </c>
      <c r="J628" s="10">
        <v>-71.254199999999997</v>
      </c>
      <c r="K628" s="10">
        <v>46.772500000000001</v>
      </c>
      <c r="L628" s="10">
        <v>-71.276300000000006</v>
      </c>
      <c r="M628" s="10" t="str">
        <f t="shared" si="59"/>
        <v>C7</v>
      </c>
      <c r="N628" s="10" t="str">
        <f t="shared" si="60"/>
        <v>C60</v>
      </c>
      <c r="O628" s="5">
        <f t="shared" si="61"/>
        <v>2.9875052665586206</v>
      </c>
      <c r="P628" s="22">
        <f>O628/Explications!$C$8</f>
        <v>9.9583508885287358E-2</v>
      </c>
      <c r="Q628" s="7" t="str">
        <f t="shared" si="62"/>
        <v>C60</v>
      </c>
      <c r="R628" s="7" t="str">
        <f t="shared" si="63"/>
        <v>C7</v>
      </c>
      <c r="S628" s="18">
        <f t="shared" si="64"/>
        <v>2.9875052665586206</v>
      </c>
      <c r="T628" s="18">
        <f>S628/Explications!$C$8</f>
        <v>9.9583508885287358E-2</v>
      </c>
    </row>
    <row r="629" spans="7:20">
      <c r="G629" s="10" t="s">
        <v>23</v>
      </c>
      <c r="H629" s="10" t="s">
        <v>77</v>
      </c>
      <c r="I629" s="10">
        <v>46.794699999999999</v>
      </c>
      <c r="J629" s="10">
        <v>-71.254199999999997</v>
      </c>
      <c r="K629" s="10">
        <v>46.810899999999997</v>
      </c>
      <c r="L629" s="10">
        <v>-71.215599999999995</v>
      </c>
      <c r="M629" s="10" t="str">
        <f t="shared" si="59"/>
        <v>C7</v>
      </c>
      <c r="N629" s="10" t="str">
        <f t="shared" si="60"/>
        <v>C61</v>
      </c>
      <c r="O629" s="5">
        <f t="shared" si="61"/>
        <v>3.4462707575196809</v>
      </c>
      <c r="P629" s="22">
        <f>O629/Explications!$C$8</f>
        <v>0.11487569191732269</v>
      </c>
      <c r="Q629" s="7" t="str">
        <f t="shared" si="62"/>
        <v>C61</v>
      </c>
      <c r="R629" s="7" t="str">
        <f t="shared" si="63"/>
        <v>C7</v>
      </c>
      <c r="S629" s="18">
        <f t="shared" si="64"/>
        <v>3.4462707575196809</v>
      </c>
      <c r="T629" s="18">
        <f>S629/Explications!$C$8</f>
        <v>0.11487569191732269</v>
      </c>
    </row>
    <row r="630" spans="7:20">
      <c r="G630" s="10" t="s">
        <v>23</v>
      </c>
      <c r="H630" s="10" t="s">
        <v>78</v>
      </c>
      <c r="I630" s="10">
        <v>46.794699999999999</v>
      </c>
      <c r="J630" s="10">
        <v>-71.254199999999997</v>
      </c>
      <c r="K630" s="10">
        <v>46.795200000000001</v>
      </c>
      <c r="L630" s="10">
        <v>-71.245099999999994</v>
      </c>
      <c r="M630" s="10" t="str">
        <f t="shared" si="59"/>
        <v>C7</v>
      </c>
      <c r="N630" s="10" t="str">
        <f t="shared" si="60"/>
        <v>C62</v>
      </c>
      <c r="O630" s="5">
        <f t="shared" si="61"/>
        <v>0.69496777823752232</v>
      </c>
      <c r="P630" s="22">
        <f>O630/Explications!$C$8</f>
        <v>2.316559260791741E-2</v>
      </c>
      <c r="Q630" s="7" t="str">
        <f t="shared" si="62"/>
        <v>C62</v>
      </c>
      <c r="R630" s="7" t="str">
        <f t="shared" si="63"/>
        <v>C7</v>
      </c>
      <c r="S630" s="18">
        <f t="shared" si="64"/>
        <v>0.69496777823752232</v>
      </c>
      <c r="T630" s="18">
        <f>S630/Explications!$C$8</f>
        <v>2.316559260791741E-2</v>
      </c>
    </row>
    <row r="631" spans="7:20">
      <c r="G631" s="10" t="s">
        <v>23</v>
      </c>
      <c r="H631" s="10" t="s">
        <v>79</v>
      </c>
      <c r="I631" s="10">
        <v>46.794699999999999</v>
      </c>
      <c r="J631" s="10">
        <v>-71.254199999999997</v>
      </c>
      <c r="K631" s="10">
        <v>46.822000000000003</v>
      </c>
      <c r="L631" s="10">
        <v>-71.345699999999994</v>
      </c>
      <c r="M631" s="10" t="str">
        <f t="shared" si="59"/>
        <v>C7</v>
      </c>
      <c r="N631" s="10" t="str">
        <f t="shared" si="60"/>
        <v>C63</v>
      </c>
      <c r="O631" s="5">
        <f t="shared" si="61"/>
        <v>7.5966137219713801</v>
      </c>
      <c r="P631" s="22">
        <f>O631/Explications!$C$8</f>
        <v>0.25322045739904603</v>
      </c>
      <c r="Q631" s="7" t="str">
        <f t="shared" si="62"/>
        <v>C63</v>
      </c>
      <c r="R631" s="7" t="str">
        <f t="shared" si="63"/>
        <v>C7</v>
      </c>
      <c r="S631" s="18">
        <f t="shared" si="64"/>
        <v>7.5966137219713801</v>
      </c>
      <c r="T631" s="18">
        <f>S631/Explications!$C$8</f>
        <v>0.25322045739904603</v>
      </c>
    </row>
    <row r="632" spans="7:20">
      <c r="G632" s="10" t="s">
        <v>23</v>
      </c>
      <c r="H632" s="10" t="s">
        <v>80</v>
      </c>
      <c r="I632" s="10">
        <v>46.794699999999999</v>
      </c>
      <c r="J632" s="10">
        <v>-71.254199999999997</v>
      </c>
      <c r="K632" s="10">
        <v>46.779400000000003</v>
      </c>
      <c r="L632" s="10">
        <v>-71.350399999999993</v>
      </c>
      <c r="M632" s="10" t="str">
        <f t="shared" si="59"/>
        <v>C7</v>
      </c>
      <c r="N632" s="10" t="str">
        <f t="shared" si="60"/>
        <v>C64</v>
      </c>
      <c r="O632" s="5">
        <f t="shared" si="61"/>
        <v>7.5193191171970302</v>
      </c>
      <c r="P632" s="22">
        <f>O632/Explications!$C$8</f>
        <v>0.25064397057323434</v>
      </c>
      <c r="Q632" s="7" t="str">
        <f t="shared" si="62"/>
        <v>C64</v>
      </c>
      <c r="R632" s="7" t="str">
        <f t="shared" si="63"/>
        <v>C7</v>
      </c>
      <c r="S632" s="18">
        <f t="shared" si="64"/>
        <v>7.5193191171970302</v>
      </c>
      <c r="T632" s="18">
        <f>S632/Explications!$C$8</f>
        <v>0.25064397057323434</v>
      </c>
    </row>
    <row r="633" spans="7:20">
      <c r="G633" s="10" t="s">
        <v>23</v>
      </c>
      <c r="H633" s="10" t="s">
        <v>81</v>
      </c>
      <c r="I633" s="10">
        <v>46.794699999999999</v>
      </c>
      <c r="J633" s="10">
        <v>-71.254199999999997</v>
      </c>
      <c r="K633" s="10">
        <v>46.772300000000001</v>
      </c>
      <c r="L633" s="10">
        <v>-71.279799999999994</v>
      </c>
      <c r="M633" s="10" t="str">
        <f t="shared" si="59"/>
        <v>C7</v>
      </c>
      <c r="N633" s="10" t="str">
        <f t="shared" si="60"/>
        <v>C65</v>
      </c>
      <c r="O633" s="5">
        <f t="shared" si="61"/>
        <v>3.1628128709024423</v>
      </c>
      <c r="P633" s="22">
        <f>O633/Explications!$C$8</f>
        <v>0.10542709569674807</v>
      </c>
      <c r="Q633" s="7" t="str">
        <f t="shared" si="62"/>
        <v>C65</v>
      </c>
      <c r="R633" s="7" t="str">
        <f t="shared" si="63"/>
        <v>C7</v>
      </c>
      <c r="S633" s="18">
        <f t="shared" si="64"/>
        <v>3.1628128709024423</v>
      </c>
      <c r="T633" s="18">
        <f>S633/Explications!$C$8</f>
        <v>0.10542709569674807</v>
      </c>
    </row>
    <row r="634" spans="7:20">
      <c r="G634" s="10" t="s">
        <v>23</v>
      </c>
      <c r="H634" s="10" t="s">
        <v>82</v>
      </c>
      <c r="I634" s="10">
        <v>46.794699999999999</v>
      </c>
      <c r="J634" s="10">
        <v>-71.254199999999997</v>
      </c>
      <c r="K634" s="10">
        <v>46.814900000000002</v>
      </c>
      <c r="L634" s="10">
        <v>-71.225200000000001</v>
      </c>
      <c r="M634" s="10" t="str">
        <f t="shared" si="59"/>
        <v>C7</v>
      </c>
      <c r="N634" s="10" t="str">
        <f t="shared" si="60"/>
        <v>C66</v>
      </c>
      <c r="O634" s="5">
        <f t="shared" si="61"/>
        <v>3.1491264032968926</v>
      </c>
      <c r="P634" s="22">
        <f>O634/Explications!$C$8</f>
        <v>0.10497088010989643</v>
      </c>
      <c r="Q634" s="7" t="str">
        <f t="shared" si="62"/>
        <v>C66</v>
      </c>
      <c r="R634" s="7" t="str">
        <f t="shared" si="63"/>
        <v>C7</v>
      </c>
      <c r="S634" s="18">
        <f t="shared" si="64"/>
        <v>3.1491264032968926</v>
      </c>
      <c r="T634" s="18">
        <f>S634/Explications!$C$8</f>
        <v>0.10497088010989643</v>
      </c>
    </row>
    <row r="635" spans="7:20">
      <c r="G635" s="10" t="s">
        <v>23</v>
      </c>
      <c r="H635" s="10" t="s">
        <v>83</v>
      </c>
      <c r="I635" s="10">
        <v>46.794699999999999</v>
      </c>
      <c r="J635" s="10">
        <v>-71.254199999999997</v>
      </c>
      <c r="K635" s="10">
        <v>46.814700000000002</v>
      </c>
      <c r="L635" s="10">
        <v>-71.207300000000004</v>
      </c>
      <c r="M635" s="10" t="str">
        <f t="shared" si="59"/>
        <v>C7</v>
      </c>
      <c r="N635" s="10" t="str">
        <f t="shared" si="60"/>
        <v>C67</v>
      </c>
      <c r="O635" s="5">
        <f t="shared" si="61"/>
        <v>4.205708348024106</v>
      </c>
      <c r="P635" s="22">
        <f>O635/Explications!$C$8</f>
        <v>0.14019027826747019</v>
      </c>
      <c r="Q635" s="7" t="str">
        <f t="shared" si="62"/>
        <v>C67</v>
      </c>
      <c r="R635" s="7" t="str">
        <f t="shared" si="63"/>
        <v>C7</v>
      </c>
      <c r="S635" s="18">
        <f t="shared" si="64"/>
        <v>4.205708348024106</v>
      </c>
      <c r="T635" s="18">
        <f>S635/Explications!$C$8</f>
        <v>0.14019027826747019</v>
      </c>
    </row>
    <row r="636" spans="7:20">
      <c r="G636" s="10" t="s">
        <v>23</v>
      </c>
      <c r="H636" s="10" t="s">
        <v>84</v>
      </c>
      <c r="I636" s="10">
        <v>46.794699999999999</v>
      </c>
      <c r="J636" s="10">
        <v>-71.254199999999997</v>
      </c>
      <c r="K636" s="10">
        <v>46.815600000000003</v>
      </c>
      <c r="L636" s="10">
        <v>-71.2029</v>
      </c>
      <c r="M636" s="10" t="str">
        <f t="shared" si="59"/>
        <v>C7</v>
      </c>
      <c r="N636" s="10" t="str">
        <f t="shared" si="60"/>
        <v>C68</v>
      </c>
      <c r="O636" s="5">
        <f t="shared" si="61"/>
        <v>4.5437738731287016</v>
      </c>
      <c r="P636" s="22">
        <f>O636/Explications!$C$8</f>
        <v>0.15145912910429005</v>
      </c>
      <c r="Q636" s="7" t="str">
        <f t="shared" si="62"/>
        <v>C68</v>
      </c>
      <c r="R636" s="7" t="str">
        <f t="shared" si="63"/>
        <v>C7</v>
      </c>
      <c r="S636" s="18">
        <f t="shared" si="64"/>
        <v>4.5437738731287016</v>
      </c>
      <c r="T636" s="18">
        <f>S636/Explications!$C$8</f>
        <v>0.15145912910429005</v>
      </c>
    </row>
    <row r="637" spans="7:20">
      <c r="G637" s="10" t="s">
        <v>23</v>
      </c>
      <c r="H637" s="10" t="s">
        <v>85</v>
      </c>
      <c r="I637" s="10">
        <v>46.794699999999999</v>
      </c>
      <c r="J637" s="10">
        <v>-71.254199999999997</v>
      </c>
      <c r="K637" s="10">
        <v>46.821899999999999</v>
      </c>
      <c r="L637" s="10">
        <v>-71.249899999999997</v>
      </c>
      <c r="M637" s="10" t="str">
        <f t="shared" si="59"/>
        <v>C7</v>
      </c>
      <c r="N637" s="10" t="str">
        <f t="shared" si="60"/>
        <v>C69</v>
      </c>
      <c r="O637" s="5">
        <f t="shared" si="61"/>
        <v>3.0421554729363609</v>
      </c>
      <c r="P637" s="22">
        <f>O637/Explications!$C$8</f>
        <v>0.10140518243121203</v>
      </c>
      <c r="Q637" s="7" t="str">
        <f t="shared" si="62"/>
        <v>C69</v>
      </c>
      <c r="R637" s="7" t="str">
        <f t="shared" si="63"/>
        <v>C7</v>
      </c>
      <c r="S637" s="18">
        <f t="shared" si="64"/>
        <v>3.0421554729363609</v>
      </c>
      <c r="T637" s="18">
        <f>S637/Explications!$C$8</f>
        <v>0.10140518243121203</v>
      </c>
    </row>
    <row r="638" spans="7:20">
      <c r="G638" s="10" t="s">
        <v>23</v>
      </c>
      <c r="H638" s="10" t="s">
        <v>86</v>
      </c>
      <c r="I638" s="10">
        <v>46.794699999999999</v>
      </c>
      <c r="J638" s="10">
        <v>-71.254199999999997</v>
      </c>
      <c r="K638" s="10">
        <v>46.8872</v>
      </c>
      <c r="L638" s="10">
        <v>-71.27</v>
      </c>
      <c r="M638" s="10" t="str">
        <f t="shared" si="59"/>
        <v>C7</v>
      </c>
      <c r="N638" s="10" t="str">
        <f t="shared" si="60"/>
        <v>C70</v>
      </c>
      <c r="O638" s="5">
        <f t="shared" si="61"/>
        <v>10.355498396021352</v>
      </c>
      <c r="P638" s="22">
        <f>O638/Explications!$C$8</f>
        <v>0.3451832798673784</v>
      </c>
      <c r="Q638" s="7" t="str">
        <f t="shared" si="62"/>
        <v>C70</v>
      </c>
      <c r="R638" s="7" t="str">
        <f t="shared" si="63"/>
        <v>C7</v>
      </c>
      <c r="S638" s="18">
        <f t="shared" si="64"/>
        <v>10.355498396021352</v>
      </c>
      <c r="T638" s="18">
        <f>S638/Explications!$C$8</f>
        <v>0.3451832798673784</v>
      </c>
    </row>
    <row r="639" spans="7:20">
      <c r="G639" s="10" t="s">
        <v>23</v>
      </c>
      <c r="H639" s="10" t="s">
        <v>87</v>
      </c>
      <c r="I639" s="10">
        <v>46.794699999999999</v>
      </c>
      <c r="J639" s="10">
        <v>-71.254199999999997</v>
      </c>
      <c r="K639" s="10">
        <v>46.816299999999998</v>
      </c>
      <c r="L639" s="10">
        <v>-71.210300000000004</v>
      </c>
      <c r="M639" s="10" t="str">
        <f t="shared" si="59"/>
        <v>C7</v>
      </c>
      <c r="N639" s="10" t="str">
        <f t="shared" si="60"/>
        <v>C71</v>
      </c>
      <c r="O639" s="5">
        <f t="shared" si="61"/>
        <v>4.1149260310626801</v>
      </c>
      <c r="P639" s="22">
        <f>O639/Explications!$C$8</f>
        <v>0.13716420103542268</v>
      </c>
      <c r="Q639" s="7" t="str">
        <f t="shared" si="62"/>
        <v>C71</v>
      </c>
      <c r="R639" s="7" t="str">
        <f t="shared" si="63"/>
        <v>C7</v>
      </c>
      <c r="S639" s="18">
        <f t="shared" si="64"/>
        <v>4.1149260310626801</v>
      </c>
      <c r="T639" s="18">
        <f>S639/Explications!$C$8</f>
        <v>0.13716420103542268</v>
      </c>
    </row>
    <row r="640" spans="7:20">
      <c r="G640" s="10" t="s">
        <v>23</v>
      </c>
      <c r="H640" s="10" t="s">
        <v>88</v>
      </c>
      <c r="I640" s="10">
        <v>46.794699999999999</v>
      </c>
      <c r="J640" s="10">
        <v>-71.254199999999997</v>
      </c>
      <c r="K640" s="10">
        <v>46.807000000000002</v>
      </c>
      <c r="L640" s="10">
        <v>-71.3566</v>
      </c>
      <c r="M640" s="10" t="str">
        <f t="shared" si="59"/>
        <v>C7</v>
      </c>
      <c r="N640" s="10" t="str">
        <f t="shared" si="60"/>
        <v>C72</v>
      </c>
      <c r="O640" s="5">
        <f t="shared" si="61"/>
        <v>7.9134631875883379</v>
      </c>
      <c r="P640" s="22">
        <f>O640/Explications!$C$8</f>
        <v>0.26378210625294457</v>
      </c>
      <c r="Q640" s="7" t="str">
        <f t="shared" si="62"/>
        <v>C72</v>
      </c>
      <c r="R640" s="7" t="str">
        <f t="shared" si="63"/>
        <v>C7</v>
      </c>
      <c r="S640" s="18">
        <f t="shared" si="64"/>
        <v>7.9134631875883379</v>
      </c>
      <c r="T640" s="18">
        <f>S640/Explications!$C$8</f>
        <v>0.26378210625294457</v>
      </c>
    </row>
    <row r="641" spans="7:20">
      <c r="G641" s="10" t="s">
        <v>23</v>
      </c>
      <c r="H641" s="10" t="s">
        <v>89</v>
      </c>
      <c r="I641" s="10">
        <v>46.794699999999999</v>
      </c>
      <c r="J641" s="10">
        <v>-71.254199999999997</v>
      </c>
      <c r="K641" s="10">
        <v>46.822899999999997</v>
      </c>
      <c r="L641" s="10">
        <v>-71.341899999999995</v>
      </c>
      <c r="M641" s="10" t="str">
        <f t="shared" si="59"/>
        <v>C7</v>
      </c>
      <c r="N641" s="10" t="str">
        <f t="shared" si="60"/>
        <v>C73</v>
      </c>
      <c r="O641" s="5">
        <f t="shared" si="61"/>
        <v>7.3743577533944169</v>
      </c>
      <c r="P641" s="22">
        <f>O641/Explications!$C$8</f>
        <v>0.24581192511314723</v>
      </c>
      <c r="Q641" s="7" t="str">
        <f t="shared" si="62"/>
        <v>C73</v>
      </c>
      <c r="R641" s="7" t="str">
        <f t="shared" si="63"/>
        <v>C7</v>
      </c>
      <c r="S641" s="18">
        <f t="shared" si="64"/>
        <v>7.3743577533944169</v>
      </c>
      <c r="T641" s="18">
        <f>S641/Explications!$C$8</f>
        <v>0.24581192511314723</v>
      </c>
    </row>
    <row r="642" spans="7:20">
      <c r="G642" s="10" t="s">
        <v>23</v>
      </c>
      <c r="H642" s="10" t="s">
        <v>90</v>
      </c>
      <c r="I642" s="10">
        <v>46.794699999999999</v>
      </c>
      <c r="J642" s="10">
        <v>-71.254199999999997</v>
      </c>
      <c r="K642" s="10">
        <v>46.730699999999999</v>
      </c>
      <c r="L642" s="10">
        <v>-71.261099999999999</v>
      </c>
      <c r="M642" s="10" t="str">
        <f t="shared" si="59"/>
        <v>C7</v>
      </c>
      <c r="N642" s="10" t="str">
        <f t="shared" si="60"/>
        <v>C74</v>
      </c>
      <c r="O642" s="5">
        <f t="shared" si="61"/>
        <v>7.1358569406049792</v>
      </c>
      <c r="P642" s="22">
        <f>O642/Explications!$C$8</f>
        <v>0.23786189802016597</v>
      </c>
      <c r="Q642" s="7" t="str">
        <f t="shared" si="62"/>
        <v>C74</v>
      </c>
      <c r="R642" s="7" t="str">
        <f t="shared" si="63"/>
        <v>C7</v>
      </c>
      <c r="S642" s="18">
        <f t="shared" si="64"/>
        <v>7.1358569406049792</v>
      </c>
      <c r="T642" s="18">
        <f>S642/Explications!$C$8</f>
        <v>0.23786189802016597</v>
      </c>
    </row>
    <row r="643" spans="7:20">
      <c r="G643" s="10" t="s">
        <v>23</v>
      </c>
      <c r="H643" s="10" t="s">
        <v>91</v>
      </c>
      <c r="I643" s="10">
        <v>46.794699999999999</v>
      </c>
      <c r="J643" s="10">
        <v>-71.254199999999997</v>
      </c>
      <c r="K643" s="10">
        <v>46.840600000000002</v>
      </c>
      <c r="L643" s="10">
        <v>-71.289100000000005</v>
      </c>
      <c r="M643" s="10" t="str">
        <f t="shared" si="59"/>
        <v>C7</v>
      </c>
      <c r="N643" s="10" t="str">
        <f t="shared" si="60"/>
        <v>C75</v>
      </c>
      <c r="O643" s="5">
        <f t="shared" si="61"/>
        <v>5.7534114582289471</v>
      </c>
      <c r="P643" s="22">
        <f>O643/Explications!$C$8</f>
        <v>0.19178038194096489</v>
      </c>
      <c r="Q643" s="7" t="str">
        <f t="shared" si="62"/>
        <v>C75</v>
      </c>
      <c r="R643" s="7" t="str">
        <f t="shared" si="63"/>
        <v>C7</v>
      </c>
      <c r="S643" s="18">
        <f t="shared" si="64"/>
        <v>5.7534114582289471</v>
      </c>
      <c r="T643" s="18">
        <f>S643/Explications!$C$8</f>
        <v>0.19178038194096489</v>
      </c>
    </row>
    <row r="644" spans="7:20">
      <c r="G644" s="10" t="s">
        <v>23</v>
      </c>
      <c r="H644" s="10" t="s">
        <v>92</v>
      </c>
      <c r="I644" s="10">
        <v>46.794699999999999</v>
      </c>
      <c r="J644" s="10">
        <v>-71.254199999999997</v>
      </c>
      <c r="K644" s="10">
        <v>46.840600000000002</v>
      </c>
      <c r="L644" s="10">
        <v>-71.281599999999997</v>
      </c>
      <c r="M644" s="10" t="str">
        <f t="shared" ref="M644:M707" si="65">G644</f>
        <v>C7</v>
      </c>
      <c r="N644" s="10" t="str">
        <f t="shared" ref="N644:N707" si="66">H644</f>
        <v>C76</v>
      </c>
      <c r="O644" s="5">
        <f t="shared" ref="O644:O707" si="67">ACOS(SIN(RADIANS(I644))*SIN(RADIANS(K644))+COS(RADIANS(I644))*COS(RADIANS(K644))*COS(RADIANS(J644-L644)))*6371</f>
        <v>5.5132826330463054</v>
      </c>
      <c r="P644" s="22">
        <f>O644/Explications!$C$8</f>
        <v>0.18377608776821017</v>
      </c>
      <c r="Q644" s="7" t="str">
        <f t="shared" ref="Q644:Q707" si="68">N644</f>
        <v>C76</v>
      </c>
      <c r="R644" s="7" t="str">
        <f t="shared" ref="R644:R707" si="69">M644</f>
        <v>C7</v>
      </c>
      <c r="S644" s="18">
        <f t="shared" ref="S644:S707" si="70">O644</f>
        <v>5.5132826330463054</v>
      </c>
      <c r="T644" s="18">
        <f>S644/Explications!$C$8</f>
        <v>0.18377608776821017</v>
      </c>
    </row>
    <row r="645" spans="7:20">
      <c r="G645" s="10" t="s">
        <v>23</v>
      </c>
      <c r="H645" s="10" t="s">
        <v>93</v>
      </c>
      <c r="I645" s="10">
        <v>46.794699999999999</v>
      </c>
      <c r="J645" s="10">
        <v>-71.254199999999997</v>
      </c>
      <c r="K645" s="10">
        <v>46.839399999999998</v>
      </c>
      <c r="L645" s="10">
        <v>-71.282600000000002</v>
      </c>
      <c r="M645" s="10" t="str">
        <f t="shared" si="65"/>
        <v>C7</v>
      </c>
      <c r="N645" s="10" t="str">
        <f t="shared" si="66"/>
        <v>C77</v>
      </c>
      <c r="O645" s="5">
        <f t="shared" si="67"/>
        <v>5.4198923710058358</v>
      </c>
      <c r="P645" s="22">
        <f>O645/Explications!$C$8</f>
        <v>0.18066307903352785</v>
      </c>
      <c r="Q645" s="7" t="str">
        <f t="shared" si="68"/>
        <v>C77</v>
      </c>
      <c r="R645" s="7" t="str">
        <f t="shared" si="69"/>
        <v>C7</v>
      </c>
      <c r="S645" s="18">
        <f t="shared" si="70"/>
        <v>5.4198923710058358</v>
      </c>
      <c r="T645" s="18">
        <f>S645/Explications!$C$8</f>
        <v>0.18066307903352785</v>
      </c>
    </row>
    <row r="646" spans="7:20">
      <c r="G646" s="10" t="s">
        <v>23</v>
      </c>
      <c r="H646" s="10" t="s">
        <v>94</v>
      </c>
      <c r="I646" s="10">
        <v>46.794699999999999</v>
      </c>
      <c r="J646" s="10">
        <v>-71.254199999999997</v>
      </c>
      <c r="K646" s="10">
        <v>46.788499999999999</v>
      </c>
      <c r="L646" s="10">
        <v>-71.282399999999996</v>
      </c>
      <c r="M646" s="10" t="str">
        <f t="shared" si="65"/>
        <v>C7</v>
      </c>
      <c r="N646" s="10" t="str">
        <f t="shared" si="66"/>
        <v>C78</v>
      </c>
      <c r="O646" s="5">
        <f t="shared" si="67"/>
        <v>2.2548444552843732</v>
      </c>
      <c r="P646" s="22">
        <f>O646/Explications!$C$8</f>
        <v>7.5161481842812433E-2</v>
      </c>
      <c r="Q646" s="7" t="str">
        <f t="shared" si="68"/>
        <v>C78</v>
      </c>
      <c r="R646" s="7" t="str">
        <f t="shared" si="69"/>
        <v>C7</v>
      </c>
      <c r="S646" s="18">
        <f t="shared" si="70"/>
        <v>2.2548444552843732</v>
      </c>
      <c r="T646" s="18">
        <f>S646/Explications!$C$8</f>
        <v>7.5161481842812433E-2</v>
      </c>
    </row>
    <row r="647" spans="7:20">
      <c r="G647" s="10" t="s">
        <v>23</v>
      </c>
      <c r="H647" s="10" t="s">
        <v>95</v>
      </c>
      <c r="I647" s="10">
        <v>46.794699999999999</v>
      </c>
      <c r="J647" s="10">
        <v>-71.254199999999997</v>
      </c>
      <c r="K647" s="10">
        <v>46.840699999999998</v>
      </c>
      <c r="L647" s="10">
        <v>-71.325400000000002</v>
      </c>
      <c r="M647" s="10" t="str">
        <f t="shared" si="65"/>
        <v>C7</v>
      </c>
      <c r="N647" s="10" t="str">
        <f t="shared" si="66"/>
        <v>C79</v>
      </c>
      <c r="O647" s="5">
        <f t="shared" si="67"/>
        <v>7.4508898040605231</v>
      </c>
      <c r="P647" s="22">
        <f>O647/Explications!$C$8</f>
        <v>0.2483629934686841</v>
      </c>
      <c r="Q647" s="7" t="str">
        <f t="shared" si="68"/>
        <v>C79</v>
      </c>
      <c r="R647" s="7" t="str">
        <f t="shared" si="69"/>
        <v>C7</v>
      </c>
      <c r="S647" s="18">
        <f t="shared" si="70"/>
        <v>7.4508898040605231</v>
      </c>
      <c r="T647" s="18">
        <f>S647/Explications!$C$8</f>
        <v>0.2483629934686841</v>
      </c>
    </row>
    <row r="648" spans="7:20">
      <c r="G648" s="10" t="s">
        <v>23</v>
      </c>
      <c r="H648" s="10" t="s">
        <v>96</v>
      </c>
      <c r="I648" s="10">
        <v>46.794699999999999</v>
      </c>
      <c r="J648" s="10">
        <v>-71.254199999999997</v>
      </c>
      <c r="K648" s="10">
        <v>46.798400000000001</v>
      </c>
      <c r="L648" s="10">
        <v>-71.183199999999999</v>
      </c>
      <c r="M648" s="10" t="str">
        <f t="shared" si="65"/>
        <v>C7</v>
      </c>
      <c r="N648" s="10" t="str">
        <f t="shared" si="66"/>
        <v>C80</v>
      </c>
      <c r="O648" s="5">
        <f t="shared" si="67"/>
        <v>5.420372625397448</v>
      </c>
      <c r="P648" s="22">
        <f>O648/Explications!$C$8</f>
        <v>0.18067908751324827</v>
      </c>
      <c r="Q648" s="7" t="str">
        <f t="shared" si="68"/>
        <v>C80</v>
      </c>
      <c r="R648" s="7" t="str">
        <f t="shared" si="69"/>
        <v>C7</v>
      </c>
      <c r="S648" s="18">
        <f t="shared" si="70"/>
        <v>5.420372625397448</v>
      </c>
      <c r="T648" s="18">
        <f>S648/Explications!$C$8</f>
        <v>0.18067908751324827</v>
      </c>
    </row>
    <row r="649" spans="7:20">
      <c r="G649" s="10" t="s">
        <v>23</v>
      </c>
      <c r="H649" s="10" t="s">
        <v>97</v>
      </c>
      <c r="I649" s="10">
        <v>46.794699999999999</v>
      </c>
      <c r="J649" s="10">
        <v>-71.254199999999997</v>
      </c>
      <c r="K649" s="10">
        <v>46.724800000000002</v>
      </c>
      <c r="L649" s="10">
        <v>-71.2988</v>
      </c>
      <c r="M649" s="10" t="str">
        <f t="shared" si="65"/>
        <v>C7</v>
      </c>
      <c r="N649" s="10" t="str">
        <f t="shared" si="66"/>
        <v>C81</v>
      </c>
      <c r="O649" s="5">
        <f t="shared" si="67"/>
        <v>8.4826017101370681</v>
      </c>
      <c r="P649" s="22">
        <f>O649/Explications!$C$8</f>
        <v>0.28275339033790226</v>
      </c>
      <c r="Q649" s="7" t="str">
        <f t="shared" si="68"/>
        <v>C81</v>
      </c>
      <c r="R649" s="7" t="str">
        <f t="shared" si="69"/>
        <v>C7</v>
      </c>
      <c r="S649" s="18">
        <f t="shared" si="70"/>
        <v>8.4826017101370681</v>
      </c>
      <c r="T649" s="18">
        <f>S649/Explications!$C$8</f>
        <v>0.28275339033790226</v>
      </c>
    </row>
    <row r="650" spans="7:20">
      <c r="G650" s="10" t="s">
        <v>23</v>
      </c>
      <c r="H650" s="10" t="s">
        <v>98</v>
      </c>
      <c r="I650" s="10">
        <v>46.794699999999999</v>
      </c>
      <c r="J650" s="10">
        <v>-71.254199999999997</v>
      </c>
      <c r="K650" s="10">
        <v>46.795499999999997</v>
      </c>
      <c r="L650" s="10">
        <v>-71.242900000000006</v>
      </c>
      <c r="M650" s="10" t="str">
        <f t="shared" si="65"/>
        <v>C7</v>
      </c>
      <c r="N650" s="10" t="str">
        <f t="shared" si="66"/>
        <v>C82</v>
      </c>
      <c r="O650" s="5">
        <f t="shared" si="67"/>
        <v>0.86480089243672875</v>
      </c>
      <c r="P650" s="22">
        <f>O650/Explications!$C$8</f>
        <v>2.8826696414557627E-2</v>
      </c>
      <c r="Q650" s="7" t="str">
        <f t="shared" si="68"/>
        <v>C82</v>
      </c>
      <c r="R650" s="7" t="str">
        <f t="shared" si="69"/>
        <v>C7</v>
      </c>
      <c r="S650" s="18">
        <f t="shared" si="70"/>
        <v>0.86480089243672875</v>
      </c>
      <c r="T650" s="18">
        <f>S650/Explications!$C$8</f>
        <v>2.8826696414557627E-2</v>
      </c>
    </row>
    <row r="651" spans="7:20">
      <c r="G651" s="10" t="s">
        <v>23</v>
      </c>
      <c r="H651" s="10" t="s">
        <v>99</v>
      </c>
      <c r="I651" s="10">
        <v>46.794699999999999</v>
      </c>
      <c r="J651" s="10">
        <v>-71.254199999999997</v>
      </c>
      <c r="K651" s="10">
        <v>46.8157</v>
      </c>
      <c r="L651" s="10">
        <v>-71.201899999999995</v>
      </c>
      <c r="M651" s="10" t="str">
        <f t="shared" si="65"/>
        <v>C7</v>
      </c>
      <c r="N651" s="10" t="str">
        <f t="shared" si="66"/>
        <v>C83</v>
      </c>
      <c r="O651" s="5">
        <f t="shared" si="67"/>
        <v>4.6149538312438247</v>
      </c>
      <c r="P651" s="22">
        <f>O651/Explications!$C$8</f>
        <v>0.15383179437479416</v>
      </c>
      <c r="Q651" s="7" t="str">
        <f t="shared" si="68"/>
        <v>C83</v>
      </c>
      <c r="R651" s="7" t="str">
        <f t="shared" si="69"/>
        <v>C7</v>
      </c>
      <c r="S651" s="18">
        <f t="shared" si="70"/>
        <v>4.6149538312438247</v>
      </c>
      <c r="T651" s="18">
        <f>S651/Explications!$C$8</f>
        <v>0.15383179437479416</v>
      </c>
    </row>
    <row r="652" spans="7:20">
      <c r="G652" s="10" t="s">
        <v>23</v>
      </c>
      <c r="H652" s="10" t="s">
        <v>100</v>
      </c>
      <c r="I652" s="10">
        <v>46.794699999999999</v>
      </c>
      <c r="J652" s="10">
        <v>-71.254199999999997</v>
      </c>
      <c r="K652" s="10">
        <v>46.837600000000002</v>
      </c>
      <c r="L652" s="10">
        <v>-71.196299999999994</v>
      </c>
      <c r="M652" s="10" t="str">
        <f t="shared" si="65"/>
        <v>C7</v>
      </c>
      <c r="N652" s="10" t="str">
        <f t="shared" si="66"/>
        <v>C84</v>
      </c>
      <c r="O652" s="5">
        <f t="shared" si="67"/>
        <v>6.4936521073286277</v>
      </c>
      <c r="P652" s="22">
        <f>O652/Explications!$C$8</f>
        <v>0.21645507024428759</v>
      </c>
      <c r="Q652" s="7" t="str">
        <f t="shared" si="68"/>
        <v>C84</v>
      </c>
      <c r="R652" s="7" t="str">
        <f t="shared" si="69"/>
        <v>C7</v>
      </c>
      <c r="S652" s="18">
        <f t="shared" si="70"/>
        <v>6.4936521073286277</v>
      </c>
      <c r="T652" s="18">
        <f>S652/Explications!$C$8</f>
        <v>0.21645507024428759</v>
      </c>
    </row>
    <row r="653" spans="7:20">
      <c r="G653" s="10" t="s">
        <v>23</v>
      </c>
      <c r="H653" s="10" t="s">
        <v>101</v>
      </c>
      <c r="I653" s="10">
        <v>46.794699999999999</v>
      </c>
      <c r="J653" s="10">
        <v>-71.254199999999997</v>
      </c>
      <c r="K653" s="10">
        <v>46.7988</v>
      </c>
      <c r="L653" s="10">
        <v>-71.318200000000004</v>
      </c>
      <c r="M653" s="10" t="str">
        <f t="shared" si="65"/>
        <v>C7</v>
      </c>
      <c r="N653" s="10" t="str">
        <f t="shared" si="66"/>
        <v>C85</v>
      </c>
      <c r="O653" s="5">
        <f t="shared" si="67"/>
        <v>4.8931412900767892</v>
      </c>
      <c r="P653" s="22">
        <f>O653/Explications!$C$8</f>
        <v>0.1631047096692263</v>
      </c>
      <c r="Q653" s="7" t="str">
        <f t="shared" si="68"/>
        <v>C85</v>
      </c>
      <c r="R653" s="7" t="str">
        <f t="shared" si="69"/>
        <v>C7</v>
      </c>
      <c r="S653" s="18">
        <f t="shared" si="70"/>
        <v>4.8931412900767892</v>
      </c>
      <c r="T653" s="18">
        <f>S653/Explications!$C$8</f>
        <v>0.1631047096692263</v>
      </c>
    </row>
    <row r="654" spans="7:20">
      <c r="G654" s="10" t="s">
        <v>24</v>
      </c>
      <c r="H654" s="10" t="s">
        <v>25</v>
      </c>
      <c r="I654" s="10">
        <v>46.741</v>
      </c>
      <c r="J654" s="10">
        <v>-71.385499999999993</v>
      </c>
      <c r="K654" s="10">
        <v>46.839399999999998</v>
      </c>
      <c r="L654" s="10">
        <v>-71.282700000000006</v>
      </c>
      <c r="M654" s="10" t="str">
        <f t="shared" si="65"/>
        <v>C8</v>
      </c>
      <c r="N654" s="10" t="str">
        <f t="shared" si="66"/>
        <v>C9</v>
      </c>
      <c r="O654" s="5">
        <f t="shared" si="67"/>
        <v>13.452517305075519</v>
      </c>
      <c r="P654" s="22">
        <f>O654/Explications!$C$8</f>
        <v>0.44841724350251727</v>
      </c>
      <c r="Q654" s="7" t="str">
        <f t="shared" si="68"/>
        <v>C9</v>
      </c>
      <c r="R654" s="7" t="str">
        <f t="shared" si="69"/>
        <v>C8</v>
      </c>
      <c r="S654" s="18">
        <f t="shared" si="70"/>
        <v>13.452517305075519</v>
      </c>
      <c r="T654" s="18">
        <f>S654/Explications!$C$8</f>
        <v>0.44841724350251727</v>
      </c>
    </row>
    <row r="655" spans="7:20">
      <c r="G655" s="10" t="s">
        <v>24</v>
      </c>
      <c r="H655" s="10" t="s">
        <v>26</v>
      </c>
      <c r="I655" s="10">
        <v>46.741</v>
      </c>
      <c r="J655" s="10">
        <v>-71.385499999999993</v>
      </c>
      <c r="K655" s="10">
        <v>46.860799999999998</v>
      </c>
      <c r="L655" s="10">
        <v>-71.217699999999994</v>
      </c>
      <c r="M655" s="10" t="str">
        <f t="shared" si="65"/>
        <v>C8</v>
      </c>
      <c r="N655" s="10" t="str">
        <f t="shared" si="66"/>
        <v>C10</v>
      </c>
      <c r="O655" s="5">
        <f t="shared" si="67"/>
        <v>18.455008645561765</v>
      </c>
      <c r="P655" s="22">
        <f>O655/Explications!$C$8</f>
        <v>0.61516695485205886</v>
      </c>
      <c r="Q655" s="7" t="str">
        <f t="shared" si="68"/>
        <v>C10</v>
      </c>
      <c r="R655" s="7" t="str">
        <f t="shared" si="69"/>
        <v>C8</v>
      </c>
      <c r="S655" s="18">
        <f t="shared" si="70"/>
        <v>18.455008645561765</v>
      </c>
      <c r="T655" s="18">
        <f>S655/Explications!$C$8</f>
        <v>0.61516695485205886</v>
      </c>
    </row>
    <row r="656" spans="7:20">
      <c r="G656" s="10" t="s">
        <v>24</v>
      </c>
      <c r="H656" s="10" t="s">
        <v>27</v>
      </c>
      <c r="I656" s="10">
        <v>46.741</v>
      </c>
      <c r="J656" s="10">
        <v>-71.385499999999993</v>
      </c>
      <c r="K656" s="10">
        <v>46.868299999999998</v>
      </c>
      <c r="L656" s="10">
        <v>-71.167000000000002</v>
      </c>
      <c r="M656" s="10" t="str">
        <f t="shared" si="65"/>
        <v>C8</v>
      </c>
      <c r="N656" s="10" t="str">
        <f t="shared" si="66"/>
        <v>C11</v>
      </c>
      <c r="O656" s="5">
        <f t="shared" si="67"/>
        <v>21.838868373338297</v>
      </c>
      <c r="P656" s="22">
        <f>O656/Explications!$C$8</f>
        <v>0.72796227911127653</v>
      </c>
      <c r="Q656" s="7" t="str">
        <f t="shared" si="68"/>
        <v>C11</v>
      </c>
      <c r="R656" s="7" t="str">
        <f t="shared" si="69"/>
        <v>C8</v>
      </c>
      <c r="S656" s="18">
        <f t="shared" si="70"/>
        <v>21.838868373338297</v>
      </c>
      <c r="T656" s="18">
        <f>S656/Explications!$C$8</f>
        <v>0.72796227911127653</v>
      </c>
    </row>
    <row r="657" spans="7:20">
      <c r="G657" s="10" t="s">
        <v>24</v>
      </c>
      <c r="H657" s="10" t="s">
        <v>28</v>
      </c>
      <c r="I657" s="10">
        <v>46.741</v>
      </c>
      <c r="J657" s="10">
        <v>-71.385499999999993</v>
      </c>
      <c r="K657" s="10">
        <v>46.895099999999999</v>
      </c>
      <c r="L657" s="10">
        <v>-71.378600000000006</v>
      </c>
      <c r="M657" s="10" t="str">
        <f t="shared" si="65"/>
        <v>C8</v>
      </c>
      <c r="N657" s="10" t="str">
        <f t="shared" si="66"/>
        <v>C12</v>
      </c>
      <c r="O657" s="5">
        <f t="shared" si="67"/>
        <v>17.143180170238782</v>
      </c>
      <c r="P657" s="22">
        <f>O657/Explications!$C$8</f>
        <v>0.5714393390079594</v>
      </c>
      <c r="Q657" s="7" t="str">
        <f t="shared" si="68"/>
        <v>C12</v>
      </c>
      <c r="R657" s="7" t="str">
        <f t="shared" si="69"/>
        <v>C8</v>
      </c>
      <c r="S657" s="18">
        <f t="shared" si="70"/>
        <v>17.143180170238782</v>
      </c>
      <c r="T657" s="18">
        <f>S657/Explications!$C$8</f>
        <v>0.5714393390079594</v>
      </c>
    </row>
    <row r="658" spans="7:20">
      <c r="G658" s="10" t="s">
        <v>24</v>
      </c>
      <c r="H658" s="10" t="s">
        <v>29</v>
      </c>
      <c r="I658" s="10">
        <v>46.741</v>
      </c>
      <c r="J658" s="10">
        <v>-71.385499999999993</v>
      </c>
      <c r="K658" s="10">
        <v>46.8033</v>
      </c>
      <c r="L658" s="10">
        <v>-71.1691</v>
      </c>
      <c r="M658" s="10" t="str">
        <f t="shared" si="65"/>
        <v>C8</v>
      </c>
      <c r="N658" s="10" t="str">
        <f t="shared" si="66"/>
        <v>C13</v>
      </c>
      <c r="O658" s="5">
        <f t="shared" si="67"/>
        <v>17.877245635296706</v>
      </c>
      <c r="P658" s="22">
        <f>O658/Explications!$C$8</f>
        <v>0.59590818784322352</v>
      </c>
      <c r="Q658" s="7" t="str">
        <f t="shared" si="68"/>
        <v>C13</v>
      </c>
      <c r="R658" s="7" t="str">
        <f t="shared" si="69"/>
        <v>C8</v>
      </c>
      <c r="S658" s="18">
        <f t="shared" si="70"/>
        <v>17.877245635296706</v>
      </c>
      <c r="T658" s="18">
        <f>S658/Explications!$C$8</f>
        <v>0.59590818784322352</v>
      </c>
    </row>
    <row r="659" spans="7:20">
      <c r="G659" s="10" t="s">
        <v>24</v>
      </c>
      <c r="H659" s="10" t="s">
        <v>30</v>
      </c>
      <c r="I659" s="10">
        <v>46.741</v>
      </c>
      <c r="J659" s="10">
        <v>-71.385499999999993</v>
      </c>
      <c r="K659" s="10">
        <v>46.8596</v>
      </c>
      <c r="L659" s="10">
        <v>-71.267200000000003</v>
      </c>
      <c r="M659" s="10" t="str">
        <f t="shared" si="65"/>
        <v>C8</v>
      </c>
      <c r="N659" s="10" t="str">
        <f t="shared" si="66"/>
        <v>C14</v>
      </c>
      <c r="O659" s="5">
        <f t="shared" si="67"/>
        <v>15.968747942463603</v>
      </c>
      <c r="P659" s="22">
        <f>O659/Explications!$C$8</f>
        <v>0.53229159808212012</v>
      </c>
      <c r="Q659" s="7" t="str">
        <f t="shared" si="68"/>
        <v>C14</v>
      </c>
      <c r="R659" s="7" t="str">
        <f t="shared" si="69"/>
        <v>C8</v>
      </c>
      <c r="S659" s="18">
        <f t="shared" si="70"/>
        <v>15.968747942463603</v>
      </c>
      <c r="T659" s="18">
        <f>S659/Explications!$C$8</f>
        <v>0.53229159808212012</v>
      </c>
    </row>
    <row r="660" spans="7:20">
      <c r="G660" s="10" t="s">
        <v>24</v>
      </c>
      <c r="H660" s="10" t="s">
        <v>31</v>
      </c>
      <c r="I660" s="10">
        <v>46.741</v>
      </c>
      <c r="J660" s="10">
        <v>-71.385499999999993</v>
      </c>
      <c r="K660" s="10">
        <v>46.813499999999998</v>
      </c>
      <c r="L660" s="10">
        <v>-71.215900000000005</v>
      </c>
      <c r="M660" s="10" t="str">
        <f t="shared" si="65"/>
        <v>C8</v>
      </c>
      <c r="N660" s="10" t="str">
        <f t="shared" si="66"/>
        <v>C15</v>
      </c>
      <c r="O660" s="5">
        <f t="shared" si="67"/>
        <v>15.224635194088403</v>
      </c>
      <c r="P660" s="22">
        <f>O660/Explications!$C$8</f>
        <v>0.50748783980294676</v>
      </c>
      <c r="Q660" s="7" t="str">
        <f t="shared" si="68"/>
        <v>C15</v>
      </c>
      <c r="R660" s="7" t="str">
        <f t="shared" si="69"/>
        <v>C8</v>
      </c>
      <c r="S660" s="18">
        <f t="shared" si="70"/>
        <v>15.224635194088403</v>
      </c>
      <c r="T660" s="18">
        <f>S660/Explications!$C$8</f>
        <v>0.50748783980294676</v>
      </c>
    </row>
    <row r="661" spans="7:20">
      <c r="G661" s="10" t="s">
        <v>24</v>
      </c>
      <c r="H661" s="10" t="s">
        <v>32</v>
      </c>
      <c r="I661" s="10">
        <v>46.741</v>
      </c>
      <c r="J661" s="10">
        <v>-71.385499999999993</v>
      </c>
      <c r="K661" s="10">
        <v>46.733699999999999</v>
      </c>
      <c r="L661" s="10">
        <v>-71.270099999999999</v>
      </c>
      <c r="M661" s="10" t="str">
        <f t="shared" si="65"/>
        <v>C8</v>
      </c>
      <c r="N661" s="10" t="str">
        <f t="shared" si="66"/>
        <v>C16</v>
      </c>
      <c r="O661" s="5">
        <f t="shared" si="67"/>
        <v>8.8316405327399075</v>
      </c>
      <c r="P661" s="22">
        <f>O661/Explications!$C$8</f>
        <v>0.29438801775799689</v>
      </c>
      <c r="Q661" s="7" t="str">
        <f t="shared" si="68"/>
        <v>C16</v>
      </c>
      <c r="R661" s="7" t="str">
        <f t="shared" si="69"/>
        <v>C8</v>
      </c>
      <c r="S661" s="18">
        <f t="shared" si="70"/>
        <v>8.8316405327399075</v>
      </c>
      <c r="T661" s="18">
        <f>S661/Explications!$C$8</f>
        <v>0.29438801775799689</v>
      </c>
    </row>
    <row r="662" spans="7:20">
      <c r="G662" s="10" t="s">
        <v>24</v>
      </c>
      <c r="H662" s="10" t="s">
        <v>33</v>
      </c>
      <c r="I662" s="10">
        <v>46.741</v>
      </c>
      <c r="J662" s="10">
        <v>-71.385499999999993</v>
      </c>
      <c r="K662" s="10">
        <v>46.8035</v>
      </c>
      <c r="L662" s="10">
        <v>-71.3553</v>
      </c>
      <c r="M662" s="10" t="str">
        <f t="shared" si="65"/>
        <v>C8</v>
      </c>
      <c r="N662" s="10" t="str">
        <f t="shared" si="66"/>
        <v>C17</v>
      </c>
      <c r="O662" s="5">
        <f t="shared" si="67"/>
        <v>7.3203741928191661</v>
      </c>
      <c r="P662" s="22">
        <f>O662/Explications!$C$8</f>
        <v>0.2440124730939722</v>
      </c>
      <c r="Q662" s="7" t="str">
        <f t="shared" si="68"/>
        <v>C17</v>
      </c>
      <c r="R662" s="7" t="str">
        <f t="shared" si="69"/>
        <v>C8</v>
      </c>
      <c r="S662" s="18">
        <f t="shared" si="70"/>
        <v>7.3203741928191661</v>
      </c>
      <c r="T662" s="18">
        <f>S662/Explications!$C$8</f>
        <v>0.2440124730939722</v>
      </c>
    </row>
    <row r="663" spans="7:20">
      <c r="G663" s="10" t="s">
        <v>24</v>
      </c>
      <c r="H663" s="10" t="s">
        <v>34</v>
      </c>
      <c r="I663" s="10">
        <v>46.741</v>
      </c>
      <c r="J663" s="10">
        <v>-71.385499999999993</v>
      </c>
      <c r="K663" s="10">
        <v>46.730200000000004</v>
      </c>
      <c r="L663" s="10">
        <v>-71.274100000000004</v>
      </c>
      <c r="M663" s="10" t="str">
        <f t="shared" si="65"/>
        <v>C8</v>
      </c>
      <c r="N663" s="10" t="str">
        <f t="shared" si="66"/>
        <v>C18</v>
      </c>
      <c r="O663" s="5">
        <f t="shared" si="67"/>
        <v>8.5742228238411844</v>
      </c>
      <c r="P663" s="22">
        <f>O663/Explications!$C$8</f>
        <v>0.28580742746137283</v>
      </c>
      <c r="Q663" s="7" t="str">
        <f t="shared" si="68"/>
        <v>C18</v>
      </c>
      <c r="R663" s="7" t="str">
        <f t="shared" si="69"/>
        <v>C8</v>
      </c>
      <c r="S663" s="18">
        <f t="shared" si="70"/>
        <v>8.5742228238411844</v>
      </c>
      <c r="T663" s="18">
        <f>S663/Explications!$C$8</f>
        <v>0.28580742746137283</v>
      </c>
    </row>
    <row r="664" spans="7:20">
      <c r="G664" s="10" t="s">
        <v>24</v>
      </c>
      <c r="H664" s="10" t="s">
        <v>35</v>
      </c>
      <c r="I664" s="10">
        <v>46.741</v>
      </c>
      <c r="J664" s="10">
        <v>-71.385499999999993</v>
      </c>
      <c r="K664" s="10">
        <v>46.785600000000002</v>
      </c>
      <c r="L664" s="10">
        <v>-71.245500000000007</v>
      </c>
      <c r="M664" s="10" t="str">
        <f t="shared" si="65"/>
        <v>C8</v>
      </c>
      <c r="N664" s="10" t="str">
        <f t="shared" si="66"/>
        <v>C19</v>
      </c>
      <c r="O664" s="5">
        <f t="shared" si="67"/>
        <v>11.760585794788785</v>
      </c>
      <c r="P664" s="22">
        <f>O664/Explications!$C$8</f>
        <v>0.39201952649295951</v>
      </c>
      <c r="Q664" s="7" t="str">
        <f t="shared" si="68"/>
        <v>C19</v>
      </c>
      <c r="R664" s="7" t="str">
        <f t="shared" si="69"/>
        <v>C8</v>
      </c>
      <c r="S664" s="18">
        <f t="shared" si="70"/>
        <v>11.760585794788785</v>
      </c>
      <c r="T664" s="18">
        <f>S664/Explications!$C$8</f>
        <v>0.39201952649295951</v>
      </c>
    </row>
    <row r="665" spans="7:20">
      <c r="G665" s="10" t="s">
        <v>24</v>
      </c>
      <c r="H665" s="10" t="s">
        <v>36</v>
      </c>
      <c r="I665" s="10">
        <v>46.741</v>
      </c>
      <c r="J665" s="10">
        <v>-71.385499999999993</v>
      </c>
      <c r="K665" s="10">
        <v>46.8215</v>
      </c>
      <c r="L665" s="10">
        <v>-71.355400000000003</v>
      </c>
      <c r="M665" s="10" t="str">
        <f t="shared" si="65"/>
        <v>C8</v>
      </c>
      <c r="N665" s="10" t="str">
        <f t="shared" si="66"/>
        <v>C20</v>
      </c>
      <c r="O665" s="5">
        <f t="shared" si="67"/>
        <v>9.2399613210366596</v>
      </c>
      <c r="P665" s="22">
        <f>O665/Explications!$C$8</f>
        <v>0.30799871070122198</v>
      </c>
      <c r="Q665" s="7" t="str">
        <f t="shared" si="68"/>
        <v>C20</v>
      </c>
      <c r="R665" s="7" t="str">
        <f t="shared" si="69"/>
        <v>C8</v>
      </c>
      <c r="S665" s="18">
        <f t="shared" si="70"/>
        <v>9.2399613210366596</v>
      </c>
      <c r="T665" s="18">
        <f>S665/Explications!$C$8</f>
        <v>0.30799871070122198</v>
      </c>
    </row>
    <row r="666" spans="7:20">
      <c r="G666" s="10" t="s">
        <v>24</v>
      </c>
      <c r="H666" s="10" t="s">
        <v>37</v>
      </c>
      <c r="I666" s="10">
        <v>46.741</v>
      </c>
      <c r="J666" s="10">
        <v>-71.385499999999993</v>
      </c>
      <c r="K666" s="10">
        <v>46.8093</v>
      </c>
      <c r="L666" s="10">
        <v>-71.2273</v>
      </c>
      <c r="M666" s="10" t="str">
        <f t="shared" si="65"/>
        <v>C8</v>
      </c>
      <c r="N666" s="10" t="str">
        <f t="shared" si="66"/>
        <v>C21</v>
      </c>
      <c r="O666" s="5">
        <f t="shared" si="67"/>
        <v>14.241460027864996</v>
      </c>
      <c r="P666" s="22">
        <f>O666/Explications!$C$8</f>
        <v>0.4747153342621665</v>
      </c>
      <c r="Q666" s="7" t="str">
        <f t="shared" si="68"/>
        <v>C21</v>
      </c>
      <c r="R666" s="7" t="str">
        <f t="shared" si="69"/>
        <v>C8</v>
      </c>
      <c r="S666" s="18">
        <f t="shared" si="70"/>
        <v>14.241460027864996</v>
      </c>
      <c r="T666" s="18">
        <f>S666/Explications!$C$8</f>
        <v>0.4747153342621665</v>
      </c>
    </row>
    <row r="667" spans="7:20">
      <c r="G667" s="10" t="s">
        <v>24</v>
      </c>
      <c r="H667" s="10" t="s">
        <v>38</v>
      </c>
      <c r="I667" s="10">
        <v>46.741</v>
      </c>
      <c r="J667" s="10">
        <v>-71.385499999999993</v>
      </c>
      <c r="K667" s="10">
        <v>46.781300000000002</v>
      </c>
      <c r="L667" s="10">
        <v>-71.301000000000002</v>
      </c>
      <c r="M667" s="10" t="str">
        <f t="shared" si="65"/>
        <v>C8</v>
      </c>
      <c r="N667" s="10" t="str">
        <f t="shared" si="66"/>
        <v>C22</v>
      </c>
      <c r="O667" s="5">
        <f t="shared" si="67"/>
        <v>7.842889808149855</v>
      </c>
      <c r="P667" s="22">
        <f>O667/Explications!$C$8</f>
        <v>0.26142966027166181</v>
      </c>
      <c r="Q667" s="7" t="str">
        <f t="shared" si="68"/>
        <v>C22</v>
      </c>
      <c r="R667" s="7" t="str">
        <f t="shared" si="69"/>
        <v>C8</v>
      </c>
      <c r="S667" s="18">
        <f t="shared" si="70"/>
        <v>7.842889808149855</v>
      </c>
      <c r="T667" s="18">
        <f>S667/Explications!$C$8</f>
        <v>0.26142966027166181</v>
      </c>
    </row>
    <row r="668" spans="7:20">
      <c r="G668" s="10" t="s">
        <v>24</v>
      </c>
      <c r="H668" s="10" t="s">
        <v>39</v>
      </c>
      <c r="I668" s="10">
        <v>46.741</v>
      </c>
      <c r="J668" s="10">
        <v>-71.385499999999993</v>
      </c>
      <c r="K668" s="10">
        <v>46.844900000000003</v>
      </c>
      <c r="L668" s="10">
        <v>-71.251400000000004</v>
      </c>
      <c r="M668" s="10" t="str">
        <f t="shared" si="65"/>
        <v>C8</v>
      </c>
      <c r="N668" s="10" t="str">
        <f t="shared" si="66"/>
        <v>C23</v>
      </c>
      <c r="O668" s="5">
        <f t="shared" si="67"/>
        <v>15.417342452332122</v>
      </c>
      <c r="P668" s="22">
        <f>O668/Explications!$C$8</f>
        <v>0.51391141507773741</v>
      </c>
      <c r="Q668" s="7" t="str">
        <f t="shared" si="68"/>
        <v>C23</v>
      </c>
      <c r="R668" s="7" t="str">
        <f t="shared" si="69"/>
        <v>C8</v>
      </c>
      <c r="S668" s="18">
        <f t="shared" si="70"/>
        <v>15.417342452332122</v>
      </c>
      <c r="T668" s="18">
        <f>S668/Explications!$C$8</f>
        <v>0.51391141507773741</v>
      </c>
    </row>
    <row r="669" spans="7:20">
      <c r="G669" s="10" t="s">
        <v>24</v>
      </c>
      <c r="H669" s="10" t="s">
        <v>40</v>
      </c>
      <c r="I669" s="10">
        <v>46.741</v>
      </c>
      <c r="J669" s="10">
        <v>-71.385499999999993</v>
      </c>
      <c r="K669" s="10">
        <v>46.805500000000002</v>
      </c>
      <c r="L669" s="10">
        <v>-71.2196</v>
      </c>
      <c r="M669" s="10" t="str">
        <f t="shared" si="65"/>
        <v>C8</v>
      </c>
      <c r="N669" s="10" t="str">
        <f t="shared" si="66"/>
        <v>C24</v>
      </c>
      <c r="O669" s="5">
        <f t="shared" si="67"/>
        <v>14.528025979772583</v>
      </c>
      <c r="P669" s="22">
        <f>O669/Explications!$C$8</f>
        <v>0.48426753265908606</v>
      </c>
      <c r="Q669" s="7" t="str">
        <f t="shared" si="68"/>
        <v>C24</v>
      </c>
      <c r="R669" s="7" t="str">
        <f t="shared" si="69"/>
        <v>C8</v>
      </c>
      <c r="S669" s="18">
        <f t="shared" si="70"/>
        <v>14.528025979772583</v>
      </c>
      <c r="T669" s="18">
        <f>S669/Explications!$C$8</f>
        <v>0.48426753265908606</v>
      </c>
    </row>
    <row r="670" spans="7:20">
      <c r="G670" s="10" t="s">
        <v>24</v>
      </c>
      <c r="H670" s="10" t="s">
        <v>41</v>
      </c>
      <c r="I670" s="10">
        <v>46.741</v>
      </c>
      <c r="J670" s="10">
        <v>-71.385499999999993</v>
      </c>
      <c r="K670" s="10">
        <v>46.734900000000003</v>
      </c>
      <c r="L670" s="10">
        <v>-71.266199999999998</v>
      </c>
      <c r="M670" s="10" t="str">
        <f t="shared" si="65"/>
        <v>C8</v>
      </c>
      <c r="N670" s="10" t="str">
        <f t="shared" si="66"/>
        <v>C25</v>
      </c>
      <c r="O670" s="5">
        <f t="shared" si="67"/>
        <v>9.1166312716339846</v>
      </c>
      <c r="P670" s="22">
        <f>O670/Explications!$C$8</f>
        <v>0.30388770905446616</v>
      </c>
      <c r="Q670" s="7" t="str">
        <f t="shared" si="68"/>
        <v>C25</v>
      </c>
      <c r="R670" s="7" t="str">
        <f t="shared" si="69"/>
        <v>C8</v>
      </c>
      <c r="S670" s="18">
        <f t="shared" si="70"/>
        <v>9.1166312716339846</v>
      </c>
      <c r="T670" s="18">
        <f>S670/Explications!$C$8</f>
        <v>0.30388770905446616</v>
      </c>
    </row>
    <row r="671" spans="7:20">
      <c r="G671" s="10" t="s">
        <v>24</v>
      </c>
      <c r="H671" s="10" t="s">
        <v>42</v>
      </c>
      <c r="I671" s="10">
        <v>46.741</v>
      </c>
      <c r="J671" s="10">
        <v>-71.385499999999993</v>
      </c>
      <c r="K671" s="10">
        <v>46.817700000000002</v>
      </c>
      <c r="L671" s="10">
        <v>-71.214100000000002</v>
      </c>
      <c r="M671" s="10" t="str">
        <f t="shared" si="65"/>
        <v>C8</v>
      </c>
      <c r="N671" s="10" t="str">
        <f t="shared" si="66"/>
        <v>C26</v>
      </c>
      <c r="O671" s="5">
        <f t="shared" si="67"/>
        <v>15.591136391516828</v>
      </c>
      <c r="P671" s="22">
        <f>O671/Explications!$C$8</f>
        <v>0.51970454638389429</v>
      </c>
      <c r="Q671" s="7" t="str">
        <f t="shared" si="68"/>
        <v>C26</v>
      </c>
      <c r="R671" s="7" t="str">
        <f t="shared" si="69"/>
        <v>C8</v>
      </c>
      <c r="S671" s="18">
        <f t="shared" si="70"/>
        <v>15.591136391516828</v>
      </c>
      <c r="T671" s="18">
        <f>S671/Explications!$C$8</f>
        <v>0.51970454638389429</v>
      </c>
    </row>
    <row r="672" spans="7:20">
      <c r="G672" s="10" t="s">
        <v>24</v>
      </c>
      <c r="H672" s="10" t="s">
        <v>43</v>
      </c>
      <c r="I672" s="10">
        <v>46.741</v>
      </c>
      <c r="J672" s="10">
        <v>-71.385499999999993</v>
      </c>
      <c r="K672" s="10">
        <v>46.603000000000002</v>
      </c>
      <c r="L672" s="10">
        <v>-71.490600000000001</v>
      </c>
      <c r="M672" s="10" t="str">
        <f t="shared" si="65"/>
        <v>C8</v>
      </c>
      <c r="N672" s="10" t="str">
        <f t="shared" si="66"/>
        <v>C27</v>
      </c>
      <c r="O672" s="5">
        <f t="shared" si="67"/>
        <v>17.313886552548787</v>
      </c>
      <c r="P672" s="22">
        <f>O672/Explications!$C$8</f>
        <v>0.57712955175162628</v>
      </c>
      <c r="Q672" s="7" t="str">
        <f t="shared" si="68"/>
        <v>C27</v>
      </c>
      <c r="R672" s="7" t="str">
        <f t="shared" si="69"/>
        <v>C8</v>
      </c>
      <c r="S672" s="18">
        <f t="shared" si="70"/>
        <v>17.313886552548787</v>
      </c>
      <c r="T672" s="18">
        <f>S672/Explications!$C$8</f>
        <v>0.57712955175162628</v>
      </c>
    </row>
    <row r="673" spans="7:20">
      <c r="G673" s="10" t="s">
        <v>24</v>
      </c>
      <c r="H673" s="10" t="s">
        <v>44</v>
      </c>
      <c r="I673" s="10">
        <v>46.741</v>
      </c>
      <c r="J673" s="10">
        <v>-71.385499999999993</v>
      </c>
      <c r="K673" s="10">
        <v>47.000500000000002</v>
      </c>
      <c r="L673" s="10">
        <v>-71.388400000000004</v>
      </c>
      <c r="M673" s="10" t="str">
        <f t="shared" si="65"/>
        <v>C8</v>
      </c>
      <c r="N673" s="10" t="str">
        <f t="shared" si="66"/>
        <v>C28</v>
      </c>
      <c r="O673" s="5">
        <f t="shared" si="67"/>
        <v>28.855925570952838</v>
      </c>
      <c r="P673" s="22">
        <f>O673/Explications!$C$8</f>
        <v>0.96186418569842791</v>
      </c>
      <c r="Q673" s="7" t="str">
        <f t="shared" si="68"/>
        <v>C28</v>
      </c>
      <c r="R673" s="7" t="str">
        <f t="shared" si="69"/>
        <v>C8</v>
      </c>
      <c r="S673" s="18">
        <f t="shared" si="70"/>
        <v>28.855925570952838</v>
      </c>
      <c r="T673" s="18">
        <f>S673/Explications!$C$8</f>
        <v>0.96186418569842791</v>
      </c>
    </row>
    <row r="674" spans="7:20">
      <c r="G674" s="10" t="s">
        <v>24</v>
      </c>
      <c r="H674" s="10" t="s">
        <v>45</v>
      </c>
      <c r="I674" s="10">
        <v>46.741</v>
      </c>
      <c r="J674" s="10">
        <v>-71.385499999999993</v>
      </c>
      <c r="K674" s="10">
        <v>46.839100000000002</v>
      </c>
      <c r="L674" s="10">
        <v>-71.245699999999999</v>
      </c>
      <c r="M674" s="10" t="str">
        <f t="shared" si="65"/>
        <v>C8</v>
      </c>
      <c r="N674" s="10" t="str">
        <f t="shared" si="66"/>
        <v>C29</v>
      </c>
      <c r="O674" s="5">
        <f t="shared" si="67"/>
        <v>15.240364998909858</v>
      </c>
      <c r="P674" s="22">
        <f>O674/Explications!$C$8</f>
        <v>0.50801216663032855</v>
      </c>
      <c r="Q674" s="7" t="str">
        <f t="shared" si="68"/>
        <v>C29</v>
      </c>
      <c r="R674" s="7" t="str">
        <f t="shared" si="69"/>
        <v>C8</v>
      </c>
      <c r="S674" s="18">
        <f t="shared" si="70"/>
        <v>15.240364998909858</v>
      </c>
      <c r="T674" s="18">
        <f>S674/Explications!$C$8</f>
        <v>0.50801216663032855</v>
      </c>
    </row>
    <row r="675" spans="7:20">
      <c r="G675" s="10" t="s">
        <v>24</v>
      </c>
      <c r="H675" s="10" t="s">
        <v>46</v>
      </c>
      <c r="I675" s="10">
        <v>46.741</v>
      </c>
      <c r="J675" s="10">
        <v>-71.385499999999993</v>
      </c>
      <c r="K675" s="10">
        <v>46.865699999999997</v>
      </c>
      <c r="L675" s="10">
        <v>-71.27</v>
      </c>
      <c r="M675" s="10" t="str">
        <f t="shared" si="65"/>
        <v>C8</v>
      </c>
      <c r="N675" s="10" t="str">
        <f t="shared" si="66"/>
        <v>C30</v>
      </c>
      <c r="O675" s="5">
        <f t="shared" si="67"/>
        <v>16.41796159101855</v>
      </c>
      <c r="P675" s="22">
        <f>O675/Explications!$C$8</f>
        <v>0.54726538636728495</v>
      </c>
      <c r="Q675" s="7" t="str">
        <f t="shared" si="68"/>
        <v>C30</v>
      </c>
      <c r="R675" s="7" t="str">
        <f t="shared" si="69"/>
        <v>C8</v>
      </c>
      <c r="S675" s="18">
        <f t="shared" si="70"/>
        <v>16.41796159101855</v>
      </c>
      <c r="T675" s="18">
        <f>S675/Explications!$C$8</f>
        <v>0.54726538636728495</v>
      </c>
    </row>
    <row r="676" spans="7:20">
      <c r="G676" s="10" t="s">
        <v>24</v>
      </c>
      <c r="H676" s="10" t="s">
        <v>47</v>
      </c>
      <c r="I676" s="10">
        <v>46.741</v>
      </c>
      <c r="J676" s="10">
        <v>-71.385499999999993</v>
      </c>
      <c r="K676" s="10">
        <v>46.805500000000002</v>
      </c>
      <c r="L676" s="10">
        <v>-71.217299999999994</v>
      </c>
      <c r="M676" s="10" t="str">
        <f t="shared" si="65"/>
        <v>C8</v>
      </c>
      <c r="N676" s="10" t="str">
        <f t="shared" si="66"/>
        <v>C31</v>
      </c>
      <c r="O676" s="5">
        <f t="shared" si="67"/>
        <v>14.680607103350948</v>
      </c>
      <c r="P676" s="22">
        <f>O676/Explications!$C$8</f>
        <v>0.48935357011169828</v>
      </c>
      <c r="Q676" s="7" t="str">
        <f t="shared" si="68"/>
        <v>C31</v>
      </c>
      <c r="R676" s="7" t="str">
        <f t="shared" si="69"/>
        <v>C8</v>
      </c>
      <c r="S676" s="18">
        <f t="shared" si="70"/>
        <v>14.680607103350948</v>
      </c>
      <c r="T676" s="18">
        <f>S676/Explications!$C$8</f>
        <v>0.48935357011169828</v>
      </c>
    </row>
    <row r="677" spans="7:20">
      <c r="G677" s="10" t="s">
        <v>24</v>
      </c>
      <c r="H677" s="10" t="s">
        <v>48</v>
      </c>
      <c r="I677" s="10">
        <v>46.741</v>
      </c>
      <c r="J677" s="10">
        <v>-71.385499999999993</v>
      </c>
      <c r="K677" s="10">
        <v>46.792299999999997</v>
      </c>
      <c r="L677" s="10">
        <v>-71.172899999999998</v>
      </c>
      <c r="M677" s="10" t="str">
        <f t="shared" si="65"/>
        <v>C8</v>
      </c>
      <c r="N677" s="10" t="str">
        <f t="shared" si="66"/>
        <v>C32</v>
      </c>
      <c r="O677" s="5">
        <f t="shared" si="67"/>
        <v>17.168108427449042</v>
      </c>
      <c r="P677" s="22">
        <f>O677/Explications!$C$8</f>
        <v>0.57227028091496801</v>
      </c>
      <c r="Q677" s="7" t="str">
        <f t="shared" si="68"/>
        <v>C32</v>
      </c>
      <c r="R677" s="7" t="str">
        <f t="shared" si="69"/>
        <v>C8</v>
      </c>
      <c r="S677" s="18">
        <f t="shared" si="70"/>
        <v>17.168108427449042</v>
      </c>
      <c r="T677" s="18">
        <f>S677/Explications!$C$8</f>
        <v>0.57227028091496801</v>
      </c>
    </row>
    <row r="678" spans="7:20">
      <c r="G678" s="10" t="s">
        <v>24</v>
      </c>
      <c r="H678" s="10" t="s">
        <v>49</v>
      </c>
      <c r="I678" s="10">
        <v>46.741</v>
      </c>
      <c r="J678" s="10">
        <v>-71.385499999999993</v>
      </c>
      <c r="K678" s="10">
        <v>46.7883</v>
      </c>
      <c r="L678" s="10">
        <v>-71.131200000000007</v>
      </c>
      <c r="M678" s="10" t="str">
        <f t="shared" si="65"/>
        <v>C8</v>
      </c>
      <c r="N678" s="10" t="str">
        <f t="shared" si="66"/>
        <v>C33</v>
      </c>
      <c r="O678" s="5">
        <f t="shared" si="67"/>
        <v>20.07092713784796</v>
      </c>
      <c r="P678" s="22">
        <f>O678/Explications!$C$8</f>
        <v>0.66903090459493197</v>
      </c>
      <c r="Q678" s="7" t="str">
        <f t="shared" si="68"/>
        <v>C33</v>
      </c>
      <c r="R678" s="7" t="str">
        <f t="shared" si="69"/>
        <v>C8</v>
      </c>
      <c r="S678" s="18">
        <f t="shared" si="70"/>
        <v>20.07092713784796</v>
      </c>
      <c r="T678" s="18">
        <f>S678/Explications!$C$8</f>
        <v>0.66903090459493197</v>
      </c>
    </row>
    <row r="679" spans="7:20">
      <c r="G679" s="10" t="s">
        <v>24</v>
      </c>
      <c r="H679" s="10" t="s">
        <v>50</v>
      </c>
      <c r="I679" s="10">
        <v>46.741</v>
      </c>
      <c r="J679" s="10">
        <v>-71.385499999999993</v>
      </c>
      <c r="K679" s="10">
        <v>46.8611</v>
      </c>
      <c r="L679" s="10">
        <v>-71.268799999999999</v>
      </c>
      <c r="M679" s="10" t="str">
        <f t="shared" si="65"/>
        <v>C8</v>
      </c>
      <c r="N679" s="10" t="str">
        <f t="shared" si="66"/>
        <v>C34</v>
      </c>
      <c r="O679" s="5">
        <f t="shared" si="67"/>
        <v>16.038929003158955</v>
      </c>
      <c r="P679" s="22">
        <f>O679/Explications!$C$8</f>
        <v>0.5346309667719652</v>
      </c>
      <c r="Q679" s="7" t="str">
        <f t="shared" si="68"/>
        <v>C34</v>
      </c>
      <c r="R679" s="7" t="str">
        <f t="shared" si="69"/>
        <v>C8</v>
      </c>
      <c r="S679" s="18">
        <f t="shared" si="70"/>
        <v>16.038929003158955</v>
      </c>
      <c r="T679" s="18">
        <f>S679/Explications!$C$8</f>
        <v>0.5346309667719652</v>
      </c>
    </row>
    <row r="680" spans="7:20">
      <c r="G680" s="10" t="s">
        <v>24</v>
      </c>
      <c r="H680" s="10" t="s">
        <v>51</v>
      </c>
      <c r="I680" s="10">
        <v>46.741</v>
      </c>
      <c r="J680" s="10">
        <v>-71.385499999999993</v>
      </c>
      <c r="K680" s="10">
        <v>46.869700000000002</v>
      </c>
      <c r="L680" s="10">
        <v>-71.205200000000005</v>
      </c>
      <c r="M680" s="10" t="str">
        <f t="shared" si="65"/>
        <v>C8</v>
      </c>
      <c r="N680" s="10" t="str">
        <f t="shared" si="66"/>
        <v>C35</v>
      </c>
      <c r="O680" s="5">
        <f t="shared" si="67"/>
        <v>19.827047217798849</v>
      </c>
      <c r="P680" s="22">
        <f>O680/Explications!$C$8</f>
        <v>0.66090157392662829</v>
      </c>
      <c r="Q680" s="7" t="str">
        <f t="shared" si="68"/>
        <v>C35</v>
      </c>
      <c r="R680" s="7" t="str">
        <f t="shared" si="69"/>
        <v>C8</v>
      </c>
      <c r="S680" s="18">
        <f t="shared" si="70"/>
        <v>19.827047217798849</v>
      </c>
      <c r="T680" s="18">
        <f>S680/Explications!$C$8</f>
        <v>0.66090157392662829</v>
      </c>
    </row>
    <row r="681" spans="7:20">
      <c r="G681" s="10" t="s">
        <v>24</v>
      </c>
      <c r="H681" s="10" t="s">
        <v>52</v>
      </c>
      <c r="I681" s="10">
        <v>46.741</v>
      </c>
      <c r="J681" s="10">
        <v>-71.385499999999993</v>
      </c>
      <c r="K681" s="10">
        <v>46.774099999999997</v>
      </c>
      <c r="L681" s="10">
        <v>-71.174000000000007</v>
      </c>
      <c r="M681" s="10" t="str">
        <f t="shared" si="65"/>
        <v>C8</v>
      </c>
      <c r="N681" s="10" t="str">
        <f t="shared" si="66"/>
        <v>C36</v>
      </c>
      <c r="O681" s="5">
        <f t="shared" si="67"/>
        <v>16.526729945404362</v>
      </c>
      <c r="P681" s="22">
        <f>O681/Explications!$C$8</f>
        <v>0.55089099818014542</v>
      </c>
      <c r="Q681" s="7" t="str">
        <f t="shared" si="68"/>
        <v>C36</v>
      </c>
      <c r="R681" s="7" t="str">
        <f t="shared" si="69"/>
        <v>C8</v>
      </c>
      <c r="S681" s="18">
        <f t="shared" si="70"/>
        <v>16.526729945404362</v>
      </c>
      <c r="T681" s="18">
        <f>S681/Explications!$C$8</f>
        <v>0.55089099818014542</v>
      </c>
    </row>
    <row r="682" spans="7:20">
      <c r="G682" s="10" t="s">
        <v>24</v>
      </c>
      <c r="H682" s="10" t="s">
        <v>53</v>
      </c>
      <c r="I682" s="10">
        <v>46.741</v>
      </c>
      <c r="J682" s="10">
        <v>-71.385499999999993</v>
      </c>
      <c r="K682" s="10">
        <v>46.808500000000002</v>
      </c>
      <c r="L682" s="10">
        <v>-71.326599999999999</v>
      </c>
      <c r="M682" s="10" t="str">
        <f t="shared" si="65"/>
        <v>C8</v>
      </c>
      <c r="N682" s="10" t="str">
        <f t="shared" si="66"/>
        <v>C37</v>
      </c>
      <c r="O682" s="5">
        <f t="shared" si="67"/>
        <v>8.7438130664621223</v>
      </c>
      <c r="P682" s="22">
        <f>O682/Explications!$C$8</f>
        <v>0.29146043554873741</v>
      </c>
      <c r="Q682" s="7" t="str">
        <f t="shared" si="68"/>
        <v>C37</v>
      </c>
      <c r="R682" s="7" t="str">
        <f t="shared" si="69"/>
        <v>C8</v>
      </c>
      <c r="S682" s="18">
        <f t="shared" si="70"/>
        <v>8.7438130664621223</v>
      </c>
      <c r="T682" s="18">
        <f>S682/Explications!$C$8</f>
        <v>0.29146043554873741</v>
      </c>
    </row>
    <row r="683" spans="7:20">
      <c r="G683" s="10" t="s">
        <v>24</v>
      </c>
      <c r="H683" s="10" t="s">
        <v>54</v>
      </c>
      <c r="I683" s="10">
        <v>46.741</v>
      </c>
      <c r="J683" s="10">
        <v>-71.385499999999993</v>
      </c>
      <c r="K683" s="10">
        <v>46.797499999999999</v>
      </c>
      <c r="L683" s="10">
        <v>-71.306100000000001</v>
      </c>
      <c r="M683" s="10" t="str">
        <f t="shared" si="65"/>
        <v>C8</v>
      </c>
      <c r="N683" s="10" t="str">
        <f t="shared" si="66"/>
        <v>C38</v>
      </c>
      <c r="O683" s="5">
        <f t="shared" si="67"/>
        <v>8.7200353149999472</v>
      </c>
      <c r="P683" s="22">
        <f>O683/Explications!$C$8</f>
        <v>0.29066784383333155</v>
      </c>
      <c r="Q683" s="7" t="str">
        <f t="shared" si="68"/>
        <v>C38</v>
      </c>
      <c r="R683" s="7" t="str">
        <f t="shared" si="69"/>
        <v>C8</v>
      </c>
      <c r="S683" s="18">
        <f t="shared" si="70"/>
        <v>8.7200353149999472</v>
      </c>
      <c r="T683" s="18">
        <f>S683/Explications!$C$8</f>
        <v>0.29066784383333155</v>
      </c>
    </row>
    <row r="684" spans="7:20">
      <c r="G684" s="10" t="s">
        <v>24</v>
      </c>
      <c r="H684" s="10" t="s">
        <v>55</v>
      </c>
      <c r="I684" s="10">
        <v>46.741</v>
      </c>
      <c r="J684" s="10">
        <v>-71.385499999999993</v>
      </c>
      <c r="K684" s="10">
        <v>46.8155</v>
      </c>
      <c r="L684" s="10">
        <v>-71.268199999999993</v>
      </c>
      <c r="M684" s="10" t="str">
        <f t="shared" si="65"/>
        <v>C8</v>
      </c>
      <c r="N684" s="10" t="str">
        <f t="shared" si="66"/>
        <v>C39</v>
      </c>
      <c r="O684" s="5">
        <f t="shared" si="67"/>
        <v>12.182380513561791</v>
      </c>
      <c r="P684" s="22">
        <f>O684/Explications!$C$8</f>
        <v>0.40607935045205967</v>
      </c>
      <c r="Q684" s="7" t="str">
        <f t="shared" si="68"/>
        <v>C39</v>
      </c>
      <c r="R684" s="7" t="str">
        <f t="shared" si="69"/>
        <v>C8</v>
      </c>
      <c r="S684" s="18">
        <f t="shared" si="70"/>
        <v>12.182380513561791</v>
      </c>
      <c r="T684" s="18">
        <f>S684/Explications!$C$8</f>
        <v>0.40607935045205967</v>
      </c>
    </row>
    <row r="685" spans="7:20">
      <c r="G685" s="10" t="s">
        <v>24</v>
      </c>
      <c r="H685" s="10" t="s">
        <v>56</v>
      </c>
      <c r="I685" s="10">
        <v>46.741</v>
      </c>
      <c r="J685" s="10">
        <v>-71.385499999999993</v>
      </c>
      <c r="K685" s="10">
        <v>46.866700000000002</v>
      </c>
      <c r="L685" s="10">
        <v>-71.215900000000005</v>
      </c>
      <c r="M685" s="10" t="str">
        <f t="shared" si="65"/>
        <v>C8</v>
      </c>
      <c r="N685" s="10" t="str">
        <f t="shared" si="66"/>
        <v>C40</v>
      </c>
      <c r="O685" s="5">
        <f t="shared" si="67"/>
        <v>19.02621350006758</v>
      </c>
      <c r="P685" s="22">
        <f>O685/Explications!$C$8</f>
        <v>0.63420711666891938</v>
      </c>
      <c r="Q685" s="7" t="str">
        <f t="shared" si="68"/>
        <v>C40</v>
      </c>
      <c r="R685" s="7" t="str">
        <f t="shared" si="69"/>
        <v>C8</v>
      </c>
      <c r="S685" s="18">
        <f t="shared" si="70"/>
        <v>19.02621350006758</v>
      </c>
      <c r="T685" s="18">
        <f>S685/Explications!$C$8</f>
        <v>0.63420711666891938</v>
      </c>
    </row>
    <row r="686" spans="7:20">
      <c r="G686" s="10" t="s">
        <v>24</v>
      </c>
      <c r="H686" s="10" t="s">
        <v>57</v>
      </c>
      <c r="I686" s="10">
        <v>46.741</v>
      </c>
      <c r="J686" s="10">
        <v>-71.385499999999993</v>
      </c>
      <c r="K686" s="10">
        <v>46.762099999999997</v>
      </c>
      <c r="L686" s="10">
        <v>-71.235399999999998</v>
      </c>
      <c r="M686" s="10" t="str">
        <f t="shared" si="65"/>
        <v>C8</v>
      </c>
      <c r="N686" s="10" t="str">
        <f t="shared" si="66"/>
        <v>C41</v>
      </c>
      <c r="O686" s="5">
        <f t="shared" si="67"/>
        <v>11.673820863939039</v>
      </c>
      <c r="P686" s="22">
        <f>O686/Explications!$C$8</f>
        <v>0.38912736213130128</v>
      </c>
      <c r="Q686" s="7" t="str">
        <f t="shared" si="68"/>
        <v>C41</v>
      </c>
      <c r="R686" s="7" t="str">
        <f t="shared" si="69"/>
        <v>C8</v>
      </c>
      <c r="S686" s="18">
        <f t="shared" si="70"/>
        <v>11.673820863939039</v>
      </c>
      <c r="T686" s="18">
        <f>S686/Explications!$C$8</f>
        <v>0.38912736213130128</v>
      </c>
    </row>
    <row r="687" spans="7:20">
      <c r="G687" s="10" t="s">
        <v>24</v>
      </c>
      <c r="H687" s="10" t="s">
        <v>58</v>
      </c>
      <c r="I687" s="10">
        <v>46.741</v>
      </c>
      <c r="J687" s="10">
        <v>-71.385499999999993</v>
      </c>
      <c r="K687" s="10">
        <v>46.8157</v>
      </c>
      <c r="L687" s="10">
        <v>-71.2042</v>
      </c>
      <c r="M687" s="10" t="str">
        <f t="shared" si="65"/>
        <v>C8</v>
      </c>
      <c r="N687" s="10" t="str">
        <f t="shared" si="66"/>
        <v>C42</v>
      </c>
      <c r="O687" s="5">
        <f t="shared" si="67"/>
        <v>16.111896297085412</v>
      </c>
      <c r="P687" s="22">
        <f>O687/Explications!$C$8</f>
        <v>0.53706320990284706</v>
      </c>
      <c r="Q687" s="7" t="str">
        <f t="shared" si="68"/>
        <v>C42</v>
      </c>
      <c r="R687" s="7" t="str">
        <f t="shared" si="69"/>
        <v>C8</v>
      </c>
      <c r="S687" s="18">
        <f t="shared" si="70"/>
        <v>16.111896297085412</v>
      </c>
      <c r="T687" s="18">
        <f>S687/Explications!$C$8</f>
        <v>0.53706320990284706</v>
      </c>
    </row>
    <row r="688" spans="7:20">
      <c r="G688" s="10" t="s">
        <v>24</v>
      </c>
      <c r="H688" s="10" t="s">
        <v>59</v>
      </c>
      <c r="I688" s="10">
        <v>46.741</v>
      </c>
      <c r="J688" s="10">
        <v>-71.385499999999993</v>
      </c>
      <c r="K688" s="10">
        <v>46.707000000000001</v>
      </c>
      <c r="L688" s="10">
        <v>-71.217100000000002</v>
      </c>
      <c r="M688" s="10" t="str">
        <f t="shared" si="65"/>
        <v>C8</v>
      </c>
      <c r="N688" s="10" t="str">
        <f t="shared" si="66"/>
        <v>C43</v>
      </c>
      <c r="O688" s="5">
        <f t="shared" si="67"/>
        <v>13.381557055389514</v>
      </c>
      <c r="P688" s="22">
        <f>O688/Explications!$C$8</f>
        <v>0.44605190184631716</v>
      </c>
      <c r="Q688" s="7" t="str">
        <f t="shared" si="68"/>
        <v>C43</v>
      </c>
      <c r="R688" s="7" t="str">
        <f t="shared" si="69"/>
        <v>C8</v>
      </c>
      <c r="S688" s="18">
        <f t="shared" si="70"/>
        <v>13.381557055389514</v>
      </c>
      <c r="T688" s="18">
        <f>S688/Explications!$C$8</f>
        <v>0.44605190184631716</v>
      </c>
    </row>
    <row r="689" spans="7:20">
      <c r="G689" s="10" t="s">
        <v>24</v>
      </c>
      <c r="H689" s="10" t="s">
        <v>60</v>
      </c>
      <c r="I689" s="10">
        <v>46.741</v>
      </c>
      <c r="J689" s="10">
        <v>-71.385499999999993</v>
      </c>
      <c r="K689" s="10">
        <v>46.802900000000001</v>
      </c>
      <c r="L689" s="10">
        <v>-71.228899999999996</v>
      </c>
      <c r="M689" s="10" t="str">
        <f t="shared" si="65"/>
        <v>C8</v>
      </c>
      <c r="N689" s="10" t="str">
        <f t="shared" si="66"/>
        <v>C44</v>
      </c>
      <c r="O689" s="5">
        <f t="shared" si="67"/>
        <v>13.769973275932005</v>
      </c>
      <c r="P689" s="22">
        <f>O689/Explications!$C$8</f>
        <v>0.45899910919773351</v>
      </c>
      <c r="Q689" s="7" t="str">
        <f t="shared" si="68"/>
        <v>C44</v>
      </c>
      <c r="R689" s="7" t="str">
        <f t="shared" si="69"/>
        <v>C8</v>
      </c>
      <c r="S689" s="18">
        <f t="shared" si="70"/>
        <v>13.769973275932005</v>
      </c>
      <c r="T689" s="18">
        <f>S689/Explications!$C$8</f>
        <v>0.45899910919773351</v>
      </c>
    </row>
    <row r="690" spans="7:20">
      <c r="G690" s="10" t="s">
        <v>24</v>
      </c>
      <c r="H690" s="10" t="s">
        <v>61</v>
      </c>
      <c r="I690" s="10">
        <v>46.741</v>
      </c>
      <c r="J690" s="10">
        <v>-71.385499999999993</v>
      </c>
      <c r="K690" s="10">
        <v>46.796900000000001</v>
      </c>
      <c r="L690" s="10">
        <v>-71.3078</v>
      </c>
      <c r="M690" s="10" t="str">
        <f t="shared" si="65"/>
        <v>C8</v>
      </c>
      <c r="N690" s="10" t="str">
        <f t="shared" si="66"/>
        <v>C45</v>
      </c>
      <c r="O690" s="5">
        <f t="shared" si="67"/>
        <v>8.5823302306212756</v>
      </c>
      <c r="P690" s="22">
        <f>O690/Explications!$C$8</f>
        <v>0.28607767435404252</v>
      </c>
      <c r="Q690" s="7" t="str">
        <f t="shared" si="68"/>
        <v>C45</v>
      </c>
      <c r="R690" s="7" t="str">
        <f t="shared" si="69"/>
        <v>C8</v>
      </c>
      <c r="S690" s="18">
        <f t="shared" si="70"/>
        <v>8.5823302306212756</v>
      </c>
      <c r="T690" s="18">
        <f>S690/Explications!$C$8</f>
        <v>0.28607767435404252</v>
      </c>
    </row>
    <row r="691" spans="7:20">
      <c r="G691" s="10" t="s">
        <v>24</v>
      </c>
      <c r="H691" s="10" t="s">
        <v>62</v>
      </c>
      <c r="I691" s="10">
        <v>46.741</v>
      </c>
      <c r="J691" s="10">
        <v>-71.385499999999993</v>
      </c>
      <c r="K691" s="10">
        <v>46.803600000000003</v>
      </c>
      <c r="L691" s="10">
        <v>-71.231099999999998</v>
      </c>
      <c r="M691" s="10" t="str">
        <f t="shared" si="65"/>
        <v>C8</v>
      </c>
      <c r="N691" s="10" t="str">
        <f t="shared" si="66"/>
        <v>C46</v>
      </c>
      <c r="O691" s="5">
        <f t="shared" si="67"/>
        <v>13.664536155369966</v>
      </c>
      <c r="P691" s="22">
        <f>O691/Explications!$C$8</f>
        <v>0.45548453851233217</v>
      </c>
      <c r="Q691" s="7" t="str">
        <f t="shared" si="68"/>
        <v>C46</v>
      </c>
      <c r="R691" s="7" t="str">
        <f t="shared" si="69"/>
        <v>C8</v>
      </c>
      <c r="S691" s="18">
        <f t="shared" si="70"/>
        <v>13.664536155369966</v>
      </c>
      <c r="T691" s="18">
        <f>S691/Explications!$C$8</f>
        <v>0.45548453851233217</v>
      </c>
    </row>
    <row r="692" spans="7:20">
      <c r="G692" s="10" t="s">
        <v>24</v>
      </c>
      <c r="H692" s="10" t="s">
        <v>63</v>
      </c>
      <c r="I692" s="10">
        <v>46.741</v>
      </c>
      <c r="J692" s="10">
        <v>-71.385499999999993</v>
      </c>
      <c r="K692" s="10">
        <v>46.802399999999999</v>
      </c>
      <c r="L692" s="10">
        <v>-71.269800000000004</v>
      </c>
      <c r="M692" s="10" t="str">
        <f t="shared" si="65"/>
        <v>C8</v>
      </c>
      <c r="N692" s="10" t="str">
        <f t="shared" si="66"/>
        <v>C47</v>
      </c>
      <c r="O692" s="5">
        <f t="shared" si="67"/>
        <v>11.146994973969493</v>
      </c>
      <c r="P692" s="22">
        <f>O692/Explications!$C$8</f>
        <v>0.37156649913231643</v>
      </c>
      <c r="Q692" s="7" t="str">
        <f t="shared" si="68"/>
        <v>C47</v>
      </c>
      <c r="R692" s="7" t="str">
        <f t="shared" si="69"/>
        <v>C8</v>
      </c>
      <c r="S692" s="18">
        <f t="shared" si="70"/>
        <v>11.146994973969493</v>
      </c>
      <c r="T692" s="18">
        <f>S692/Explications!$C$8</f>
        <v>0.37156649913231643</v>
      </c>
    </row>
    <row r="693" spans="7:20">
      <c r="G693" s="10" t="s">
        <v>24</v>
      </c>
      <c r="H693" s="10" t="s">
        <v>64</v>
      </c>
      <c r="I693" s="10">
        <v>46.741</v>
      </c>
      <c r="J693" s="10">
        <v>-71.385499999999993</v>
      </c>
      <c r="K693" s="10">
        <v>46.826799999999999</v>
      </c>
      <c r="L693" s="10">
        <v>-71.224199999999996</v>
      </c>
      <c r="M693" s="10" t="str">
        <f t="shared" si="65"/>
        <v>C8</v>
      </c>
      <c r="N693" s="10" t="str">
        <f t="shared" si="66"/>
        <v>C48</v>
      </c>
      <c r="O693" s="5">
        <f t="shared" si="67"/>
        <v>15.551768385894134</v>
      </c>
      <c r="P693" s="22">
        <f>O693/Explications!$C$8</f>
        <v>0.51839227952980449</v>
      </c>
      <c r="Q693" s="7" t="str">
        <f t="shared" si="68"/>
        <v>C48</v>
      </c>
      <c r="R693" s="7" t="str">
        <f t="shared" si="69"/>
        <v>C8</v>
      </c>
      <c r="S693" s="18">
        <f t="shared" si="70"/>
        <v>15.551768385894134</v>
      </c>
      <c r="T693" s="18">
        <f>S693/Explications!$C$8</f>
        <v>0.51839227952980449</v>
      </c>
    </row>
    <row r="694" spans="7:20">
      <c r="G694" s="10" t="s">
        <v>24</v>
      </c>
      <c r="H694" s="10" t="s">
        <v>65</v>
      </c>
      <c r="I694" s="10">
        <v>46.741</v>
      </c>
      <c r="J694" s="10">
        <v>-71.385499999999993</v>
      </c>
      <c r="K694" s="10">
        <v>46.864100000000001</v>
      </c>
      <c r="L694" s="10">
        <v>-71.255499999999998</v>
      </c>
      <c r="M694" s="10" t="str">
        <f t="shared" si="65"/>
        <v>C8</v>
      </c>
      <c r="N694" s="10" t="str">
        <f t="shared" si="66"/>
        <v>C49</v>
      </c>
      <c r="O694" s="5">
        <f t="shared" si="67"/>
        <v>16.890016780155786</v>
      </c>
      <c r="P694" s="22">
        <f>O694/Explications!$C$8</f>
        <v>0.56300055933852622</v>
      </c>
      <c r="Q694" s="7" t="str">
        <f t="shared" si="68"/>
        <v>C49</v>
      </c>
      <c r="R694" s="7" t="str">
        <f t="shared" si="69"/>
        <v>C8</v>
      </c>
      <c r="S694" s="18">
        <f t="shared" si="70"/>
        <v>16.890016780155786</v>
      </c>
      <c r="T694" s="18">
        <f>S694/Explications!$C$8</f>
        <v>0.56300055933852622</v>
      </c>
    </row>
    <row r="695" spans="7:20">
      <c r="G695" s="10" t="s">
        <v>24</v>
      </c>
      <c r="H695" s="10" t="s">
        <v>66</v>
      </c>
      <c r="I695" s="10">
        <v>46.741</v>
      </c>
      <c r="J695" s="10">
        <v>-71.385499999999993</v>
      </c>
      <c r="K695" s="10">
        <v>46.843800000000002</v>
      </c>
      <c r="L695" s="10">
        <v>-71.247299999999996</v>
      </c>
      <c r="M695" s="10" t="str">
        <f t="shared" si="65"/>
        <v>C8</v>
      </c>
      <c r="N695" s="10" t="str">
        <f t="shared" si="66"/>
        <v>C50</v>
      </c>
      <c r="O695" s="5">
        <f t="shared" si="67"/>
        <v>15.535626530704612</v>
      </c>
      <c r="P695" s="22">
        <f>O695/Explications!$C$8</f>
        <v>0.51785421769015372</v>
      </c>
      <c r="Q695" s="7" t="str">
        <f t="shared" si="68"/>
        <v>C50</v>
      </c>
      <c r="R695" s="7" t="str">
        <f t="shared" si="69"/>
        <v>C8</v>
      </c>
      <c r="S695" s="18">
        <f t="shared" si="70"/>
        <v>15.535626530704612</v>
      </c>
      <c r="T695" s="18">
        <f>S695/Explications!$C$8</f>
        <v>0.51785421769015372</v>
      </c>
    </row>
    <row r="696" spans="7:20">
      <c r="G696" s="10" t="s">
        <v>24</v>
      </c>
      <c r="H696" s="10" t="s">
        <v>67</v>
      </c>
      <c r="I696" s="10">
        <v>46.741</v>
      </c>
      <c r="J696" s="10">
        <v>-71.385499999999993</v>
      </c>
      <c r="K696" s="10">
        <v>46.765599999999999</v>
      </c>
      <c r="L696" s="10">
        <v>-71.312100000000001</v>
      </c>
      <c r="M696" s="10" t="str">
        <f t="shared" si="65"/>
        <v>C8</v>
      </c>
      <c r="N696" s="10" t="str">
        <f t="shared" si="66"/>
        <v>C51</v>
      </c>
      <c r="O696" s="5">
        <f t="shared" si="67"/>
        <v>6.2251073119220184</v>
      </c>
      <c r="P696" s="22">
        <f>O696/Explications!$C$8</f>
        <v>0.20750357706406727</v>
      </c>
      <c r="Q696" s="7" t="str">
        <f t="shared" si="68"/>
        <v>C51</v>
      </c>
      <c r="R696" s="7" t="str">
        <f t="shared" si="69"/>
        <v>C8</v>
      </c>
      <c r="S696" s="18">
        <f t="shared" si="70"/>
        <v>6.2251073119220184</v>
      </c>
      <c r="T696" s="18">
        <f>S696/Explications!$C$8</f>
        <v>0.20750357706406727</v>
      </c>
    </row>
    <row r="697" spans="7:20">
      <c r="G697" s="10" t="s">
        <v>24</v>
      </c>
      <c r="H697" s="10" t="s">
        <v>68</v>
      </c>
      <c r="I697" s="10">
        <v>46.741</v>
      </c>
      <c r="J697" s="10">
        <v>-71.385499999999993</v>
      </c>
      <c r="K697" s="10">
        <v>46.787599999999998</v>
      </c>
      <c r="L697" s="10">
        <v>-71.288600000000002</v>
      </c>
      <c r="M697" s="10" t="str">
        <f t="shared" si="65"/>
        <v>C8</v>
      </c>
      <c r="N697" s="10" t="str">
        <f t="shared" si="66"/>
        <v>C52</v>
      </c>
      <c r="O697" s="5">
        <f t="shared" si="67"/>
        <v>9.0180479309799289</v>
      </c>
      <c r="P697" s="22">
        <f>O697/Explications!$C$8</f>
        <v>0.30060159769933098</v>
      </c>
      <c r="Q697" s="7" t="str">
        <f t="shared" si="68"/>
        <v>C52</v>
      </c>
      <c r="R697" s="7" t="str">
        <f t="shared" si="69"/>
        <v>C8</v>
      </c>
      <c r="S697" s="18">
        <f t="shared" si="70"/>
        <v>9.0180479309799289</v>
      </c>
      <c r="T697" s="18">
        <f>S697/Explications!$C$8</f>
        <v>0.30060159769933098</v>
      </c>
    </row>
    <row r="698" spans="7:20">
      <c r="G698" s="10" t="s">
        <v>24</v>
      </c>
      <c r="H698" s="10" t="s">
        <v>69</v>
      </c>
      <c r="I698" s="10">
        <v>46.741</v>
      </c>
      <c r="J698" s="10">
        <v>-71.385499999999993</v>
      </c>
      <c r="K698" s="10">
        <v>46.764600000000002</v>
      </c>
      <c r="L698" s="10">
        <v>-71.308300000000003</v>
      </c>
      <c r="M698" s="10" t="str">
        <f t="shared" si="65"/>
        <v>C8</v>
      </c>
      <c r="N698" s="10" t="str">
        <f t="shared" si="66"/>
        <v>C53</v>
      </c>
      <c r="O698" s="5">
        <f t="shared" si="67"/>
        <v>6.4403551771803738</v>
      </c>
      <c r="P698" s="22">
        <f>O698/Explications!$C$8</f>
        <v>0.21467850590601245</v>
      </c>
      <c r="Q698" s="7" t="str">
        <f t="shared" si="68"/>
        <v>C53</v>
      </c>
      <c r="R698" s="7" t="str">
        <f t="shared" si="69"/>
        <v>C8</v>
      </c>
      <c r="S698" s="18">
        <f t="shared" si="70"/>
        <v>6.4403551771803738</v>
      </c>
      <c r="T698" s="18">
        <f>S698/Explications!$C$8</f>
        <v>0.21467850590601245</v>
      </c>
    </row>
    <row r="699" spans="7:20">
      <c r="G699" s="10" t="s">
        <v>24</v>
      </c>
      <c r="H699" s="10" t="s">
        <v>70</v>
      </c>
      <c r="I699" s="10">
        <v>46.741</v>
      </c>
      <c r="J699" s="10">
        <v>-71.385499999999993</v>
      </c>
      <c r="K699" s="10">
        <v>46.849699999999999</v>
      </c>
      <c r="L699" s="10">
        <v>-71.097399999999993</v>
      </c>
      <c r="M699" s="10" t="str">
        <f t="shared" si="65"/>
        <v>C8</v>
      </c>
      <c r="N699" s="10" t="str">
        <f t="shared" si="66"/>
        <v>C54</v>
      </c>
      <c r="O699" s="5">
        <f t="shared" si="67"/>
        <v>25.041647021562682</v>
      </c>
      <c r="P699" s="22">
        <f>O699/Explications!$C$8</f>
        <v>0.83472156738542269</v>
      </c>
      <c r="Q699" s="7" t="str">
        <f t="shared" si="68"/>
        <v>C54</v>
      </c>
      <c r="R699" s="7" t="str">
        <f t="shared" si="69"/>
        <v>C8</v>
      </c>
      <c r="S699" s="18">
        <f t="shared" si="70"/>
        <v>25.041647021562682</v>
      </c>
      <c r="T699" s="18">
        <f>S699/Explications!$C$8</f>
        <v>0.83472156738542269</v>
      </c>
    </row>
    <row r="700" spans="7:20">
      <c r="G700" s="10" t="s">
        <v>24</v>
      </c>
      <c r="H700" s="10" t="s">
        <v>71</v>
      </c>
      <c r="I700" s="10">
        <v>46.741</v>
      </c>
      <c r="J700" s="10">
        <v>-71.385499999999993</v>
      </c>
      <c r="K700" s="10">
        <v>46.788899999999998</v>
      </c>
      <c r="L700" s="10">
        <v>-71.321399999999997</v>
      </c>
      <c r="M700" s="10" t="str">
        <f t="shared" si="65"/>
        <v>C8</v>
      </c>
      <c r="N700" s="10" t="str">
        <f t="shared" si="66"/>
        <v>C55</v>
      </c>
      <c r="O700" s="5">
        <f t="shared" si="67"/>
        <v>7.2253825855127856</v>
      </c>
      <c r="P700" s="22">
        <f>O700/Explications!$C$8</f>
        <v>0.24084608618375952</v>
      </c>
      <c r="Q700" s="7" t="str">
        <f t="shared" si="68"/>
        <v>C55</v>
      </c>
      <c r="R700" s="7" t="str">
        <f t="shared" si="69"/>
        <v>C8</v>
      </c>
      <c r="S700" s="18">
        <f t="shared" si="70"/>
        <v>7.2253825855127856</v>
      </c>
      <c r="T700" s="18">
        <f>S700/Explications!$C$8</f>
        <v>0.24084608618375952</v>
      </c>
    </row>
    <row r="701" spans="7:20">
      <c r="G701" s="10" t="s">
        <v>24</v>
      </c>
      <c r="H701" s="10" t="s">
        <v>72</v>
      </c>
      <c r="I701" s="10">
        <v>46.741</v>
      </c>
      <c r="J701" s="10">
        <v>-71.385499999999993</v>
      </c>
      <c r="K701" s="10">
        <v>46.795400000000001</v>
      </c>
      <c r="L701" s="10">
        <v>-71.232600000000005</v>
      </c>
      <c r="M701" s="10" t="str">
        <f t="shared" si="65"/>
        <v>C8</v>
      </c>
      <c r="N701" s="10" t="str">
        <f t="shared" si="66"/>
        <v>C56</v>
      </c>
      <c r="O701" s="5">
        <f t="shared" si="67"/>
        <v>13.122667690105793</v>
      </c>
      <c r="P701" s="22">
        <f>O701/Explications!$C$8</f>
        <v>0.43742225633685977</v>
      </c>
      <c r="Q701" s="7" t="str">
        <f t="shared" si="68"/>
        <v>C56</v>
      </c>
      <c r="R701" s="7" t="str">
        <f t="shared" si="69"/>
        <v>C8</v>
      </c>
      <c r="S701" s="18">
        <f t="shared" si="70"/>
        <v>13.122667690105793</v>
      </c>
      <c r="T701" s="18">
        <f>S701/Explications!$C$8</f>
        <v>0.43742225633685977</v>
      </c>
    </row>
    <row r="702" spans="7:20">
      <c r="G702" s="10" t="s">
        <v>24</v>
      </c>
      <c r="H702" s="10" t="s">
        <v>73</v>
      </c>
      <c r="I702" s="10">
        <v>46.741</v>
      </c>
      <c r="J702" s="10">
        <v>-71.385499999999993</v>
      </c>
      <c r="K702" s="10">
        <v>46.801200000000001</v>
      </c>
      <c r="L702" s="10">
        <v>-71.224999999999994</v>
      </c>
      <c r="M702" s="10" t="str">
        <f t="shared" si="65"/>
        <v>C8</v>
      </c>
      <c r="N702" s="10" t="str">
        <f t="shared" si="66"/>
        <v>C57</v>
      </c>
      <c r="O702" s="5">
        <f t="shared" si="67"/>
        <v>13.936399744476301</v>
      </c>
      <c r="P702" s="22">
        <f>O702/Explications!$C$8</f>
        <v>0.46454665814921003</v>
      </c>
      <c r="Q702" s="7" t="str">
        <f t="shared" si="68"/>
        <v>C57</v>
      </c>
      <c r="R702" s="7" t="str">
        <f t="shared" si="69"/>
        <v>C8</v>
      </c>
      <c r="S702" s="18">
        <f t="shared" si="70"/>
        <v>13.936399744476301</v>
      </c>
      <c r="T702" s="18">
        <f>S702/Explications!$C$8</f>
        <v>0.46454665814921003</v>
      </c>
    </row>
    <row r="703" spans="7:20">
      <c r="G703" s="10" t="s">
        <v>24</v>
      </c>
      <c r="H703" s="10" t="s">
        <v>74</v>
      </c>
      <c r="I703" s="10">
        <v>46.741</v>
      </c>
      <c r="J703" s="10">
        <v>-71.385499999999993</v>
      </c>
      <c r="K703" s="10">
        <v>46.773200000000003</v>
      </c>
      <c r="L703" s="10">
        <v>-71.275899999999993</v>
      </c>
      <c r="M703" s="10" t="str">
        <f t="shared" si="65"/>
        <v>C8</v>
      </c>
      <c r="N703" s="10" t="str">
        <f t="shared" si="66"/>
        <v>C58</v>
      </c>
      <c r="O703" s="5">
        <f t="shared" si="67"/>
        <v>9.0845440395429229</v>
      </c>
      <c r="P703" s="22">
        <f>O703/Explications!$C$8</f>
        <v>0.30281813465143076</v>
      </c>
      <c r="Q703" s="7" t="str">
        <f t="shared" si="68"/>
        <v>C58</v>
      </c>
      <c r="R703" s="7" t="str">
        <f t="shared" si="69"/>
        <v>C8</v>
      </c>
      <c r="S703" s="18">
        <f t="shared" si="70"/>
        <v>9.0845440395429229</v>
      </c>
      <c r="T703" s="18">
        <f>S703/Explications!$C$8</f>
        <v>0.30281813465143076</v>
      </c>
    </row>
    <row r="704" spans="7:20">
      <c r="G704" s="10" t="s">
        <v>24</v>
      </c>
      <c r="H704" s="10" t="s">
        <v>75</v>
      </c>
      <c r="I704" s="10">
        <v>46.741</v>
      </c>
      <c r="J704" s="10">
        <v>-71.385499999999993</v>
      </c>
      <c r="K704" s="10">
        <v>46.814399999999999</v>
      </c>
      <c r="L704" s="10">
        <v>-71.225700000000003</v>
      </c>
      <c r="M704" s="10" t="str">
        <f t="shared" si="65"/>
        <v>C8</v>
      </c>
      <c r="N704" s="10" t="str">
        <f t="shared" si="66"/>
        <v>C59</v>
      </c>
      <c r="O704" s="5">
        <f t="shared" si="67"/>
        <v>14.652343088209122</v>
      </c>
      <c r="P704" s="22">
        <f>O704/Explications!$C$8</f>
        <v>0.48841143627363742</v>
      </c>
      <c r="Q704" s="7" t="str">
        <f t="shared" si="68"/>
        <v>C59</v>
      </c>
      <c r="R704" s="7" t="str">
        <f t="shared" si="69"/>
        <v>C8</v>
      </c>
      <c r="S704" s="18">
        <f t="shared" si="70"/>
        <v>14.652343088209122</v>
      </c>
      <c r="T704" s="18">
        <f>S704/Explications!$C$8</f>
        <v>0.48841143627363742</v>
      </c>
    </row>
    <row r="705" spans="7:20">
      <c r="G705" s="10" t="s">
        <v>24</v>
      </c>
      <c r="H705" s="10" t="s">
        <v>76</v>
      </c>
      <c r="I705" s="10">
        <v>46.741</v>
      </c>
      <c r="J705" s="10">
        <v>-71.385499999999993</v>
      </c>
      <c r="K705" s="10">
        <v>46.772500000000001</v>
      </c>
      <c r="L705" s="10">
        <v>-71.276300000000006</v>
      </c>
      <c r="M705" s="10" t="str">
        <f t="shared" si="65"/>
        <v>C8</v>
      </c>
      <c r="N705" s="10" t="str">
        <f t="shared" si="66"/>
        <v>C60</v>
      </c>
      <c r="O705" s="5">
        <f t="shared" si="67"/>
        <v>9.0261075717550856</v>
      </c>
      <c r="P705" s="22">
        <f>O705/Explications!$C$8</f>
        <v>0.30087025239183618</v>
      </c>
      <c r="Q705" s="7" t="str">
        <f t="shared" si="68"/>
        <v>C60</v>
      </c>
      <c r="R705" s="7" t="str">
        <f t="shared" si="69"/>
        <v>C8</v>
      </c>
      <c r="S705" s="18">
        <f t="shared" si="70"/>
        <v>9.0261075717550856</v>
      </c>
      <c r="T705" s="18">
        <f>S705/Explications!$C$8</f>
        <v>0.30087025239183618</v>
      </c>
    </row>
    <row r="706" spans="7:20">
      <c r="G706" s="10" t="s">
        <v>24</v>
      </c>
      <c r="H706" s="10" t="s">
        <v>77</v>
      </c>
      <c r="I706" s="10">
        <v>46.741</v>
      </c>
      <c r="J706" s="10">
        <v>-71.385499999999993</v>
      </c>
      <c r="K706" s="10">
        <v>46.810899999999997</v>
      </c>
      <c r="L706" s="10">
        <v>-71.215599999999995</v>
      </c>
      <c r="M706" s="10" t="str">
        <f t="shared" si="65"/>
        <v>C8</v>
      </c>
      <c r="N706" s="10" t="str">
        <f t="shared" si="66"/>
        <v>C61</v>
      </c>
      <c r="O706" s="5">
        <f t="shared" si="67"/>
        <v>15.093391202190913</v>
      </c>
      <c r="P706" s="22">
        <f>O706/Explications!$C$8</f>
        <v>0.50311304007303048</v>
      </c>
      <c r="Q706" s="7" t="str">
        <f t="shared" si="68"/>
        <v>C61</v>
      </c>
      <c r="R706" s="7" t="str">
        <f t="shared" si="69"/>
        <v>C8</v>
      </c>
      <c r="S706" s="18">
        <f t="shared" si="70"/>
        <v>15.093391202190913</v>
      </c>
      <c r="T706" s="18">
        <f>S706/Explications!$C$8</f>
        <v>0.50311304007303048</v>
      </c>
    </row>
    <row r="707" spans="7:20">
      <c r="G707" s="10" t="s">
        <v>24</v>
      </c>
      <c r="H707" s="10" t="s">
        <v>78</v>
      </c>
      <c r="I707" s="10">
        <v>46.741</v>
      </c>
      <c r="J707" s="10">
        <v>-71.385499999999993</v>
      </c>
      <c r="K707" s="10">
        <v>46.795200000000001</v>
      </c>
      <c r="L707" s="10">
        <v>-71.245099999999994</v>
      </c>
      <c r="M707" s="10" t="str">
        <f t="shared" si="65"/>
        <v>C8</v>
      </c>
      <c r="N707" s="10" t="str">
        <f t="shared" si="66"/>
        <v>C62</v>
      </c>
      <c r="O707" s="5">
        <f t="shared" si="67"/>
        <v>12.274731245556371</v>
      </c>
      <c r="P707" s="22">
        <f>O707/Explications!$C$8</f>
        <v>0.40915770818521235</v>
      </c>
      <c r="Q707" s="7" t="str">
        <f t="shared" si="68"/>
        <v>C62</v>
      </c>
      <c r="R707" s="7" t="str">
        <f t="shared" si="69"/>
        <v>C8</v>
      </c>
      <c r="S707" s="18">
        <f t="shared" si="70"/>
        <v>12.274731245556371</v>
      </c>
      <c r="T707" s="18">
        <f>S707/Explications!$C$8</f>
        <v>0.40915770818521235</v>
      </c>
    </row>
    <row r="708" spans="7:20">
      <c r="G708" s="10" t="s">
        <v>24</v>
      </c>
      <c r="H708" s="10" t="s">
        <v>79</v>
      </c>
      <c r="I708" s="10">
        <v>46.741</v>
      </c>
      <c r="J708" s="10">
        <v>-71.385499999999993</v>
      </c>
      <c r="K708" s="10">
        <v>46.822000000000003</v>
      </c>
      <c r="L708" s="10">
        <v>-71.345699999999994</v>
      </c>
      <c r="M708" s="10" t="str">
        <f t="shared" ref="M708:M771" si="71">G708</f>
        <v>C8</v>
      </c>
      <c r="N708" s="10" t="str">
        <f t="shared" ref="N708:N771" si="72">H708</f>
        <v>C63</v>
      </c>
      <c r="O708" s="5">
        <f t="shared" ref="O708:O771" si="73">ACOS(SIN(RADIANS(I708))*SIN(RADIANS(K708))+COS(RADIANS(I708))*COS(RADIANS(K708))*COS(RADIANS(J708-L708)))*6371</f>
        <v>9.5029701699464049</v>
      </c>
      <c r="P708" s="22">
        <f>O708/Explications!$C$8</f>
        <v>0.31676567233154684</v>
      </c>
      <c r="Q708" s="7" t="str">
        <f t="shared" ref="Q708:Q771" si="74">N708</f>
        <v>C63</v>
      </c>
      <c r="R708" s="7" t="str">
        <f t="shared" ref="R708:R771" si="75">M708</f>
        <v>C8</v>
      </c>
      <c r="S708" s="18">
        <f t="shared" ref="S708:S771" si="76">O708</f>
        <v>9.5029701699464049</v>
      </c>
      <c r="T708" s="18">
        <f>S708/Explications!$C$8</f>
        <v>0.31676567233154684</v>
      </c>
    </row>
    <row r="709" spans="7:20">
      <c r="G709" s="10" t="s">
        <v>24</v>
      </c>
      <c r="H709" s="10" t="s">
        <v>80</v>
      </c>
      <c r="I709" s="10">
        <v>46.741</v>
      </c>
      <c r="J709" s="10">
        <v>-71.385499999999993</v>
      </c>
      <c r="K709" s="10">
        <v>46.779400000000003</v>
      </c>
      <c r="L709" s="10">
        <v>-71.350399999999993</v>
      </c>
      <c r="M709" s="10" t="str">
        <f t="shared" si="71"/>
        <v>C8</v>
      </c>
      <c r="N709" s="10" t="str">
        <f t="shared" si="72"/>
        <v>C64</v>
      </c>
      <c r="O709" s="5">
        <f t="shared" si="73"/>
        <v>5.0379275936471899</v>
      </c>
      <c r="P709" s="22">
        <f>O709/Explications!$C$8</f>
        <v>0.16793091978823965</v>
      </c>
      <c r="Q709" s="7" t="str">
        <f t="shared" si="74"/>
        <v>C64</v>
      </c>
      <c r="R709" s="7" t="str">
        <f t="shared" si="75"/>
        <v>C8</v>
      </c>
      <c r="S709" s="18">
        <f t="shared" si="76"/>
        <v>5.0379275936471899</v>
      </c>
      <c r="T709" s="18">
        <f>S709/Explications!$C$8</f>
        <v>0.16793091978823965</v>
      </c>
    </row>
    <row r="710" spans="7:20">
      <c r="G710" s="10" t="s">
        <v>24</v>
      </c>
      <c r="H710" s="10" t="s">
        <v>81</v>
      </c>
      <c r="I710" s="10">
        <v>46.741</v>
      </c>
      <c r="J710" s="10">
        <v>-71.385499999999993</v>
      </c>
      <c r="K710" s="10">
        <v>46.772300000000001</v>
      </c>
      <c r="L710" s="10">
        <v>-71.279799999999994</v>
      </c>
      <c r="M710" s="10" t="str">
        <f t="shared" si="71"/>
        <v>C8</v>
      </c>
      <c r="N710" s="10" t="str">
        <f t="shared" si="72"/>
        <v>C65</v>
      </c>
      <c r="O710" s="5">
        <f t="shared" si="73"/>
        <v>8.7721502423553055</v>
      </c>
      <c r="P710" s="22">
        <f>O710/Explications!$C$8</f>
        <v>0.29240500807851016</v>
      </c>
      <c r="Q710" s="7" t="str">
        <f t="shared" si="74"/>
        <v>C65</v>
      </c>
      <c r="R710" s="7" t="str">
        <f t="shared" si="75"/>
        <v>C8</v>
      </c>
      <c r="S710" s="18">
        <f t="shared" si="76"/>
        <v>8.7721502423553055</v>
      </c>
      <c r="T710" s="18">
        <f>S710/Explications!$C$8</f>
        <v>0.29240500807851016</v>
      </c>
    </row>
    <row r="711" spans="7:20">
      <c r="G711" s="10" t="s">
        <v>24</v>
      </c>
      <c r="H711" s="10" t="s">
        <v>82</v>
      </c>
      <c r="I711" s="10">
        <v>46.741</v>
      </c>
      <c r="J711" s="10">
        <v>-71.385499999999993</v>
      </c>
      <c r="K711" s="10">
        <v>46.814900000000002</v>
      </c>
      <c r="L711" s="10">
        <v>-71.225200000000001</v>
      </c>
      <c r="M711" s="10" t="str">
        <f t="shared" si="71"/>
        <v>C8</v>
      </c>
      <c r="N711" s="10" t="str">
        <f t="shared" si="72"/>
        <v>C66</v>
      </c>
      <c r="O711" s="5">
        <f t="shared" si="73"/>
        <v>14.714907336061639</v>
      </c>
      <c r="P711" s="22">
        <f>O711/Explications!$C$8</f>
        <v>0.49049691120205463</v>
      </c>
      <c r="Q711" s="7" t="str">
        <f t="shared" si="74"/>
        <v>C66</v>
      </c>
      <c r="R711" s="7" t="str">
        <f t="shared" si="75"/>
        <v>C8</v>
      </c>
      <c r="S711" s="18">
        <f t="shared" si="76"/>
        <v>14.714907336061639</v>
      </c>
      <c r="T711" s="18">
        <f>S711/Explications!$C$8</f>
        <v>0.49049691120205463</v>
      </c>
    </row>
    <row r="712" spans="7:20">
      <c r="G712" s="10" t="s">
        <v>24</v>
      </c>
      <c r="H712" s="10" t="s">
        <v>83</v>
      </c>
      <c r="I712" s="10">
        <v>46.741</v>
      </c>
      <c r="J712" s="10">
        <v>-71.385499999999993</v>
      </c>
      <c r="K712" s="10">
        <v>46.814700000000002</v>
      </c>
      <c r="L712" s="10">
        <v>-71.207300000000004</v>
      </c>
      <c r="M712" s="10" t="str">
        <f t="shared" si="71"/>
        <v>C8</v>
      </c>
      <c r="N712" s="10" t="str">
        <f t="shared" si="72"/>
        <v>C67</v>
      </c>
      <c r="O712" s="5">
        <f t="shared" si="73"/>
        <v>15.852428167186632</v>
      </c>
      <c r="P712" s="22">
        <f>O712/Explications!$C$8</f>
        <v>0.52841427223955439</v>
      </c>
      <c r="Q712" s="7" t="str">
        <f t="shared" si="74"/>
        <v>C67</v>
      </c>
      <c r="R712" s="7" t="str">
        <f t="shared" si="75"/>
        <v>C8</v>
      </c>
      <c r="S712" s="18">
        <f t="shared" si="76"/>
        <v>15.852428167186632</v>
      </c>
      <c r="T712" s="18">
        <f>S712/Explications!$C$8</f>
        <v>0.52841427223955439</v>
      </c>
    </row>
    <row r="713" spans="7:20">
      <c r="G713" s="10" t="s">
        <v>24</v>
      </c>
      <c r="H713" s="10" t="s">
        <v>84</v>
      </c>
      <c r="I713" s="10">
        <v>46.741</v>
      </c>
      <c r="J713" s="10">
        <v>-71.385499999999993</v>
      </c>
      <c r="K713" s="10">
        <v>46.815600000000003</v>
      </c>
      <c r="L713" s="10">
        <v>-71.2029</v>
      </c>
      <c r="M713" s="10" t="str">
        <f t="shared" si="71"/>
        <v>C8</v>
      </c>
      <c r="N713" s="10" t="str">
        <f t="shared" si="72"/>
        <v>C68</v>
      </c>
      <c r="O713" s="5">
        <f t="shared" si="73"/>
        <v>16.19111237791445</v>
      </c>
      <c r="P713" s="22">
        <f>O713/Explications!$C$8</f>
        <v>0.53970374593048165</v>
      </c>
      <c r="Q713" s="7" t="str">
        <f t="shared" si="74"/>
        <v>C68</v>
      </c>
      <c r="R713" s="7" t="str">
        <f t="shared" si="75"/>
        <v>C8</v>
      </c>
      <c r="S713" s="18">
        <f t="shared" si="76"/>
        <v>16.19111237791445</v>
      </c>
      <c r="T713" s="18">
        <f>S713/Explications!$C$8</f>
        <v>0.53970374593048165</v>
      </c>
    </row>
    <row r="714" spans="7:20">
      <c r="G714" s="10" t="s">
        <v>24</v>
      </c>
      <c r="H714" s="10" t="s">
        <v>85</v>
      </c>
      <c r="I714" s="10">
        <v>46.741</v>
      </c>
      <c r="J714" s="10">
        <v>-71.385499999999993</v>
      </c>
      <c r="K714" s="10">
        <v>46.821899999999999</v>
      </c>
      <c r="L714" s="10">
        <v>-71.249899999999997</v>
      </c>
      <c r="M714" s="10" t="str">
        <f t="shared" si="71"/>
        <v>C8</v>
      </c>
      <c r="N714" s="10" t="str">
        <f t="shared" si="72"/>
        <v>C69</v>
      </c>
      <c r="O714" s="5">
        <f t="shared" si="73"/>
        <v>13.694208046480336</v>
      </c>
      <c r="P714" s="22">
        <f>O714/Explications!$C$8</f>
        <v>0.45647360154934452</v>
      </c>
      <c r="Q714" s="7" t="str">
        <f t="shared" si="74"/>
        <v>C69</v>
      </c>
      <c r="R714" s="7" t="str">
        <f t="shared" si="75"/>
        <v>C8</v>
      </c>
      <c r="S714" s="18">
        <f t="shared" si="76"/>
        <v>13.694208046480336</v>
      </c>
      <c r="T714" s="18">
        <f>S714/Explications!$C$8</f>
        <v>0.45647360154934452</v>
      </c>
    </row>
    <row r="715" spans="7:20">
      <c r="G715" s="10" t="s">
        <v>24</v>
      </c>
      <c r="H715" s="10" t="s">
        <v>86</v>
      </c>
      <c r="I715" s="10">
        <v>46.741</v>
      </c>
      <c r="J715" s="10">
        <v>-71.385499999999993</v>
      </c>
      <c r="K715" s="10">
        <v>46.8872</v>
      </c>
      <c r="L715" s="10">
        <v>-71.27</v>
      </c>
      <c r="M715" s="10" t="str">
        <f t="shared" si="71"/>
        <v>C8</v>
      </c>
      <c r="N715" s="10" t="str">
        <f t="shared" si="72"/>
        <v>C70</v>
      </c>
      <c r="O715" s="5">
        <f t="shared" si="73"/>
        <v>18.480600800777093</v>
      </c>
      <c r="P715" s="22">
        <f>O715/Explications!$C$8</f>
        <v>0.61602002669256983</v>
      </c>
      <c r="Q715" s="7" t="str">
        <f t="shared" si="74"/>
        <v>C70</v>
      </c>
      <c r="R715" s="7" t="str">
        <f t="shared" si="75"/>
        <v>C8</v>
      </c>
      <c r="S715" s="18">
        <f t="shared" si="76"/>
        <v>18.480600800777093</v>
      </c>
      <c r="T715" s="18">
        <f>S715/Explications!$C$8</f>
        <v>0.61602002669256983</v>
      </c>
    </row>
    <row r="716" spans="7:20">
      <c r="G716" s="10" t="s">
        <v>24</v>
      </c>
      <c r="H716" s="10" t="s">
        <v>87</v>
      </c>
      <c r="I716" s="10">
        <v>46.741</v>
      </c>
      <c r="J716" s="10">
        <v>-71.385499999999993</v>
      </c>
      <c r="K716" s="10">
        <v>46.816299999999998</v>
      </c>
      <c r="L716" s="10">
        <v>-71.210300000000004</v>
      </c>
      <c r="M716" s="10" t="str">
        <f t="shared" si="71"/>
        <v>C8</v>
      </c>
      <c r="N716" s="10" t="str">
        <f t="shared" si="72"/>
        <v>C71</v>
      </c>
      <c r="O716" s="5">
        <f t="shared" si="73"/>
        <v>15.751000467955752</v>
      </c>
      <c r="P716" s="22">
        <f>O716/Explications!$C$8</f>
        <v>0.52503334893185838</v>
      </c>
      <c r="Q716" s="7" t="str">
        <f t="shared" si="74"/>
        <v>C71</v>
      </c>
      <c r="R716" s="7" t="str">
        <f t="shared" si="75"/>
        <v>C8</v>
      </c>
      <c r="S716" s="18">
        <f t="shared" si="76"/>
        <v>15.751000467955752</v>
      </c>
      <c r="T716" s="18">
        <f>S716/Explications!$C$8</f>
        <v>0.52503334893185838</v>
      </c>
    </row>
    <row r="717" spans="7:20">
      <c r="G717" s="10" t="s">
        <v>24</v>
      </c>
      <c r="H717" s="10" t="s">
        <v>88</v>
      </c>
      <c r="I717" s="10">
        <v>46.741</v>
      </c>
      <c r="J717" s="10">
        <v>-71.385499999999993</v>
      </c>
      <c r="K717" s="10">
        <v>46.807000000000002</v>
      </c>
      <c r="L717" s="10">
        <v>-71.3566</v>
      </c>
      <c r="M717" s="10" t="str">
        <f t="shared" si="71"/>
        <v>C8</v>
      </c>
      <c r="N717" s="10" t="str">
        <f t="shared" si="72"/>
        <v>C72</v>
      </c>
      <c r="O717" s="5">
        <f t="shared" si="73"/>
        <v>7.6617754060326373</v>
      </c>
      <c r="P717" s="22">
        <f>O717/Explications!$C$8</f>
        <v>0.25539251353442122</v>
      </c>
      <c r="Q717" s="7" t="str">
        <f t="shared" si="74"/>
        <v>C72</v>
      </c>
      <c r="R717" s="7" t="str">
        <f t="shared" si="75"/>
        <v>C8</v>
      </c>
      <c r="S717" s="18">
        <f t="shared" si="76"/>
        <v>7.6617754060326373</v>
      </c>
      <c r="T717" s="18">
        <f>S717/Explications!$C$8</f>
        <v>0.25539251353442122</v>
      </c>
    </row>
    <row r="718" spans="7:20">
      <c r="G718" s="10" t="s">
        <v>24</v>
      </c>
      <c r="H718" s="10" t="s">
        <v>89</v>
      </c>
      <c r="I718" s="10">
        <v>46.741</v>
      </c>
      <c r="J718" s="10">
        <v>-71.385499999999993</v>
      </c>
      <c r="K718" s="10">
        <v>46.822899999999997</v>
      </c>
      <c r="L718" s="10">
        <v>-71.341899999999995</v>
      </c>
      <c r="M718" s="10" t="str">
        <f t="shared" si="71"/>
        <v>C8</v>
      </c>
      <c r="N718" s="10" t="str">
        <f t="shared" si="72"/>
        <v>C73</v>
      </c>
      <c r="O718" s="5">
        <f t="shared" si="73"/>
        <v>9.6931149423628327</v>
      </c>
      <c r="P718" s="22">
        <f>O718/Explications!$C$8</f>
        <v>0.32310383141209442</v>
      </c>
      <c r="Q718" s="7" t="str">
        <f t="shared" si="74"/>
        <v>C73</v>
      </c>
      <c r="R718" s="7" t="str">
        <f t="shared" si="75"/>
        <v>C8</v>
      </c>
      <c r="S718" s="18">
        <f t="shared" si="76"/>
        <v>9.6931149423628327</v>
      </c>
      <c r="T718" s="18">
        <f>S718/Explications!$C$8</f>
        <v>0.32310383141209442</v>
      </c>
    </row>
    <row r="719" spans="7:20">
      <c r="G719" s="10" t="s">
        <v>24</v>
      </c>
      <c r="H719" s="10" t="s">
        <v>90</v>
      </c>
      <c r="I719" s="10">
        <v>46.741</v>
      </c>
      <c r="J719" s="10">
        <v>-71.385499999999993</v>
      </c>
      <c r="K719" s="10">
        <v>46.730699999999999</v>
      </c>
      <c r="L719" s="10">
        <v>-71.261099999999999</v>
      </c>
      <c r="M719" s="10" t="str">
        <f t="shared" si="71"/>
        <v>C8</v>
      </c>
      <c r="N719" s="10" t="str">
        <f t="shared" si="72"/>
        <v>C74</v>
      </c>
      <c r="O719" s="5">
        <f t="shared" si="73"/>
        <v>9.5493133022361647</v>
      </c>
      <c r="P719" s="22">
        <f>O719/Explications!$C$8</f>
        <v>0.31831044340787218</v>
      </c>
      <c r="Q719" s="7" t="str">
        <f t="shared" si="74"/>
        <v>C74</v>
      </c>
      <c r="R719" s="7" t="str">
        <f t="shared" si="75"/>
        <v>C8</v>
      </c>
      <c r="S719" s="18">
        <f t="shared" si="76"/>
        <v>9.5493133022361647</v>
      </c>
      <c r="T719" s="18">
        <f>S719/Explications!$C$8</f>
        <v>0.31831044340787218</v>
      </c>
    </row>
    <row r="720" spans="7:20">
      <c r="G720" s="10" t="s">
        <v>24</v>
      </c>
      <c r="H720" s="10" t="s">
        <v>91</v>
      </c>
      <c r="I720" s="10">
        <v>46.741</v>
      </c>
      <c r="J720" s="10">
        <v>-71.385499999999993</v>
      </c>
      <c r="K720" s="10">
        <v>46.840600000000002</v>
      </c>
      <c r="L720" s="10">
        <v>-71.289100000000005</v>
      </c>
      <c r="M720" s="10" t="str">
        <f t="shared" si="71"/>
        <v>C8</v>
      </c>
      <c r="N720" s="10" t="str">
        <f t="shared" si="72"/>
        <v>C75</v>
      </c>
      <c r="O720" s="5">
        <f t="shared" si="73"/>
        <v>13.285987963254621</v>
      </c>
      <c r="P720" s="22">
        <f>O720/Explications!$C$8</f>
        <v>0.44286626544182073</v>
      </c>
      <c r="Q720" s="7" t="str">
        <f t="shared" si="74"/>
        <v>C75</v>
      </c>
      <c r="R720" s="7" t="str">
        <f t="shared" si="75"/>
        <v>C8</v>
      </c>
      <c r="S720" s="18">
        <f t="shared" si="76"/>
        <v>13.285987963254621</v>
      </c>
      <c r="T720" s="18">
        <f>S720/Explications!$C$8</f>
        <v>0.44286626544182073</v>
      </c>
    </row>
    <row r="721" spans="7:20">
      <c r="G721" s="10" t="s">
        <v>24</v>
      </c>
      <c r="H721" s="10" t="s">
        <v>92</v>
      </c>
      <c r="I721" s="10">
        <v>46.741</v>
      </c>
      <c r="J721" s="10">
        <v>-71.385499999999993</v>
      </c>
      <c r="K721" s="10">
        <v>46.840600000000002</v>
      </c>
      <c r="L721" s="10">
        <v>-71.281599999999997</v>
      </c>
      <c r="M721" s="10" t="str">
        <f t="shared" si="71"/>
        <v>C8</v>
      </c>
      <c r="N721" s="10" t="str">
        <f t="shared" si="72"/>
        <v>C76</v>
      </c>
      <c r="O721" s="5">
        <f t="shared" si="73"/>
        <v>13.609718580631238</v>
      </c>
      <c r="P721" s="22">
        <f>O721/Explications!$C$8</f>
        <v>0.45365728602104127</v>
      </c>
      <c r="Q721" s="7" t="str">
        <f t="shared" si="74"/>
        <v>C76</v>
      </c>
      <c r="R721" s="7" t="str">
        <f t="shared" si="75"/>
        <v>C8</v>
      </c>
      <c r="S721" s="18">
        <f t="shared" si="76"/>
        <v>13.609718580631238</v>
      </c>
      <c r="T721" s="18">
        <f>S721/Explications!$C$8</f>
        <v>0.45365728602104127</v>
      </c>
    </row>
    <row r="722" spans="7:20">
      <c r="G722" s="10" t="s">
        <v>24</v>
      </c>
      <c r="H722" s="10" t="s">
        <v>93</v>
      </c>
      <c r="I722" s="10">
        <v>46.741</v>
      </c>
      <c r="J722" s="10">
        <v>-71.385499999999993</v>
      </c>
      <c r="K722" s="10">
        <v>46.839399999999998</v>
      </c>
      <c r="L722" s="10">
        <v>-71.282600000000002</v>
      </c>
      <c r="M722" s="10" t="str">
        <f t="shared" si="71"/>
        <v>C8</v>
      </c>
      <c r="N722" s="10" t="str">
        <f t="shared" si="72"/>
        <v>C77</v>
      </c>
      <c r="O722" s="5">
        <f t="shared" si="73"/>
        <v>13.456947914093238</v>
      </c>
      <c r="P722" s="22">
        <f>O722/Explications!$C$8</f>
        <v>0.44856493046977458</v>
      </c>
      <c r="Q722" s="7" t="str">
        <f t="shared" si="74"/>
        <v>C77</v>
      </c>
      <c r="R722" s="7" t="str">
        <f t="shared" si="75"/>
        <v>C8</v>
      </c>
      <c r="S722" s="18">
        <f t="shared" si="76"/>
        <v>13.456947914093238</v>
      </c>
      <c r="T722" s="18">
        <f>S722/Explications!$C$8</f>
        <v>0.44856493046977458</v>
      </c>
    </row>
    <row r="723" spans="7:20">
      <c r="G723" s="10" t="s">
        <v>24</v>
      </c>
      <c r="H723" s="10" t="s">
        <v>94</v>
      </c>
      <c r="I723" s="10">
        <v>46.741</v>
      </c>
      <c r="J723" s="10">
        <v>-71.385499999999993</v>
      </c>
      <c r="K723" s="10">
        <v>46.788499999999999</v>
      </c>
      <c r="L723" s="10">
        <v>-71.282399999999996</v>
      </c>
      <c r="M723" s="10" t="str">
        <f t="shared" si="71"/>
        <v>C8</v>
      </c>
      <c r="N723" s="10" t="str">
        <f t="shared" si="72"/>
        <v>C78</v>
      </c>
      <c r="O723" s="5">
        <f t="shared" si="73"/>
        <v>9.4638972455170975</v>
      </c>
      <c r="P723" s="22">
        <f>O723/Explications!$C$8</f>
        <v>0.31546324151723659</v>
      </c>
      <c r="Q723" s="7" t="str">
        <f t="shared" si="74"/>
        <v>C78</v>
      </c>
      <c r="R723" s="7" t="str">
        <f t="shared" si="75"/>
        <v>C8</v>
      </c>
      <c r="S723" s="18">
        <f t="shared" si="76"/>
        <v>9.4638972455170975</v>
      </c>
      <c r="T723" s="18">
        <f>S723/Explications!$C$8</f>
        <v>0.31546324151723659</v>
      </c>
    </row>
    <row r="724" spans="7:20">
      <c r="G724" s="10" t="s">
        <v>24</v>
      </c>
      <c r="H724" s="10" t="s">
        <v>95</v>
      </c>
      <c r="I724" s="10">
        <v>46.741</v>
      </c>
      <c r="J724" s="10">
        <v>-71.385499999999993</v>
      </c>
      <c r="K724" s="10">
        <v>46.840699999999998</v>
      </c>
      <c r="L724" s="10">
        <v>-71.325400000000002</v>
      </c>
      <c r="M724" s="10" t="str">
        <f t="shared" si="71"/>
        <v>C8</v>
      </c>
      <c r="N724" s="10" t="str">
        <f t="shared" si="72"/>
        <v>C79</v>
      </c>
      <c r="O724" s="5">
        <f t="shared" si="73"/>
        <v>11.993221458855574</v>
      </c>
      <c r="P724" s="22">
        <f>O724/Explications!$C$8</f>
        <v>0.39977404862851912</v>
      </c>
      <c r="Q724" s="7" t="str">
        <f t="shared" si="74"/>
        <v>C79</v>
      </c>
      <c r="R724" s="7" t="str">
        <f t="shared" si="75"/>
        <v>C8</v>
      </c>
      <c r="S724" s="18">
        <f t="shared" si="76"/>
        <v>11.993221458855574</v>
      </c>
      <c r="T724" s="18">
        <f>S724/Explications!$C$8</f>
        <v>0.39977404862851912</v>
      </c>
    </row>
    <row r="725" spans="7:20">
      <c r="G725" s="10" t="s">
        <v>24</v>
      </c>
      <c r="H725" s="10" t="s">
        <v>96</v>
      </c>
      <c r="I725" s="10">
        <v>46.741</v>
      </c>
      <c r="J725" s="10">
        <v>-71.385499999999993</v>
      </c>
      <c r="K725" s="10">
        <v>46.798400000000001</v>
      </c>
      <c r="L725" s="10">
        <v>-71.183199999999999</v>
      </c>
      <c r="M725" s="10" t="str">
        <f t="shared" si="71"/>
        <v>C8</v>
      </c>
      <c r="N725" s="10" t="str">
        <f t="shared" si="72"/>
        <v>C80</v>
      </c>
      <c r="O725" s="5">
        <f t="shared" si="73"/>
        <v>16.677062387350848</v>
      </c>
      <c r="P725" s="22">
        <f>O725/Explications!$C$8</f>
        <v>0.55590207957836157</v>
      </c>
      <c r="Q725" s="7" t="str">
        <f t="shared" si="74"/>
        <v>C80</v>
      </c>
      <c r="R725" s="7" t="str">
        <f t="shared" si="75"/>
        <v>C8</v>
      </c>
      <c r="S725" s="18">
        <f t="shared" si="76"/>
        <v>16.677062387350848</v>
      </c>
      <c r="T725" s="18">
        <f>S725/Explications!$C$8</f>
        <v>0.55590207957836157</v>
      </c>
    </row>
    <row r="726" spans="7:20">
      <c r="G726" s="10" t="s">
        <v>24</v>
      </c>
      <c r="H726" s="10" t="s">
        <v>97</v>
      </c>
      <c r="I726" s="10">
        <v>46.741</v>
      </c>
      <c r="J726" s="10">
        <v>-71.385499999999993</v>
      </c>
      <c r="K726" s="10">
        <v>46.724800000000002</v>
      </c>
      <c r="L726" s="10">
        <v>-71.2988</v>
      </c>
      <c r="M726" s="10" t="str">
        <f t="shared" si="71"/>
        <v>C8</v>
      </c>
      <c r="N726" s="10" t="str">
        <f t="shared" si="72"/>
        <v>C81</v>
      </c>
      <c r="O726" s="5">
        <f t="shared" si="73"/>
        <v>6.8488097947190099</v>
      </c>
      <c r="P726" s="22">
        <f>O726/Explications!$C$8</f>
        <v>0.22829365982396699</v>
      </c>
      <c r="Q726" s="7" t="str">
        <f t="shared" si="74"/>
        <v>C81</v>
      </c>
      <c r="R726" s="7" t="str">
        <f t="shared" si="75"/>
        <v>C8</v>
      </c>
      <c r="S726" s="18">
        <f t="shared" si="76"/>
        <v>6.8488097947190099</v>
      </c>
      <c r="T726" s="18">
        <f>S726/Explications!$C$8</f>
        <v>0.22829365982396699</v>
      </c>
    </row>
    <row r="727" spans="7:20">
      <c r="G727" s="10" t="s">
        <v>24</v>
      </c>
      <c r="H727" s="10" t="s">
        <v>98</v>
      </c>
      <c r="I727" s="10">
        <v>46.741</v>
      </c>
      <c r="J727" s="10">
        <v>-71.385499999999993</v>
      </c>
      <c r="K727" s="10">
        <v>46.795499999999997</v>
      </c>
      <c r="L727" s="10">
        <v>-71.242900000000006</v>
      </c>
      <c r="M727" s="10" t="str">
        <f t="shared" si="71"/>
        <v>C8</v>
      </c>
      <c r="N727" s="10" t="str">
        <f t="shared" si="72"/>
        <v>C82</v>
      </c>
      <c r="O727" s="5">
        <f t="shared" si="73"/>
        <v>12.437169024073977</v>
      </c>
      <c r="P727" s="22">
        <f>O727/Explications!$C$8</f>
        <v>0.41457230080246593</v>
      </c>
      <c r="Q727" s="7" t="str">
        <f t="shared" si="74"/>
        <v>C82</v>
      </c>
      <c r="R727" s="7" t="str">
        <f t="shared" si="75"/>
        <v>C8</v>
      </c>
      <c r="S727" s="18">
        <f t="shared" si="76"/>
        <v>12.437169024073977</v>
      </c>
      <c r="T727" s="18">
        <f>S727/Explications!$C$8</f>
        <v>0.41457230080246593</v>
      </c>
    </row>
    <row r="728" spans="7:20">
      <c r="G728" s="10" t="s">
        <v>24</v>
      </c>
      <c r="H728" s="10" t="s">
        <v>99</v>
      </c>
      <c r="I728" s="10">
        <v>46.741</v>
      </c>
      <c r="J728" s="10">
        <v>-71.385499999999993</v>
      </c>
      <c r="K728" s="10">
        <v>46.8157</v>
      </c>
      <c r="L728" s="10">
        <v>-71.201899999999995</v>
      </c>
      <c r="M728" s="10" t="str">
        <f t="shared" si="71"/>
        <v>C8</v>
      </c>
      <c r="N728" s="10" t="str">
        <f t="shared" si="72"/>
        <v>C83</v>
      </c>
      <c r="O728" s="5">
        <f t="shared" si="73"/>
        <v>16.262220567973326</v>
      </c>
      <c r="P728" s="22">
        <f>O728/Explications!$C$8</f>
        <v>0.54207401893244422</v>
      </c>
      <c r="Q728" s="7" t="str">
        <f t="shared" si="74"/>
        <v>C83</v>
      </c>
      <c r="R728" s="7" t="str">
        <f t="shared" si="75"/>
        <v>C8</v>
      </c>
      <c r="S728" s="18">
        <f t="shared" si="76"/>
        <v>16.262220567973326</v>
      </c>
      <c r="T728" s="18">
        <f>S728/Explications!$C$8</f>
        <v>0.54207401893244422</v>
      </c>
    </row>
    <row r="729" spans="7:20">
      <c r="G729" s="10" t="s">
        <v>24</v>
      </c>
      <c r="H729" s="10" t="s">
        <v>100</v>
      </c>
      <c r="I729" s="10">
        <v>46.741</v>
      </c>
      <c r="J729" s="10">
        <v>-71.385499999999993</v>
      </c>
      <c r="K729" s="10">
        <v>46.837600000000002</v>
      </c>
      <c r="L729" s="10">
        <v>-71.196299999999994</v>
      </c>
      <c r="M729" s="10" t="str">
        <f t="shared" si="71"/>
        <v>C8</v>
      </c>
      <c r="N729" s="10" t="str">
        <f t="shared" si="72"/>
        <v>C84</v>
      </c>
      <c r="O729" s="5">
        <f t="shared" si="73"/>
        <v>17.968453854145569</v>
      </c>
      <c r="P729" s="22">
        <f>O729/Explications!$C$8</f>
        <v>0.59894846180485228</v>
      </c>
      <c r="Q729" s="7" t="str">
        <f t="shared" si="74"/>
        <v>C84</v>
      </c>
      <c r="R729" s="7" t="str">
        <f t="shared" si="75"/>
        <v>C8</v>
      </c>
      <c r="S729" s="18">
        <f t="shared" si="76"/>
        <v>17.968453854145569</v>
      </c>
      <c r="T729" s="18">
        <f>S729/Explications!$C$8</f>
        <v>0.59894846180485228</v>
      </c>
    </row>
    <row r="730" spans="7:20">
      <c r="G730" s="10" t="s">
        <v>24</v>
      </c>
      <c r="H730" s="10" t="s">
        <v>101</v>
      </c>
      <c r="I730" s="10">
        <v>46.741</v>
      </c>
      <c r="J730" s="10">
        <v>-71.385499999999993</v>
      </c>
      <c r="K730" s="10">
        <v>46.7988</v>
      </c>
      <c r="L730" s="10">
        <v>-71.318200000000004</v>
      </c>
      <c r="M730" s="10" t="str">
        <f t="shared" si="71"/>
        <v>C8</v>
      </c>
      <c r="N730" s="10" t="str">
        <f t="shared" si="72"/>
        <v>C85</v>
      </c>
      <c r="O730" s="5">
        <f t="shared" si="73"/>
        <v>8.2206527796532995</v>
      </c>
      <c r="P730" s="22">
        <f>O730/Explications!$C$8</f>
        <v>0.27402175932177664</v>
      </c>
      <c r="Q730" s="7" t="str">
        <f t="shared" si="74"/>
        <v>C85</v>
      </c>
      <c r="R730" s="7" t="str">
        <f t="shared" si="75"/>
        <v>C8</v>
      </c>
      <c r="S730" s="18">
        <f t="shared" si="76"/>
        <v>8.2206527796532995</v>
      </c>
      <c r="T730" s="18">
        <f>S730/Explications!$C$8</f>
        <v>0.27402175932177664</v>
      </c>
    </row>
    <row r="731" spans="7:20">
      <c r="G731" s="10" t="s">
        <v>25</v>
      </c>
      <c r="H731" s="10" t="s">
        <v>26</v>
      </c>
      <c r="I731" s="10">
        <v>46.839399999999998</v>
      </c>
      <c r="J731" s="10">
        <v>-71.282700000000006</v>
      </c>
      <c r="K731" s="10">
        <v>46.860799999999998</v>
      </c>
      <c r="L731" s="10">
        <v>-71.217699999999994</v>
      </c>
      <c r="M731" s="10" t="str">
        <f t="shared" si="71"/>
        <v>C9</v>
      </c>
      <c r="N731" s="10" t="str">
        <f t="shared" si="72"/>
        <v>C10</v>
      </c>
      <c r="O731" s="5">
        <f t="shared" si="73"/>
        <v>5.4860109750726238</v>
      </c>
      <c r="P731" s="22">
        <f>O731/Explications!$C$8</f>
        <v>0.18286703250242078</v>
      </c>
      <c r="Q731" s="7" t="str">
        <f t="shared" si="74"/>
        <v>C10</v>
      </c>
      <c r="R731" s="7" t="str">
        <f t="shared" si="75"/>
        <v>C9</v>
      </c>
      <c r="S731" s="18">
        <f t="shared" si="76"/>
        <v>5.4860109750726238</v>
      </c>
      <c r="T731" s="18">
        <f>S731/Explications!$C$8</f>
        <v>0.18286703250242078</v>
      </c>
    </row>
    <row r="732" spans="7:20">
      <c r="G732" s="10" t="s">
        <v>25</v>
      </c>
      <c r="H732" s="10" t="s">
        <v>27</v>
      </c>
      <c r="I732" s="10">
        <v>46.839399999999998</v>
      </c>
      <c r="J732" s="10">
        <v>-71.282700000000006</v>
      </c>
      <c r="K732" s="10">
        <v>46.868299999999998</v>
      </c>
      <c r="L732" s="10">
        <v>-71.167000000000002</v>
      </c>
      <c r="M732" s="10" t="str">
        <f t="shared" si="71"/>
        <v>C9</v>
      </c>
      <c r="N732" s="10" t="str">
        <f t="shared" si="72"/>
        <v>C11</v>
      </c>
      <c r="O732" s="5">
        <f t="shared" si="73"/>
        <v>9.366563968300845</v>
      </c>
      <c r="P732" s="22">
        <f>O732/Explications!$C$8</f>
        <v>0.31221879894336152</v>
      </c>
      <c r="Q732" s="7" t="str">
        <f t="shared" si="74"/>
        <v>C11</v>
      </c>
      <c r="R732" s="7" t="str">
        <f t="shared" si="75"/>
        <v>C9</v>
      </c>
      <c r="S732" s="18">
        <f t="shared" si="76"/>
        <v>9.366563968300845</v>
      </c>
      <c r="T732" s="18">
        <f>S732/Explications!$C$8</f>
        <v>0.31221879894336152</v>
      </c>
    </row>
    <row r="733" spans="7:20">
      <c r="G733" s="10" t="s">
        <v>25</v>
      </c>
      <c r="H733" s="10" t="s">
        <v>28</v>
      </c>
      <c r="I733" s="10">
        <v>46.839399999999998</v>
      </c>
      <c r="J733" s="10">
        <v>-71.282700000000006</v>
      </c>
      <c r="K733" s="10">
        <v>46.895099999999999</v>
      </c>
      <c r="L733" s="10">
        <v>-71.378600000000006</v>
      </c>
      <c r="M733" s="10" t="str">
        <f t="shared" si="71"/>
        <v>C9</v>
      </c>
      <c r="N733" s="10" t="str">
        <f t="shared" si="72"/>
        <v>C12</v>
      </c>
      <c r="O733" s="5">
        <f t="shared" si="73"/>
        <v>9.5662438658661326</v>
      </c>
      <c r="P733" s="22">
        <f>O733/Explications!$C$8</f>
        <v>0.3188747955288711</v>
      </c>
      <c r="Q733" s="7" t="str">
        <f t="shared" si="74"/>
        <v>C12</v>
      </c>
      <c r="R733" s="7" t="str">
        <f t="shared" si="75"/>
        <v>C9</v>
      </c>
      <c r="S733" s="18">
        <f t="shared" si="76"/>
        <v>9.5662438658661326</v>
      </c>
      <c r="T733" s="18">
        <f>S733/Explications!$C$8</f>
        <v>0.3188747955288711</v>
      </c>
    </row>
    <row r="734" spans="7:20">
      <c r="G734" s="10" t="s">
        <v>25</v>
      </c>
      <c r="H734" s="10" t="s">
        <v>29</v>
      </c>
      <c r="I734" s="10">
        <v>46.839399999999998</v>
      </c>
      <c r="J734" s="10">
        <v>-71.282700000000006</v>
      </c>
      <c r="K734" s="10">
        <v>46.8033</v>
      </c>
      <c r="L734" s="10">
        <v>-71.1691</v>
      </c>
      <c r="M734" s="10" t="str">
        <f t="shared" si="71"/>
        <v>C9</v>
      </c>
      <c r="N734" s="10" t="str">
        <f t="shared" si="72"/>
        <v>C13</v>
      </c>
      <c r="O734" s="5">
        <f t="shared" si="73"/>
        <v>9.5302124454360406</v>
      </c>
      <c r="P734" s="22">
        <f>O734/Explications!$C$8</f>
        <v>0.31767374818120137</v>
      </c>
      <c r="Q734" s="7" t="str">
        <f t="shared" si="74"/>
        <v>C13</v>
      </c>
      <c r="R734" s="7" t="str">
        <f t="shared" si="75"/>
        <v>C9</v>
      </c>
      <c r="S734" s="18">
        <f t="shared" si="76"/>
        <v>9.5302124454360406</v>
      </c>
      <c r="T734" s="18">
        <f>S734/Explications!$C$8</f>
        <v>0.31767374818120137</v>
      </c>
    </row>
    <row r="735" spans="7:20">
      <c r="G735" s="10" t="s">
        <v>25</v>
      </c>
      <c r="H735" s="10" t="s">
        <v>30</v>
      </c>
      <c r="I735" s="10">
        <v>46.839399999999998</v>
      </c>
      <c r="J735" s="10">
        <v>-71.282700000000006</v>
      </c>
      <c r="K735" s="10">
        <v>46.8596</v>
      </c>
      <c r="L735" s="10">
        <v>-71.267200000000003</v>
      </c>
      <c r="M735" s="10" t="str">
        <f t="shared" si="71"/>
        <v>C9</v>
      </c>
      <c r="N735" s="10" t="str">
        <f t="shared" si="72"/>
        <v>C14</v>
      </c>
      <c r="O735" s="5">
        <f t="shared" si="73"/>
        <v>2.5366464176537478</v>
      </c>
      <c r="P735" s="22">
        <f>O735/Explications!$C$8</f>
        <v>8.4554880588458253E-2</v>
      </c>
      <c r="Q735" s="7" t="str">
        <f t="shared" si="74"/>
        <v>C14</v>
      </c>
      <c r="R735" s="7" t="str">
        <f t="shared" si="75"/>
        <v>C9</v>
      </c>
      <c r="S735" s="18">
        <f t="shared" si="76"/>
        <v>2.5366464176537478</v>
      </c>
      <c r="T735" s="18">
        <f>S735/Explications!$C$8</f>
        <v>8.4554880588458253E-2</v>
      </c>
    </row>
    <row r="736" spans="7:20">
      <c r="G736" s="10" t="s">
        <v>25</v>
      </c>
      <c r="H736" s="10" t="s">
        <v>31</v>
      </c>
      <c r="I736" s="10">
        <v>46.839399999999998</v>
      </c>
      <c r="J736" s="10">
        <v>-71.282700000000006</v>
      </c>
      <c r="K736" s="10">
        <v>46.813499999999998</v>
      </c>
      <c r="L736" s="10">
        <v>-71.215900000000005</v>
      </c>
      <c r="M736" s="10" t="str">
        <f t="shared" si="71"/>
        <v>C9</v>
      </c>
      <c r="N736" s="10" t="str">
        <f t="shared" si="72"/>
        <v>C15</v>
      </c>
      <c r="O736" s="5">
        <f t="shared" si="73"/>
        <v>5.8414714735801843</v>
      </c>
      <c r="P736" s="22">
        <f>O736/Explications!$C$8</f>
        <v>0.19471571578600613</v>
      </c>
      <c r="Q736" s="7" t="str">
        <f t="shared" si="74"/>
        <v>C15</v>
      </c>
      <c r="R736" s="7" t="str">
        <f t="shared" si="75"/>
        <v>C9</v>
      </c>
      <c r="S736" s="18">
        <f t="shared" si="76"/>
        <v>5.8414714735801843</v>
      </c>
      <c r="T736" s="18">
        <f>S736/Explications!$C$8</f>
        <v>0.19471571578600613</v>
      </c>
    </row>
    <row r="737" spans="7:20">
      <c r="G737" s="10" t="s">
        <v>25</v>
      </c>
      <c r="H737" s="10" t="s">
        <v>32</v>
      </c>
      <c r="I737" s="10">
        <v>46.839399999999998</v>
      </c>
      <c r="J737" s="10">
        <v>-71.282700000000006</v>
      </c>
      <c r="K737" s="10">
        <v>46.733699999999999</v>
      </c>
      <c r="L737" s="10">
        <v>-71.270099999999999</v>
      </c>
      <c r="M737" s="10" t="str">
        <f t="shared" si="71"/>
        <v>C9</v>
      </c>
      <c r="N737" s="10" t="str">
        <f t="shared" si="72"/>
        <v>C16</v>
      </c>
      <c r="O737" s="5">
        <f t="shared" si="73"/>
        <v>11.792389884152923</v>
      </c>
      <c r="P737" s="22">
        <f>O737/Explications!$C$8</f>
        <v>0.39307966280509743</v>
      </c>
      <c r="Q737" s="7" t="str">
        <f t="shared" si="74"/>
        <v>C16</v>
      </c>
      <c r="R737" s="7" t="str">
        <f t="shared" si="75"/>
        <v>C9</v>
      </c>
      <c r="S737" s="18">
        <f t="shared" si="76"/>
        <v>11.792389884152923</v>
      </c>
      <c r="T737" s="18">
        <f>S737/Explications!$C$8</f>
        <v>0.39307966280509743</v>
      </c>
    </row>
    <row r="738" spans="7:20">
      <c r="G738" s="10" t="s">
        <v>25</v>
      </c>
      <c r="H738" s="10" t="s">
        <v>33</v>
      </c>
      <c r="I738" s="10">
        <v>46.839399999999998</v>
      </c>
      <c r="J738" s="10">
        <v>-71.282700000000006</v>
      </c>
      <c r="K738" s="10">
        <v>46.8035</v>
      </c>
      <c r="L738" s="10">
        <v>-71.3553</v>
      </c>
      <c r="M738" s="10" t="str">
        <f t="shared" si="71"/>
        <v>C9</v>
      </c>
      <c r="N738" s="10" t="str">
        <f t="shared" si="72"/>
        <v>C17</v>
      </c>
      <c r="O738" s="5">
        <f t="shared" si="73"/>
        <v>6.8153903163290783</v>
      </c>
      <c r="P738" s="22">
        <f>O738/Explications!$C$8</f>
        <v>0.22717967721096927</v>
      </c>
      <c r="Q738" s="7" t="str">
        <f t="shared" si="74"/>
        <v>C17</v>
      </c>
      <c r="R738" s="7" t="str">
        <f t="shared" si="75"/>
        <v>C9</v>
      </c>
      <c r="S738" s="18">
        <f t="shared" si="76"/>
        <v>6.8153903163290783</v>
      </c>
      <c r="T738" s="18">
        <f>S738/Explications!$C$8</f>
        <v>0.22717967721096927</v>
      </c>
    </row>
    <row r="739" spans="7:20">
      <c r="G739" s="10" t="s">
        <v>25</v>
      </c>
      <c r="H739" s="10" t="s">
        <v>34</v>
      </c>
      <c r="I739" s="10">
        <v>46.839399999999998</v>
      </c>
      <c r="J739" s="10">
        <v>-71.282700000000006</v>
      </c>
      <c r="K739" s="10">
        <v>46.730200000000004</v>
      </c>
      <c r="L739" s="10">
        <v>-71.274100000000004</v>
      </c>
      <c r="M739" s="10" t="str">
        <f t="shared" si="71"/>
        <v>C9</v>
      </c>
      <c r="N739" s="10" t="str">
        <f t="shared" si="72"/>
        <v>C18</v>
      </c>
      <c r="O739" s="5">
        <f t="shared" si="73"/>
        <v>12.160128698437243</v>
      </c>
      <c r="P739" s="22">
        <f>O739/Explications!$C$8</f>
        <v>0.4053376232812414</v>
      </c>
      <c r="Q739" s="7" t="str">
        <f t="shared" si="74"/>
        <v>C18</v>
      </c>
      <c r="R739" s="7" t="str">
        <f t="shared" si="75"/>
        <v>C9</v>
      </c>
      <c r="S739" s="18">
        <f t="shared" si="76"/>
        <v>12.160128698437243</v>
      </c>
      <c r="T739" s="18">
        <f>S739/Explications!$C$8</f>
        <v>0.4053376232812414</v>
      </c>
    </row>
    <row r="740" spans="7:20">
      <c r="G740" s="10" t="s">
        <v>25</v>
      </c>
      <c r="H740" s="10" t="s">
        <v>35</v>
      </c>
      <c r="I740" s="10">
        <v>46.839399999999998</v>
      </c>
      <c r="J740" s="10">
        <v>-71.282700000000006</v>
      </c>
      <c r="K740" s="10">
        <v>46.785600000000002</v>
      </c>
      <c r="L740" s="10">
        <v>-71.245500000000007</v>
      </c>
      <c r="M740" s="10" t="str">
        <f t="shared" si="71"/>
        <v>C9</v>
      </c>
      <c r="N740" s="10" t="str">
        <f t="shared" si="72"/>
        <v>C19</v>
      </c>
      <c r="O740" s="5">
        <f t="shared" si="73"/>
        <v>6.6183052713801658</v>
      </c>
      <c r="P740" s="22">
        <f>O740/Explications!$C$8</f>
        <v>0.22061017571267219</v>
      </c>
      <c r="Q740" s="7" t="str">
        <f t="shared" si="74"/>
        <v>C19</v>
      </c>
      <c r="R740" s="7" t="str">
        <f t="shared" si="75"/>
        <v>C9</v>
      </c>
      <c r="S740" s="18">
        <f t="shared" si="76"/>
        <v>6.6183052713801658</v>
      </c>
      <c r="T740" s="18">
        <f>S740/Explications!$C$8</f>
        <v>0.22061017571267219</v>
      </c>
    </row>
    <row r="741" spans="7:20">
      <c r="G741" s="10" t="s">
        <v>25</v>
      </c>
      <c r="H741" s="10" t="s">
        <v>36</v>
      </c>
      <c r="I741" s="10">
        <v>46.839399999999998</v>
      </c>
      <c r="J741" s="10">
        <v>-71.282700000000006</v>
      </c>
      <c r="K741" s="10">
        <v>46.8215</v>
      </c>
      <c r="L741" s="10">
        <v>-71.355400000000003</v>
      </c>
      <c r="M741" s="10" t="str">
        <f t="shared" si="71"/>
        <v>C9</v>
      </c>
      <c r="N741" s="10" t="str">
        <f t="shared" si="72"/>
        <v>C20</v>
      </c>
      <c r="O741" s="5">
        <f t="shared" si="73"/>
        <v>5.877909847961293</v>
      </c>
      <c r="P741" s="22">
        <f>O741/Explications!$C$8</f>
        <v>0.19593032826537643</v>
      </c>
      <c r="Q741" s="7" t="str">
        <f t="shared" si="74"/>
        <v>C20</v>
      </c>
      <c r="R741" s="7" t="str">
        <f t="shared" si="75"/>
        <v>C9</v>
      </c>
      <c r="S741" s="18">
        <f t="shared" si="76"/>
        <v>5.877909847961293</v>
      </c>
      <c r="T741" s="18">
        <f>S741/Explications!$C$8</f>
        <v>0.19593032826537643</v>
      </c>
    </row>
    <row r="742" spans="7:20">
      <c r="G742" s="10" t="s">
        <v>25</v>
      </c>
      <c r="H742" s="10" t="s">
        <v>37</v>
      </c>
      <c r="I742" s="10">
        <v>46.839399999999998</v>
      </c>
      <c r="J742" s="10">
        <v>-71.282700000000006</v>
      </c>
      <c r="K742" s="10">
        <v>46.8093</v>
      </c>
      <c r="L742" s="10">
        <v>-71.2273</v>
      </c>
      <c r="M742" s="10" t="str">
        <f t="shared" si="71"/>
        <v>C9</v>
      </c>
      <c r="N742" s="10" t="str">
        <f t="shared" si="72"/>
        <v>C21</v>
      </c>
      <c r="O742" s="5">
        <f t="shared" si="73"/>
        <v>5.3822605723435704</v>
      </c>
      <c r="P742" s="22">
        <f>O742/Explications!$C$8</f>
        <v>0.17940868574478569</v>
      </c>
      <c r="Q742" s="7" t="str">
        <f t="shared" si="74"/>
        <v>C21</v>
      </c>
      <c r="R742" s="7" t="str">
        <f t="shared" si="75"/>
        <v>C9</v>
      </c>
      <c r="S742" s="18">
        <f t="shared" si="76"/>
        <v>5.3822605723435704</v>
      </c>
      <c r="T742" s="18">
        <f>S742/Explications!$C$8</f>
        <v>0.17940868574478569</v>
      </c>
    </row>
    <row r="743" spans="7:20">
      <c r="G743" s="10" t="s">
        <v>25</v>
      </c>
      <c r="H743" s="10" t="s">
        <v>38</v>
      </c>
      <c r="I743" s="10">
        <v>46.839399999999998</v>
      </c>
      <c r="J743" s="10">
        <v>-71.282700000000006</v>
      </c>
      <c r="K743" s="10">
        <v>46.781300000000002</v>
      </c>
      <c r="L743" s="10">
        <v>-71.301000000000002</v>
      </c>
      <c r="M743" s="10" t="str">
        <f t="shared" si="71"/>
        <v>C9</v>
      </c>
      <c r="N743" s="10" t="str">
        <f t="shared" si="72"/>
        <v>C22</v>
      </c>
      <c r="O743" s="5">
        <f t="shared" si="73"/>
        <v>6.6088343399804979</v>
      </c>
      <c r="P743" s="22">
        <f>O743/Explications!$C$8</f>
        <v>0.22029447799934992</v>
      </c>
      <c r="Q743" s="7" t="str">
        <f t="shared" si="74"/>
        <v>C22</v>
      </c>
      <c r="R743" s="7" t="str">
        <f t="shared" si="75"/>
        <v>C9</v>
      </c>
      <c r="S743" s="18">
        <f t="shared" si="76"/>
        <v>6.6088343399804979</v>
      </c>
      <c r="T743" s="18">
        <f>S743/Explications!$C$8</f>
        <v>0.22029447799934992</v>
      </c>
    </row>
    <row r="744" spans="7:20">
      <c r="G744" s="10" t="s">
        <v>25</v>
      </c>
      <c r="H744" s="10" t="s">
        <v>39</v>
      </c>
      <c r="I744" s="10">
        <v>46.839399999999998</v>
      </c>
      <c r="J744" s="10">
        <v>-71.282700000000006</v>
      </c>
      <c r="K744" s="10">
        <v>46.844900000000003</v>
      </c>
      <c r="L744" s="10">
        <v>-71.251400000000004</v>
      </c>
      <c r="M744" s="10" t="str">
        <f t="shared" si="71"/>
        <v>C9</v>
      </c>
      <c r="N744" s="10" t="str">
        <f t="shared" si="72"/>
        <v>C23</v>
      </c>
      <c r="O744" s="5">
        <f t="shared" si="73"/>
        <v>2.4579313744199132</v>
      </c>
      <c r="P744" s="22">
        <f>O744/Explications!$C$8</f>
        <v>8.19310458139971E-2</v>
      </c>
      <c r="Q744" s="7" t="str">
        <f t="shared" si="74"/>
        <v>C23</v>
      </c>
      <c r="R744" s="7" t="str">
        <f t="shared" si="75"/>
        <v>C9</v>
      </c>
      <c r="S744" s="18">
        <f t="shared" si="76"/>
        <v>2.4579313744199132</v>
      </c>
      <c r="T744" s="18">
        <f>S744/Explications!$C$8</f>
        <v>8.19310458139971E-2</v>
      </c>
    </row>
    <row r="745" spans="7:20">
      <c r="G745" s="10" t="s">
        <v>25</v>
      </c>
      <c r="H745" s="10" t="s">
        <v>40</v>
      </c>
      <c r="I745" s="10">
        <v>46.839399999999998</v>
      </c>
      <c r="J745" s="10">
        <v>-71.282700000000006</v>
      </c>
      <c r="K745" s="10">
        <v>46.805500000000002</v>
      </c>
      <c r="L745" s="10">
        <v>-71.2196</v>
      </c>
      <c r="M745" s="10" t="str">
        <f t="shared" si="71"/>
        <v>C9</v>
      </c>
      <c r="N745" s="10" t="str">
        <f t="shared" si="72"/>
        <v>C24</v>
      </c>
      <c r="O745" s="5">
        <f t="shared" si="73"/>
        <v>6.1040383807683636</v>
      </c>
      <c r="P745" s="22">
        <f>O745/Explications!$C$8</f>
        <v>0.20346794602561211</v>
      </c>
      <c r="Q745" s="7" t="str">
        <f t="shared" si="74"/>
        <v>C24</v>
      </c>
      <c r="R745" s="7" t="str">
        <f t="shared" si="75"/>
        <v>C9</v>
      </c>
      <c r="S745" s="18">
        <f t="shared" si="76"/>
        <v>6.1040383807683636</v>
      </c>
      <c r="T745" s="18">
        <f>S745/Explications!$C$8</f>
        <v>0.20346794602561211</v>
      </c>
    </row>
    <row r="746" spans="7:20">
      <c r="G746" s="10" t="s">
        <v>25</v>
      </c>
      <c r="H746" s="10" t="s">
        <v>41</v>
      </c>
      <c r="I746" s="10">
        <v>46.839399999999998</v>
      </c>
      <c r="J746" s="10">
        <v>-71.282700000000006</v>
      </c>
      <c r="K746" s="10">
        <v>46.734900000000003</v>
      </c>
      <c r="L746" s="10">
        <v>-71.266199999999998</v>
      </c>
      <c r="M746" s="10" t="str">
        <f t="shared" si="71"/>
        <v>C9</v>
      </c>
      <c r="N746" s="10" t="str">
        <f t="shared" si="72"/>
        <v>C25</v>
      </c>
      <c r="O746" s="5">
        <f t="shared" si="73"/>
        <v>11.687580426246114</v>
      </c>
      <c r="P746" s="22">
        <f>O746/Explications!$C$8</f>
        <v>0.38958601420820382</v>
      </c>
      <c r="Q746" s="7" t="str">
        <f t="shared" si="74"/>
        <v>C25</v>
      </c>
      <c r="R746" s="7" t="str">
        <f t="shared" si="75"/>
        <v>C9</v>
      </c>
      <c r="S746" s="18">
        <f t="shared" si="76"/>
        <v>11.687580426246114</v>
      </c>
      <c r="T746" s="18">
        <f>S746/Explications!$C$8</f>
        <v>0.38958601420820382</v>
      </c>
    </row>
    <row r="747" spans="7:20">
      <c r="G747" s="10" t="s">
        <v>25</v>
      </c>
      <c r="H747" s="10" t="s">
        <v>42</v>
      </c>
      <c r="I747" s="10">
        <v>46.839399999999998</v>
      </c>
      <c r="J747" s="10">
        <v>-71.282700000000006</v>
      </c>
      <c r="K747" s="10">
        <v>46.817700000000002</v>
      </c>
      <c r="L747" s="10">
        <v>-71.214100000000002</v>
      </c>
      <c r="M747" s="10" t="str">
        <f t="shared" si="71"/>
        <v>C9</v>
      </c>
      <c r="N747" s="10" t="str">
        <f t="shared" si="72"/>
        <v>C26</v>
      </c>
      <c r="O747" s="5">
        <f t="shared" si="73"/>
        <v>5.7497397418728173</v>
      </c>
      <c r="P747" s="22">
        <f>O747/Explications!$C$8</f>
        <v>0.19165799139576059</v>
      </c>
      <c r="Q747" s="7" t="str">
        <f t="shared" si="74"/>
        <v>C26</v>
      </c>
      <c r="R747" s="7" t="str">
        <f t="shared" si="75"/>
        <v>C9</v>
      </c>
      <c r="S747" s="18">
        <f t="shared" si="76"/>
        <v>5.7497397418728173</v>
      </c>
      <c r="T747" s="18">
        <f>S747/Explications!$C$8</f>
        <v>0.19165799139576059</v>
      </c>
    </row>
    <row r="748" spans="7:20">
      <c r="G748" s="10" t="s">
        <v>25</v>
      </c>
      <c r="H748" s="10" t="s">
        <v>43</v>
      </c>
      <c r="I748" s="10">
        <v>46.839399999999998</v>
      </c>
      <c r="J748" s="10">
        <v>-71.282700000000006</v>
      </c>
      <c r="K748" s="10">
        <v>46.603000000000002</v>
      </c>
      <c r="L748" s="10">
        <v>-71.490600000000001</v>
      </c>
      <c r="M748" s="10" t="str">
        <f t="shared" si="71"/>
        <v>C9</v>
      </c>
      <c r="N748" s="10" t="str">
        <f t="shared" si="72"/>
        <v>C27</v>
      </c>
      <c r="O748" s="5">
        <f t="shared" si="73"/>
        <v>30.694307745048512</v>
      </c>
      <c r="P748" s="22">
        <f>O748/Explications!$C$8</f>
        <v>1.0231435915016172</v>
      </c>
      <c r="Q748" s="7" t="str">
        <f t="shared" si="74"/>
        <v>C27</v>
      </c>
      <c r="R748" s="7" t="str">
        <f t="shared" si="75"/>
        <v>C9</v>
      </c>
      <c r="S748" s="18">
        <f t="shared" si="76"/>
        <v>30.694307745048512</v>
      </c>
      <c r="T748" s="18">
        <f>S748/Explications!$C$8</f>
        <v>1.0231435915016172</v>
      </c>
    </row>
    <row r="749" spans="7:20">
      <c r="G749" s="10" t="s">
        <v>25</v>
      </c>
      <c r="H749" s="10" t="s">
        <v>44</v>
      </c>
      <c r="I749" s="10">
        <v>46.839399999999998</v>
      </c>
      <c r="J749" s="10">
        <v>-71.282700000000006</v>
      </c>
      <c r="K749" s="10">
        <v>47.000500000000002</v>
      </c>
      <c r="L749" s="10">
        <v>-71.388400000000004</v>
      </c>
      <c r="M749" s="10" t="str">
        <f t="shared" si="71"/>
        <v>C9</v>
      </c>
      <c r="N749" s="10" t="str">
        <f t="shared" si="72"/>
        <v>C28</v>
      </c>
      <c r="O749" s="5">
        <f t="shared" si="73"/>
        <v>19.630025958591123</v>
      </c>
      <c r="P749" s="22">
        <f>O749/Explications!$C$8</f>
        <v>0.6543341986197041</v>
      </c>
      <c r="Q749" s="7" t="str">
        <f t="shared" si="74"/>
        <v>C28</v>
      </c>
      <c r="R749" s="7" t="str">
        <f t="shared" si="75"/>
        <v>C9</v>
      </c>
      <c r="S749" s="18">
        <f t="shared" si="76"/>
        <v>19.630025958591123</v>
      </c>
      <c r="T749" s="18">
        <f>S749/Explications!$C$8</f>
        <v>0.6543341986197041</v>
      </c>
    </row>
    <row r="750" spans="7:20">
      <c r="G750" s="10" t="s">
        <v>25</v>
      </c>
      <c r="H750" s="10" t="s">
        <v>45</v>
      </c>
      <c r="I750" s="10">
        <v>46.839399999999998</v>
      </c>
      <c r="J750" s="10">
        <v>-71.282700000000006</v>
      </c>
      <c r="K750" s="10">
        <v>46.839100000000002</v>
      </c>
      <c r="L750" s="10">
        <v>-71.245699999999999</v>
      </c>
      <c r="M750" s="10" t="str">
        <f t="shared" si="71"/>
        <v>C9</v>
      </c>
      <c r="N750" s="10" t="str">
        <f t="shared" si="72"/>
        <v>C29</v>
      </c>
      <c r="O750" s="5">
        <f t="shared" si="73"/>
        <v>2.8145145890802796</v>
      </c>
      <c r="P750" s="22">
        <f>O750/Explications!$C$8</f>
        <v>9.3817152969342649E-2</v>
      </c>
      <c r="Q750" s="7" t="str">
        <f t="shared" si="74"/>
        <v>C29</v>
      </c>
      <c r="R750" s="7" t="str">
        <f t="shared" si="75"/>
        <v>C9</v>
      </c>
      <c r="S750" s="18">
        <f t="shared" si="76"/>
        <v>2.8145145890802796</v>
      </c>
      <c r="T750" s="18">
        <f>S750/Explications!$C$8</f>
        <v>9.3817152969342649E-2</v>
      </c>
    </row>
    <row r="751" spans="7:20">
      <c r="G751" s="10" t="s">
        <v>25</v>
      </c>
      <c r="H751" s="10" t="s">
        <v>46</v>
      </c>
      <c r="I751" s="10">
        <v>46.839399999999998</v>
      </c>
      <c r="J751" s="10">
        <v>-71.282700000000006</v>
      </c>
      <c r="K751" s="10">
        <v>46.865699999999997</v>
      </c>
      <c r="L751" s="10">
        <v>-71.27</v>
      </c>
      <c r="M751" s="10" t="str">
        <f t="shared" si="71"/>
        <v>C9</v>
      </c>
      <c r="N751" s="10" t="str">
        <f t="shared" si="72"/>
        <v>C30</v>
      </c>
      <c r="O751" s="5">
        <f t="shared" si="73"/>
        <v>3.0797655088119718</v>
      </c>
      <c r="P751" s="22">
        <f>O751/Explications!$C$8</f>
        <v>0.1026588502937324</v>
      </c>
      <c r="Q751" s="7" t="str">
        <f t="shared" si="74"/>
        <v>C30</v>
      </c>
      <c r="R751" s="7" t="str">
        <f t="shared" si="75"/>
        <v>C9</v>
      </c>
      <c r="S751" s="18">
        <f t="shared" si="76"/>
        <v>3.0797655088119718</v>
      </c>
      <c r="T751" s="18">
        <f>S751/Explications!$C$8</f>
        <v>0.1026588502937324</v>
      </c>
    </row>
    <row r="752" spans="7:20">
      <c r="G752" s="10" t="s">
        <v>25</v>
      </c>
      <c r="H752" s="10" t="s">
        <v>47</v>
      </c>
      <c r="I752" s="10">
        <v>46.839399999999998</v>
      </c>
      <c r="J752" s="10">
        <v>-71.282700000000006</v>
      </c>
      <c r="K752" s="10">
        <v>46.805500000000002</v>
      </c>
      <c r="L752" s="10">
        <v>-71.217299999999994</v>
      </c>
      <c r="M752" s="10" t="str">
        <f t="shared" si="71"/>
        <v>C9</v>
      </c>
      <c r="N752" s="10" t="str">
        <f t="shared" si="72"/>
        <v>C31</v>
      </c>
      <c r="O752" s="5">
        <f t="shared" si="73"/>
        <v>6.2426167983697516</v>
      </c>
      <c r="P752" s="22">
        <f>O752/Explications!$C$8</f>
        <v>0.20808722661232507</v>
      </c>
      <c r="Q752" s="7" t="str">
        <f t="shared" si="74"/>
        <v>C31</v>
      </c>
      <c r="R752" s="7" t="str">
        <f t="shared" si="75"/>
        <v>C9</v>
      </c>
      <c r="S752" s="18">
        <f t="shared" si="76"/>
        <v>6.2426167983697516</v>
      </c>
      <c r="T752" s="18">
        <f>S752/Explications!$C$8</f>
        <v>0.20808722661232507</v>
      </c>
    </row>
    <row r="753" spans="7:20">
      <c r="G753" s="10" t="s">
        <v>25</v>
      </c>
      <c r="H753" s="10" t="s">
        <v>48</v>
      </c>
      <c r="I753" s="10">
        <v>46.839399999999998</v>
      </c>
      <c r="J753" s="10">
        <v>-71.282700000000006</v>
      </c>
      <c r="K753" s="10">
        <v>46.792299999999997</v>
      </c>
      <c r="L753" s="10">
        <v>-71.172899999999998</v>
      </c>
      <c r="M753" s="10" t="str">
        <f t="shared" si="71"/>
        <v>C9</v>
      </c>
      <c r="N753" s="10" t="str">
        <f t="shared" si="72"/>
        <v>C32</v>
      </c>
      <c r="O753" s="5">
        <f t="shared" si="73"/>
        <v>9.861050907375569</v>
      </c>
      <c r="P753" s="22">
        <f>O753/Explications!$C$8</f>
        <v>0.32870169691251899</v>
      </c>
      <c r="Q753" s="7" t="str">
        <f t="shared" si="74"/>
        <v>C32</v>
      </c>
      <c r="R753" s="7" t="str">
        <f t="shared" si="75"/>
        <v>C9</v>
      </c>
      <c r="S753" s="18">
        <f t="shared" si="76"/>
        <v>9.861050907375569</v>
      </c>
      <c r="T753" s="18">
        <f>S753/Explications!$C$8</f>
        <v>0.32870169691251899</v>
      </c>
    </row>
    <row r="754" spans="7:20">
      <c r="G754" s="10" t="s">
        <v>25</v>
      </c>
      <c r="H754" s="10" t="s">
        <v>49</v>
      </c>
      <c r="I754" s="10">
        <v>46.839399999999998</v>
      </c>
      <c r="J754" s="10">
        <v>-71.282700000000006</v>
      </c>
      <c r="K754" s="10">
        <v>46.7883</v>
      </c>
      <c r="L754" s="10">
        <v>-71.131200000000007</v>
      </c>
      <c r="M754" s="10" t="str">
        <f t="shared" si="71"/>
        <v>C9</v>
      </c>
      <c r="N754" s="10" t="str">
        <f t="shared" si="72"/>
        <v>C33</v>
      </c>
      <c r="O754" s="5">
        <f t="shared" si="73"/>
        <v>12.853094396689464</v>
      </c>
      <c r="P754" s="22">
        <f>O754/Explications!$C$8</f>
        <v>0.42843647988964878</v>
      </c>
      <c r="Q754" s="7" t="str">
        <f t="shared" si="74"/>
        <v>C33</v>
      </c>
      <c r="R754" s="7" t="str">
        <f t="shared" si="75"/>
        <v>C9</v>
      </c>
      <c r="S754" s="18">
        <f t="shared" si="76"/>
        <v>12.853094396689464</v>
      </c>
      <c r="T754" s="18">
        <f>S754/Explications!$C$8</f>
        <v>0.42843647988964878</v>
      </c>
    </row>
    <row r="755" spans="7:20">
      <c r="G755" s="10" t="s">
        <v>25</v>
      </c>
      <c r="H755" s="10" t="s">
        <v>50</v>
      </c>
      <c r="I755" s="10">
        <v>46.839399999999998</v>
      </c>
      <c r="J755" s="10">
        <v>-71.282700000000006</v>
      </c>
      <c r="K755" s="10">
        <v>46.8611</v>
      </c>
      <c r="L755" s="10">
        <v>-71.268799999999999</v>
      </c>
      <c r="M755" s="10" t="str">
        <f t="shared" si="71"/>
        <v>C9</v>
      </c>
      <c r="N755" s="10" t="str">
        <f t="shared" si="72"/>
        <v>C34</v>
      </c>
      <c r="O755" s="5">
        <f t="shared" si="73"/>
        <v>2.6343108612329775</v>
      </c>
      <c r="P755" s="22">
        <f>O755/Explications!$C$8</f>
        <v>8.7810362041099252E-2</v>
      </c>
      <c r="Q755" s="7" t="str">
        <f t="shared" si="74"/>
        <v>C34</v>
      </c>
      <c r="R755" s="7" t="str">
        <f t="shared" si="75"/>
        <v>C9</v>
      </c>
      <c r="S755" s="18">
        <f t="shared" si="76"/>
        <v>2.6343108612329775</v>
      </c>
      <c r="T755" s="18">
        <f>S755/Explications!$C$8</f>
        <v>8.7810362041099252E-2</v>
      </c>
    </row>
    <row r="756" spans="7:20">
      <c r="G756" s="10" t="s">
        <v>25</v>
      </c>
      <c r="H756" s="10" t="s">
        <v>51</v>
      </c>
      <c r="I756" s="10">
        <v>46.839399999999998</v>
      </c>
      <c r="J756" s="10">
        <v>-71.282700000000006</v>
      </c>
      <c r="K756" s="10">
        <v>46.869700000000002</v>
      </c>
      <c r="L756" s="10">
        <v>-71.205200000000005</v>
      </c>
      <c r="M756" s="10" t="str">
        <f t="shared" si="71"/>
        <v>C9</v>
      </c>
      <c r="N756" s="10" t="str">
        <f t="shared" si="72"/>
        <v>C35</v>
      </c>
      <c r="O756" s="5">
        <f t="shared" si="73"/>
        <v>6.7883022106265667</v>
      </c>
      <c r="P756" s="22">
        <f>O756/Explications!$C$8</f>
        <v>0.22627674035421888</v>
      </c>
      <c r="Q756" s="7" t="str">
        <f t="shared" si="74"/>
        <v>C35</v>
      </c>
      <c r="R756" s="7" t="str">
        <f t="shared" si="75"/>
        <v>C9</v>
      </c>
      <c r="S756" s="18">
        <f t="shared" si="76"/>
        <v>6.7883022106265667</v>
      </c>
      <c r="T756" s="18">
        <f>S756/Explications!$C$8</f>
        <v>0.22627674035421888</v>
      </c>
    </row>
    <row r="757" spans="7:20">
      <c r="G757" s="10" t="s">
        <v>25</v>
      </c>
      <c r="H757" s="10" t="s">
        <v>52</v>
      </c>
      <c r="I757" s="10">
        <v>46.839399999999998</v>
      </c>
      <c r="J757" s="10">
        <v>-71.282700000000006</v>
      </c>
      <c r="K757" s="10">
        <v>46.774099999999997</v>
      </c>
      <c r="L757" s="10">
        <v>-71.174000000000007</v>
      </c>
      <c r="M757" s="10" t="str">
        <f t="shared" si="71"/>
        <v>C9</v>
      </c>
      <c r="N757" s="10" t="str">
        <f t="shared" si="72"/>
        <v>C36</v>
      </c>
      <c r="O757" s="5">
        <f t="shared" si="73"/>
        <v>11.007503382177903</v>
      </c>
      <c r="P757" s="22">
        <f>O757/Explications!$C$8</f>
        <v>0.36691677940593009</v>
      </c>
      <c r="Q757" s="7" t="str">
        <f t="shared" si="74"/>
        <v>C36</v>
      </c>
      <c r="R757" s="7" t="str">
        <f t="shared" si="75"/>
        <v>C9</v>
      </c>
      <c r="S757" s="18">
        <f t="shared" si="76"/>
        <v>11.007503382177903</v>
      </c>
      <c r="T757" s="18">
        <f>S757/Explications!$C$8</f>
        <v>0.36691677940593009</v>
      </c>
    </row>
    <row r="758" spans="7:20">
      <c r="G758" s="10" t="s">
        <v>25</v>
      </c>
      <c r="H758" s="10" t="s">
        <v>53</v>
      </c>
      <c r="I758" s="10">
        <v>46.839399999999998</v>
      </c>
      <c r="J758" s="10">
        <v>-71.282700000000006</v>
      </c>
      <c r="K758" s="10">
        <v>46.808500000000002</v>
      </c>
      <c r="L758" s="10">
        <v>-71.326599999999999</v>
      </c>
      <c r="M758" s="10" t="str">
        <f t="shared" si="71"/>
        <v>C9</v>
      </c>
      <c r="N758" s="10" t="str">
        <f t="shared" si="72"/>
        <v>C37</v>
      </c>
      <c r="O758" s="5">
        <f t="shared" si="73"/>
        <v>4.7918506964521939</v>
      </c>
      <c r="P758" s="22">
        <f>O758/Explications!$C$8</f>
        <v>0.15972835654840647</v>
      </c>
      <c r="Q758" s="7" t="str">
        <f t="shared" si="74"/>
        <v>C37</v>
      </c>
      <c r="R758" s="7" t="str">
        <f t="shared" si="75"/>
        <v>C9</v>
      </c>
      <c r="S758" s="18">
        <f t="shared" si="76"/>
        <v>4.7918506964521939</v>
      </c>
      <c r="T758" s="18">
        <f>S758/Explications!$C$8</f>
        <v>0.15972835654840647</v>
      </c>
    </row>
    <row r="759" spans="7:20">
      <c r="G759" s="10" t="s">
        <v>25</v>
      </c>
      <c r="H759" s="10" t="s">
        <v>54</v>
      </c>
      <c r="I759" s="10">
        <v>46.839399999999998</v>
      </c>
      <c r="J759" s="10">
        <v>-71.282700000000006</v>
      </c>
      <c r="K759" s="10">
        <v>46.797499999999999</v>
      </c>
      <c r="L759" s="10">
        <v>-71.306100000000001</v>
      </c>
      <c r="M759" s="10" t="str">
        <f t="shared" si="71"/>
        <v>C9</v>
      </c>
      <c r="N759" s="10" t="str">
        <f t="shared" si="72"/>
        <v>C38</v>
      </c>
      <c r="O759" s="5">
        <f t="shared" si="73"/>
        <v>4.9877130914197245</v>
      </c>
      <c r="P759" s="22">
        <f>O759/Explications!$C$8</f>
        <v>0.16625710304732416</v>
      </c>
      <c r="Q759" s="7" t="str">
        <f t="shared" si="74"/>
        <v>C38</v>
      </c>
      <c r="R759" s="7" t="str">
        <f t="shared" si="75"/>
        <v>C9</v>
      </c>
      <c r="S759" s="18">
        <f t="shared" si="76"/>
        <v>4.9877130914197245</v>
      </c>
      <c r="T759" s="18">
        <f>S759/Explications!$C$8</f>
        <v>0.16625710304732416</v>
      </c>
    </row>
    <row r="760" spans="7:20">
      <c r="G760" s="10" t="s">
        <v>25</v>
      </c>
      <c r="H760" s="10" t="s">
        <v>55</v>
      </c>
      <c r="I760" s="10">
        <v>46.839399999999998</v>
      </c>
      <c r="J760" s="10">
        <v>-71.282700000000006</v>
      </c>
      <c r="K760" s="10">
        <v>46.8155</v>
      </c>
      <c r="L760" s="10">
        <v>-71.268199999999993</v>
      </c>
      <c r="M760" s="10" t="str">
        <f t="shared" si="71"/>
        <v>C9</v>
      </c>
      <c r="N760" s="10" t="str">
        <f t="shared" si="72"/>
        <v>C39</v>
      </c>
      <c r="O760" s="5">
        <f t="shared" si="73"/>
        <v>2.8774222342063851</v>
      </c>
      <c r="P760" s="22">
        <f>O760/Explications!$C$8</f>
        <v>9.5914074473546176E-2</v>
      </c>
      <c r="Q760" s="7" t="str">
        <f t="shared" si="74"/>
        <v>C39</v>
      </c>
      <c r="R760" s="7" t="str">
        <f t="shared" si="75"/>
        <v>C9</v>
      </c>
      <c r="S760" s="18">
        <f t="shared" si="76"/>
        <v>2.8774222342063851</v>
      </c>
      <c r="T760" s="18">
        <f>S760/Explications!$C$8</f>
        <v>9.5914074473546176E-2</v>
      </c>
    </row>
    <row r="761" spans="7:20">
      <c r="G761" s="10" t="s">
        <v>25</v>
      </c>
      <c r="H761" s="10" t="s">
        <v>56</v>
      </c>
      <c r="I761" s="10">
        <v>46.839399999999998</v>
      </c>
      <c r="J761" s="10">
        <v>-71.282700000000006</v>
      </c>
      <c r="K761" s="10">
        <v>46.866700000000002</v>
      </c>
      <c r="L761" s="10">
        <v>-71.215900000000005</v>
      </c>
      <c r="M761" s="10" t="str">
        <f t="shared" si="71"/>
        <v>C9</v>
      </c>
      <c r="N761" s="10" t="str">
        <f t="shared" si="72"/>
        <v>C40</v>
      </c>
      <c r="O761" s="5">
        <f t="shared" si="73"/>
        <v>5.9176111092180985</v>
      </c>
      <c r="P761" s="22">
        <f>O761/Explications!$C$8</f>
        <v>0.1972537036406033</v>
      </c>
      <c r="Q761" s="7" t="str">
        <f t="shared" si="74"/>
        <v>C40</v>
      </c>
      <c r="R761" s="7" t="str">
        <f t="shared" si="75"/>
        <v>C9</v>
      </c>
      <c r="S761" s="18">
        <f t="shared" si="76"/>
        <v>5.9176111092180985</v>
      </c>
      <c r="T761" s="18">
        <f>S761/Explications!$C$8</f>
        <v>0.1972537036406033</v>
      </c>
    </row>
    <row r="762" spans="7:20">
      <c r="G762" s="10" t="s">
        <v>25</v>
      </c>
      <c r="H762" s="10" t="s">
        <v>57</v>
      </c>
      <c r="I762" s="10">
        <v>46.839399999999998</v>
      </c>
      <c r="J762" s="10">
        <v>-71.282700000000006</v>
      </c>
      <c r="K762" s="10">
        <v>46.762099999999997</v>
      </c>
      <c r="L762" s="10">
        <v>-71.235399999999998</v>
      </c>
      <c r="M762" s="10" t="str">
        <f t="shared" si="71"/>
        <v>C9</v>
      </c>
      <c r="N762" s="10" t="str">
        <f t="shared" si="72"/>
        <v>C41</v>
      </c>
      <c r="O762" s="5">
        <f t="shared" si="73"/>
        <v>9.3189473760612689</v>
      </c>
      <c r="P762" s="22">
        <f>O762/Explications!$C$8</f>
        <v>0.31063157920204232</v>
      </c>
      <c r="Q762" s="7" t="str">
        <f t="shared" si="74"/>
        <v>C41</v>
      </c>
      <c r="R762" s="7" t="str">
        <f t="shared" si="75"/>
        <v>C9</v>
      </c>
      <c r="S762" s="18">
        <f t="shared" si="76"/>
        <v>9.3189473760612689</v>
      </c>
      <c r="T762" s="18">
        <f>S762/Explications!$C$8</f>
        <v>0.31063157920204232</v>
      </c>
    </row>
    <row r="763" spans="7:20">
      <c r="G763" s="10" t="s">
        <v>25</v>
      </c>
      <c r="H763" s="10" t="s">
        <v>58</v>
      </c>
      <c r="I763" s="10">
        <v>46.839399999999998</v>
      </c>
      <c r="J763" s="10">
        <v>-71.282700000000006</v>
      </c>
      <c r="K763" s="10">
        <v>46.8157</v>
      </c>
      <c r="L763" s="10">
        <v>-71.2042</v>
      </c>
      <c r="M763" s="10" t="str">
        <f t="shared" si="71"/>
        <v>C9</v>
      </c>
      <c r="N763" s="10" t="str">
        <f t="shared" si="72"/>
        <v>C42</v>
      </c>
      <c r="O763" s="5">
        <f t="shared" si="73"/>
        <v>6.5278070858065114</v>
      </c>
      <c r="P763" s="22">
        <f>O763/Explications!$C$8</f>
        <v>0.21759356952688372</v>
      </c>
      <c r="Q763" s="7" t="str">
        <f t="shared" si="74"/>
        <v>C42</v>
      </c>
      <c r="R763" s="7" t="str">
        <f t="shared" si="75"/>
        <v>C9</v>
      </c>
      <c r="S763" s="18">
        <f t="shared" si="76"/>
        <v>6.5278070858065114</v>
      </c>
      <c r="T763" s="18">
        <f>S763/Explications!$C$8</f>
        <v>0.21759356952688372</v>
      </c>
    </row>
    <row r="764" spans="7:20">
      <c r="G764" s="10" t="s">
        <v>25</v>
      </c>
      <c r="H764" s="10" t="s">
        <v>59</v>
      </c>
      <c r="I764" s="10">
        <v>46.839399999999998</v>
      </c>
      <c r="J764" s="10">
        <v>-71.282700000000006</v>
      </c>
      <c r="K764" s="10">
        <v>46.707000000000001</v>
      </c>
      <c r="L764" s="10">
        <v>-71.217100000000002</v>
      </c>
      <c r="M764" s="10" t="str">
        <f t="shared" si="71"/>
        <v>C9</v>
      </c>
      <c r="N764" s="10" t="str">
        <f t="shared" si="72"/>
        <v>C43</v>
      </c>
      <c r="O764" s="5">
        <f t="shared" si="73"/>
        <v>15.546760652967995</v>
      </c>
      <c r="P764" s="22">
        <f>O764/Explications!$C$8</f>
        <v>0.51822535509893319</v>
      </c>
      <c r="Q764" s="7" t="str">
        <f t="shared" si="74"/>
        <v>C43</v>
      </c>
      <c r="R764" s="7" t="str">
        <f t="shared" si="75"/>
        <v>C9</v>
      </c>
      <c r="S764" s="18">
        <f t="shared" si="76"/>
        <v>15.546760652967995</v>
      </c>
      <c r="T764" s="18">
        <f>S764/Explications!$C$8</f>
        <v>0.51822535509893319</v>
      </c>
    </row>
    <row r="765" spans="7:20">
      <c r="G765" s="10" t="s">
        <v>25</v>
      </c>
      <c r="H765" s="10" t="s">
        <v>60</v>
      </c>
      <c r="I765" s="10">
        <v>46.839399999999998</v>
      </c>
      <c r="J765" s="10">
        <v>-71.282700000000006</v>
      </c>
      <c r="K765" s="10">
        <v>46.802900000000001</v>
      </c>
      <c r="L765" s="10">
        <v>-71.228899999999996</v>
      </c>
      <c r="M765" s="10" t="str">
        <f t="shared" si="71"/>
        <v>C9</v>
      </c>
      <c r="N765" s="10" t="str">
        <f t="shared" si="72"/>
        <v>C44</v>
      </c>
      <c r="O765" s="5">
        <f t="shared" si="73"/>
        <v>5.764501725442269</v>
      </c>
      <c r="P765" s="22">
        <f>O765/Explications!$C$8</f>
        <v>0.19215005751474229</v>
      </c>
      <c r="Q765" s="7" t="str">
        <f t="shared" si="74"/>
        <v>C44</v>
      </c>
      <c r="R765" s="7" t="str">
        <f t="shared" si="75"/>
        <v>C9</v>
      </c>
      <c r="S765" s="18">
        <f t="shared" si="76"/>
        <v>5.764501725442269</v>
      </c>
      <c r="T765" s="18">
        <f>S765/Explications!$C$8</f>
        <v>0.19215005751474229</v>
      </c>
    </row>
    <row r="766" spans="7:20">
      <c r="G766" s="10" t="s">
        <v>25</v>
      </c>
      <c r="H766" s="10" t="s">
        <v>61</v>
      </c>
      <c r="I766" s="10">
        <v>46.839399999999998</v>
      </c>
      <c r="J766" s="10">
        <v>-71.282700000000006</v>
      </c>
      <c r="K766" s="10">
        <v>46.796900000000001</v>
      </c>
      <c r="L766" s="10">
        <v>-71.3078</v>
      </c>
      <c r="M766" s="10" t="str">
        <f t="shared" si="71"/>
        <v>C9</v>
      </c>
      <c r="N766" s="10" t="str">
        <f t="shared" si="72"/>
        <v>C45</v>
      </c>
      <c r="O766" s="5">
        <f t="shared" si="73"/>
        <v>5.0971400645095093</v>
      </c>
      <c r="P766" s="22">
        <f>O766/Explications!$C$8</f>
        <v>0.16990466881698366</v>
      </c>
      <c r="Q766" s="7" t="str">
        <f t="shared" si="74"/>
        <v>C45</v>
      </c>
      <c r="R766" s="7" t="str">
        <f t="shared" si="75"/>
        <v>C9</v>
      </c>
      <c r="S766" s="18">
        <f t="shared" si="76"/>
        <v>5.0971400645095093</v>
      </c>
      <c r="T766" s="18">
        <f>S766/Explications!$C$8</f>
        <v>0.16990466881698366</v>
      </c>
    </row>
    <row r="767" spans="7:20">
      <c r="G767" s="10" t="s">
        <v>25</v>
      </c>
      <c r="H767" s="10" t="s">
        <v>62</v>
      </c>
      <c r="I767" s="10">
        <v>46.839399999999998</v>
      </c>
      <c r="J767" s="10">
        <v>-71.282700000000006</v>
      </c>
      <c r="K767" s="10">
        <v>46.803600000000003</v>
      </c>
      <c r="L767" s="10">
        <v>-71.231099999999998</v>
      </c>
      <c r="M767" s="10" t="str">
        <f t="shared" si="71"/>
        <v>C9</v>
      </c>
      <c r="N767" s="10" t="str">
        <f t="shared" si="72"/>
        <v>C46</v>
      </c>
      <c r="O767" s="5">
        <f t="shared" si="73"/>
        <v>5.5911601022854587</v>
      </c>
      <c r="P767" s="22">
        <f>O767/Explications!$C$8</f>
        <v>0.18637200340951529</v>
      </c>
      <c r="Q767" s="7" t="str">
        <f t="shared" si="74"/>
        <v>C46</v>
      </c>
      <c r="R767" s="7" t="str">
        <f t="shared" si="75"/>
        <v>C9</v>
      </c>
      <c r="S767" s="18">
        <f t="shared" si="76"/>
        <v>5.5911601022854587</v>
      </c>
      <c r="T767" s="18">
        <f>S767/Explications!$C$8</f>
        <v>0.18637200340951529</v>
      </c>
    </row>
    <row r="768" spans="7:20">
      <c r="G768" s="10" t="s">
        <v>25</v>
      </c>
      <c r="H768" s="10" t="s">
        <v>63</v>
      </c>
      <c r="I768" s="10">
        <v>46.839399999999998</v>
      </c>
      <c r="J768" s="10">
        <v>-71.282700000000006</v>
      </c>
      <c r="K768" s="10">
        <v>46.802399999999999</v>
      </c>
      <c r="L768" s="10">
        <v>-71.269800000000004</v>
      </c>
      <c r="M768" s="10" t="str">
        <f t="shared" si="71"/>
        <v>C9</v>
      </c>
      <c r="N768" s="10" t="str">
        <f t="shared" si="72"/>
        <v>C47</v>
      </c>
      <c r="O768" s="5">
        <f t="shared" si="73"/>
        <v>4.2296771671756135</v>
      </c>
      <c r="P768" s="22">
        <f>O768/Explications!$C$8</f>
        <v>0.14098923890585377</v>
      </c>
      <c r="Q768" s="7" t="str">
        <f t="shared" si="74"/>
        <v>C47</v>
      </c>
      <c r="R768" s="7" t="str">
        <f t="shared" si="75"/>
        <v>C9</v>
      </c>
      <c r="S768" s="18">
        <f t="shared" si="76"/>
        <v>4.2296771671756135</v>
      </c>
      <c r="T768" s="18">
        <f>S768/Explications!$C$8</f>
        <v>0.14098923890585377</v>
      </c>
    </row>
    <row r="769" spans="7:20">
      <c r="G769" s="10" t="s">
        <v>25</v>
      </c>
      <c r="H769" s="10" t="s">
        <v>64</v>
      </c>
      <c r="I769" s="10">
        <v>46.839399999999998</v>
      </c>
      <c r="J769" s="10">
        <v>-71.282700000000006</v>
      </c>
      <c r="K769" s="10">
        <v>46.826799999999999</v>
      </c>
      <c r="L769" s="10">
        <v>-71.224199999999996</v>
      </c>
      <c r="M769" s="10" t="str">
        <f t="shared" si="71"/>
        <v>C9</v>
      </c>
      <c r="N769" s="10" t="str">
        <f t="shared" si="72"/>
        <v>C48</v>
      </c>
      <c r="O769" s="5">
        <f t="shared" si="73"/>
        <v>4.665510944644387</v>
      </c>
      <c r="P769" s="22">
        <f>O769/Explications!$C$8</f>
        <v>0.15551703148814625</v>
      </c>
      <c r="Q769" s="7" t="str">
        <f t="shared" si="74"/>
        <v>C48</v>
      </c>
      <c r="R769" s="7" t="str">
        <f t="shared" si="75"/>
        <v>C9</v>
      </c>
      <c r="S769" s="18">
        <f t="shared" si="76"/>
        <v>4.665510944644387</v>
      </c>
      <c r="T769" s="18">
        <f>S769/Explications!$C$8</f>
        <v>0.15551703148814625</v>
      </c>
    </row>
    <row r="770" spans="7:20">
      <c r="G770" s="10" t="s">
        <v>25</v>
      </c>
      <c r="H770" s="10" t="s">
        <v>65</v>
      </c>
      <c r="I770" s="10">
        <v>46.839399999999998</v>
      </c>
      <c r="J770" s="10">
        <v>-71.282700000000006</v>
      </c>
      <c r="K770" s="10">
        <v>46.864100000000001</v>
      </c>
      <c r="L770" s="10">
        <v>-71.255499999999998</v>
      </c>
      <c r="M770" s="10" t="str">
        <f t="shared" si="71"/>
        <v>C9</v>
      </c>
      <c r="N770" s="10" t="str">
        <f t="shared" si="72"/>
        <v>C49</v>
      </c>
      <c r="O770" s="5">
        <f t="shared" si="73"/>
        <v>3.4382716141335941</v>
      </c>
      <c r="P770" s="22">
        <f>O770/Explications!$C$8</f>
        <v>0.11460905380445313</v>
      </c>
      <c r="Q770" s="7" t="str">
        <f t="shared" si="74"/>
        <v>C49</v>
      </c>
      <c r="R770" s="7" t="str">
        <f t="shared" si="75"/>
        <v>C9</v>
      </c>
      <c r="S770" s="18">
        <f t="shared" si="76"/>
        <v>3.4382716141335941</v>
      </c>
      <c r="T770" s="18">
        <f>S770/Explications!$C$8</f>
        <v>0.11460905380445313</v>
      </c>
    </row>
    <row r="771" spans="7:20">
      <c r="G771" s="10" t="s">
        <v>25</v>
      </c>
      <c r="H771" s="10" t="s">
        <v>66</v>
      </c>
      <c r="I771" s="10">
        <v>46.839399999999998</v>
      </c>
      <c r="J771" s="10">
        <v>-71.282700000000006</v>
      </c>
      <c r="K771" s="10">
        <v>46.843800000000002</v>
      </c>
      <c r="L771" s="10">
        <v>-71.247299999999996</v>
      </c>
      <c r="M771" s="10" t="str">
        <f t="shared" si="71"/>
        <v>C9</v>
      </c>
      <c r="N771" s="10" t="str">
        <f t="shared" si="72"/>
        <v>C50</v>
      </c>
      <c r="O771" s="5">
        <f t="shared" si="73"/>
        <v>2.7365897755040214</v>
      </c>
      <c r="P771" s="22">
        <f>O771/Explications!$C$8</f>
        <v>9.1219659183467375E-2</v>
      </c>
      <c r="Q771" s="7" t="str">
        <f t="shared" si="74"/>
        <v>C50</v>
      </c>
      <c r="R771" s="7" t="str">
        <f t="shared" si="75"/>
        <v>C9</v>
      </c>
      <c r="S771" s="18">
        <f t="shared" si="76"/>
        <v>2.7365897755040214</v>
      </c>
      <c r="T771" s="18">
        <f>S771/Explications!$C$8</f>
        <v>9.1219659183467375E-2</v>
      </c>
    </row>
    <row r="772" spans="7:20">
      <c r="G772" s="10" t="s">
        <v>25</v>
      </c>
      <c r="H772" s="10" t="s">
        <v>67</v>
      </c>
      <c r="I772" s="10">
        <v>46.839399999999998</v>
      </c>
      <c r="J772" s="10">
        <v>-71.282700000000006</v>
      </c>
      <c r="K772" s="10">
        <v>46.765599999999999</v>
      </c>
      <c r="L772" s="10">
        <v>-71.312100000000001</v>
      </c>
      <c r="M772" s="10" t="str">
        <f t="shared" ref="M772:M835" si="77">G772</f>
        <v>C9</v>
      </c>
      <c r="N772" s="10" t="str">
        <f t="shared" ref="N772:N835" si="78">H772</f>
        <v>C51</v>
      </c>
      <c r="O772" s="5">
        <f t="shared" ref="O772:O835" si="79">ACOS(SIN(RADIANS(I772))*SIN(RADIANS(K772))+COS(RADIANS(I772))*COS(RADIANS(K772))*COS(RADIANS(J772-L772)))*6371</f>
        <v>8.505827042022009</v>
      </c>
      <c r="P772" s="22">
        <f>O772/Explications!$C$8</f>
        <v>0.28352756806740032</v>
      </c>
      <c r="Q772" s="7" t="str">
        <f t="shared" ref="Q772:Q835" si="80">N772</f>
        <v>C51</v>
      </c>
      <c r="R772" s="7" t="str">
        <f t="shared" ref="R772:R835" si="81">M772</f>
        <v>C9</v>
      </c>
      <c r="S772" s="18">
        <f t="shared" ref="S772:S835" si="82">O772</f>
        <v>8.505827042022009</v>
      </c>
      <c r="T772" s="18">
        <f>S772/Explications!$C$8</f>
        <v>0.28352756806740032</v>
      </c>
    </row>
    <row r="773" spans="7:20">
      <c r="G773" s="10" t="s">
        <v>25</v>
      </c>
      <c r="H773" s="10" t="s">
        <v>68</v>
      </c>
      <c r="I773" s="10">
        <v>46.839399999999998</v>
      </c>
      <c r="J773" s="10">
        <v>-71.282700000000006</v>
      </c>
      <c r="K773" s="10">
        <v>46.787599999999998</v>
      </c>
      <c r="L773" s="10">
        <v>-71.288600000000002</v>
      </c>
      <c r="M773" s="10" t="str">
        <f t="shared" si="77"/>
        <v>C9</v>
      </c>
      <c r="N773" s="10" t="str">
        <f t="shared" si="78"/>
        <v>C52</v>
      </c>
      <c r="O773" s="5">
        <f t="shared" si="79"/>
        <v>5.7773698833666876</v>
      </c>
      <c r="P773" s="22">
        <f>O773/Explications!$C$8</f>
        <v>0.19257899611222293</v>
      </c>
      <c r="Q773" s="7" t="str">
        <f t="shared" si="80"/>
        <v>C52</v>
      </c>
      <c r="R773" s="7" t="str">
        <f t="shared" si="81"/>
        <v>C9</v>
      </c>
      <c r="S773" s="18">
        <f t="shared" si="82"/>
        <v>5.7773698833666876</v>
      </c>
      <c r="T773" s="18">
        <f>S773/Explications!$C$8</f>
        <v>0.19257899611222293</v>
      </c>
    </row>
    <row r="774" spans="7:20">
      <c r="G774" s="10" t="s">
        <v>25</v>
      </c>
      <c r="H774" s="10" t="s">
        <v>69</v>
      </c>
      <c r="I774" s="10">
        <v>46.839399999999998</v>
      </c>
      <c r="J774" s="10">
        <v>-71.282700000000006</v>
      </c>
      <c r="K774" s="10">
        <v>46.764600000000002</v>
      </c>
      <c r="L774" s="10">
        <v>-71.308300000000003</v>
      </c>
      <c r="M774" s="10" t="str">
        <f t="shared" si="77"/>
        <v>C9</v>
      </c>
      <c r="N774" s="10" t="str">
        <f t="shared" si="78"/>
        <v>C53</v>
      </c>
      <c r="O774" s="5">
        <f t="shared" si="79"/>
        <v>8.5425800201084474</v>
      </c>
      <c r="P774" s="22">
        <f>O774/Explications!$C$8</f>
        <v>0.28475266733694826</v>
      </c>
      <c r="Q774" s="7" t="str">
        <f t="shared" si="80"/>
        <v>C53</v>
      </c>
      <c r="R774" s="7" t="str">
        <f t="shared" si="81"/>
        <v>C9</v>
      </c>
      <c r="S774" s="18">
        <f t="shared" si="82"/>
        <v>8.5425800201084474</v>
      </c>
      <c r="T774" s="18">
        <f>S774/Explications!$C$8</f>
        <v>0.28475266733694826</v>
      </c>
    </row>
    <row r="775" spans="7:20">
      <c r="G775" s="10" t="s">
        <v>25</v>
      </c>
      <c r="H775" s="10" t="s">
        <v>70</v>
      </c>
      <c r="I775" s="10">
        <v>46.839399999999998</v>
      </c>
      <c r="J775" s="10">
        <v>-71.282700000000006</v>
      </c>
      <c r="K775" s="10">
        <v>46.849699999999999</v>
      </c>
      <c r="L775" s="10">
        <v>-71.097399999999993</v>
      </c>
      <c r="M775" s="10" t="str">
        <f t="shared" si="77"/>
        <v>C9</v>
      </c>
      <c r="N775" s="10" t="str">
        <f t="shared" si="78"/>
        <v>C54</v>
      </c>
      <c r="O775" s="5">
        <f t="shared" si="79"/>
        <v>14.139471434709488</v>
      </c>
      <c r="P775" s="22">
        <f>O775/Explications!$C$8</f>
        <v>0.47131571449031628</v>
      </c>
      <c r="Q775" s="7" t="str">
        <f t="shared" si="80"/>
        <v>C54</v>
      </c>
      <c r="R775" s="7" t="str">
        <f t="shared" si="81"/>
        <v>C9</v>
      </c>
      <c r="S775" s="18">
        <f t="shared" si="82"/>
        <v>14.139471434709488</v>
      </c>
      <c r="T775" s="18">
        <f>S775/Explications!$C$8</f>
        <v>0.47131571449031628</v>
      </c>
    </row>
    <row r="776" spans="7:20">
      <c r="G776" s="10" t="s">
        <v>25</v>
      </c>
      <c r="H776" s="10" t="s">
        <v>71</v>
      </c>
      <c r="I776" s="10">
        <v>46.839399999999998</v>
      </c>
      <c r="J776" s="10">
        <v>-71.282700000000006</v>
      </c>
      <c r="K776" s="10">
        <v>46.788899999999998</v>
      </c>
      <c r="L776" s="10">
        <v>-71.321399999999997</v>
      </c>
      <c r="M776" s="10" t="str">
        <f t="shared" si="77"/>
        <v>C9</v>
      </c>
      <c r="N776" s="10" t="str">
        <f t="shared" si="78"/>
        <v>C55</v>
      </c>
      <c r="O776" s="5">
        <f t="shared" si="79"/>
        <v>6.3407489824766987</v>
      </c>
      <c r="P776" s="22">
        <f>O776/Explications!$C$8</f>
        <v>0.21135829941588996</v>
      </c>
      <c r="Q776" s="7" t="str">
        <f t="shared" si="80"/>
        <v>C55</v>
      </c>
      <c r="R776" s="7" t="str">
        <f t="shared" si="81"/>
        <v>C9</v>
      </c>
      <c r="S776" s="18">
        <f t="shared" si="82"/>
        <v>6.3407489824766987</v>
      </c>
      <c r="T776" s="18">
        <f>S776/Explications!$C$8</f>
        <v>0.21135829941588996</v>
      </c>
    </row>
    <row r="777" spans="7:20">
      <c r="G777" s="10" t="s">
        <v>25</v>
      </c>
      <c r="H777" s="10" t="s">
        <v>72</v>
      </c>
      <c r="I777" s="10">
        <v>46.839399999999998</v>
      </c>
      <c r="J777" s="10">
        <v>-71.282700000000006</v>
      </c>
      <c r="K777" s="10">
        <v>46.795400000000001</v>
      </c>
      <c r="L777" s="10">
        <v>-71.232600000000005</v>
      </c>
      <c r="M777" s="10" t="str">
        <f t="shared" si="77"/>
        <v>C9</v>
      </c>
      <c r="N777" s="10" t="str">
        <f t="shared" si="78"/>
        <v>C56</v>
      </c>
      <c r="O777" s="5">
        <f t="shared" si="79"/>
        <v>6.2024860499165264</v>
      </c>
      <c r="P777" s="22">
        <f>O777/Explications!$C$8</f>
        <v>0.20674953499721754</v>
      </c>
      <c r="Q777" s="7" t="str">
        <f t="shared" si="80"/>
        <v>C56</v>
      </c>
      <c r="R777" s="7" t="str">
        <f t="shared" si="81"/>
        <v>C9</v>
      </c>
      <c r="S777" s="18">
        <f t="shared" si="82"/>
        <v>6.2024860499165264</v>
      </c>
      <c r="T777" s="18">
        <f>S777/Explications!$C$8</f>
        <v>0.20674953499721754</v>
      </c>
    </row>
    <row r="778" spans="7:20">
      <c r="G778" s="10" t="s">
        <v>25</v>
      </c>
      <c r="H778" s="10" t="s">
        <v>73</v>
      </c>
      <c r="I778" s="10">
        <v>46.839399999999998</v>
      </c>
      <c r="J778" s="10">
        <v>-71.282700000000006</v>
      </c>
      <c r="K778" s="10">
        <v>46.801200000000001</v>
      </c>
      <c r="L778" s="10">
        <v>-71.224999999999994</v>
      </c>
      <c r="M778" s="10" t="str">
        <f t="shared" si="77"/>
        <v>C9</v>
      </c>
      <c r="N778" s="10" t="str">
        <f t="shared" si="78"/>
        <v>C57</v>
      </c>
      <c r="O778" s="5">
        <f t="shared" si="79"/>
        <v>6.10882656380761</v>
      </c>
      <c r="P778" s="22">
        <f>O778/Explications!$C$8</f>
        <v>0.20362755212692032</v>
      </c>
      <c r="Q778" s="7" t="str">
        <f t="shared" si="80"/>
        <v>C57</v>
      </c>
      <c r="R778" s="7" t="str">
        <f t="shared" si="81"/>
        <v>C9</v>
      </c>
      <c r="S778" s="18">
        <f t="shared" si="82"/>
        <v>6.10882656380761</v>
      </c>
      <c r="T778" s="18">
        <f>S778/Explications!$C$8</f>
        <v>0.20362755212692032</v>
      </c>
    </row>
    <row r="779" spans="7:20">
      <c r="G779" s="10" t="s">
        <v>25</v>
      </c>
      <c r="H779" s="10" t="s">
        <v>74</v>
      </c>
      <c r="I779" s="10">
        <v>46.839399999999998</v>
      </c>
      <c r="J779" s="10">
        <v>-71.282700000000006</v>
      </c>
      <c r="K779" s="10">
        <v>46.773200000000003</v>
      </c>
      <c r="L779" s="10">
        <v>-71.275899999999993</v>
      </c>
      <c r="M779" s="10" t="str">
        <f t="shared" si="77"/>
        <v>C9</v>
      </c>
      <c r="N779" s="10" t="str">
        <f t="shared" si="78"/>
        <v>C58</v>
      </c>
      <c r="O779" s="5">
        <f t="shared" si="79"/>
        <v>7.3792753544904679</v>
      </c>
      <c r="P779" s="22">
        <f>O779/Explications!$C$8</f>
        <v>0.24597584514968227</v>
      </c>
      <c r="Q779" s="7" t="str">
        <f t="shared" si="80"/>
        <v>C58</v>
      </c>
      <c r="R779" s="7" t="str">
        <f t="shared" si="81"/>
        <v>C9</v>
      </c>
      <c r="S779" s="18">
        <f t="shared" si="82"/>
        <v>7.3792753544904679</v>
      </c>
      <c r="T779" s="18">
        <f>S779/Explications!$C$8</f>
        <v>0.24597584514968227</v>
      </c>
    </row>
    <row r="780" spans="7:20">
      <c r="G780" s="10" t="s">
        <v>25</v>
      </c>
      <c r="H780" s="10" t="s">
        <v>75</v>
      </c>
      <c r="I780" s="10">
        <v>46.839399999999998</v>
      </c>
      <c r="J780" s="10">
        <v>-71.282700000000006</v>
      </c>
      <c r="K780" s="10">
        <v>46.814399999999999</v>
      </c>
      <c r="L780" s="10">
        <v>-71.225700000000003</v>
      </c>
      <c r="M780" s="10" t="str">
        <f t="shared" si="77"/>
        <v>C9</v>
      </c>
      <c r="N780" s="10" t="str">
        <f t="shared" si="78"/>
        <v>C59</v>
      </c>
      <c r="O780" s="5">
        <f t="shared" si="79"/>
        <v>5.1510673798165367</v>
      </c>
      <c r="P780" s="22">
        <f>O780/Explications!$C$8</f>
        <v>0.17170224599388456</v>
      </c>
      <c r="Q780" s="7" t="str">
        <f t="shared" si="80"/>
        <v>C59</v>
      </c>
      <c r="R780" s="7" t="str">
        <f t="shared" si="81"/>
        <v>C9</v>
      </c>
      <c r="S780" s="18">
        <f t="shared" si="82"/>
        <v>5.1510673798165367</v>
      </c>
      <c r="T780" s="18">
        <f>S780/Explications!$C$8</f>
        <v>0.17170224599388456</v>
      </c>
    </row>
    <row r="781" spans="7:20">
      <c r="G781" s="10" t="s">
        <v>25</v>
      </c>
      <c r="H781" s="10" t="s">
        <v>76</v>
      </c>
      <c r="I781" s="10">
        <v>46.839399999999998</v>
      </c>
      <c r="J781" s="10">
        <v>-71.282700000000006</v>
      </c>
      <c r="K781" s="10">
        <v>46.772500000000001</v>
      </c>
      <c r="L781" s="10">
        <v>-71.276300000000006</v>
      </c>
      <c r="M781" s="10" t="str">
        <f t="shared" si="77"/>
        <v>C9</v>
      </c>
      <c r="N781" s="10" t="str">
        <f t="shared" si="78"/>
        <v>C60</v>
      </c>
      <c r="O781" s="5">
        <f t="shared" si="79"/>
        <v>7.4548712764082161</v>
      </c>
      <c r="P781" s="22">
        <f>O781/Explications!$C$8</f>
        <v>0.2484957092136072</v>
      </c>
      <c r="Q781" s="7" t="str">
        <f t="shared" si="80"/>
        <v>C60</v>
      </c>
      <c r="R781" s="7" t="str">
        <f t="shared" si="81"/>
        <v>C9</v>
      </c>
      <c r="S781" s="18">
        <f t="shared" si="82"/>
        <v>7.4548712764082161</v>
      </c>
      <c r="T781" s="18">
        <f>S781/Explications!$C$8</f>
        <v>0.2484957092136072</v>
      </c>
    </row>
    <row r="782" spans="7:20">
      <c r="G782" s="10" t="s">
        <v>25</v>
      </c>
      <c r="H782" s="10" t="s">
        <v>77</v>
      </c>
      <c r="I782" s="10">
        <v>46.839399999999998</v>
      </c>
      <c r="J782" s="10">
        <v>-71.282700000000006</v>
      </c>
      <c r="K782" s="10">
        <v>46.810899999999997</v>
      </c>
      <c r="L782" s="10">
        <v>-71.215599999999995</v>
      </c>
      <c r="M782" s="10" t="str">
        <f t="shared" si="77"/>
        <v>C9</v>
      </c>
      <c r="N782" s="10" t="str">
        <f t="shared" si="78"/>
        <v>C61</v>
      </c>
      <c r="O782" s="5">
        <f t="shared" si="79"/>
        <v>6.0087746214876097</v>
      </c>
      <c r="P782" s="22">
        <f>O782/Explications!$C$8</f>
        <v>0.20029248738292033</v>
      </c>
      <c r="Q782" s="7" t="str">
        <f t="shared" si="80"/>
        <v>C61</v>
      </c>
      <c r="R782" s="7" t="str">
        <f t="shared" si="81"/>
        <v>C9</v>
      </c>
      <c r="S782" s="18">
        <f t="shared" si="82"/>
        <v>6.0087746214876097</v>
      </c>
      <c r="T782" s="18">
        <f>S782/Explications!$C$8</f>
        <v>0.20029248738292033</v>
      </c>
    </row>
    <row r="783" spans="7:20">
      <c r="G783" s="10" t="s">
        <v>25</v>
      </c>
      <c r="H783" s="10" t="s">
        <v>78</v>
      </c>
      <c r="I783" s="10">
        <v>46.839399999999998</v>
      </c>
      <c r="J783" s="10">
        <v>-71.282700000000006</v>
      </c>
      <c r="K783" s="10">
        <v>46.795200000000001</v>
      </c>
      <c r="L783" s="10">
        <v>-71.245099999999994</v>
      </c>
      <c r="M783" s="10" t="str">
        <f t="shared" si="77"/>
        <v>C9</v>
      </c>
      <c r="N783" s="10" t="str">
        <f t="shared" si="78"/>
        <v>C62</v>
      </c>
      <c r="O783" s="5">
        <f t="shared" si="79"/>
        <v>5.6869530257989753</v>
      </c>
      <c r="P783" s="22">
        <f>O783/Explications!$C$8</f>
        <v>0.18956510085996583</v>
      </c>
      <c r="Q783" s="7" t="str">
        <f t="shared" si="80"/>
        <v>C62</v>
      </c>
      <c r="R783" s="7" t="str">
        <f t="shared" si="81"/>
        <v>C9</v>
      </c>
      <c r="S783" s="18">
        <f t="shared" si="82"/>
        <v>5.6869530257989753</v>
      </c>
      <c r="T783" s="18">
        <f>S783/Explications!$C$8</f>
        <v>0.18956510085996583</v>
      </c>
    </row>
    <row r="784" spans="7:20">
      <c r="G784" s="10" t="s">
        <v>25</v>
      </c>
      <c r="H784" s="10" t="s">
        <v>79</v>
      </c>
      <c r="I784" s="10">
        <v>46.839399999999998</v>
      </c>
      <c r="J784" s="10">
        <v>-71.282700000000006</v>
      </c>
      <c r="K784" s="10">
        <v>46.822000000000003</v>
      </c>
      <c r="L784" s="10">
        <v>-71.345699999999994</v>
      </c>
      <c r="M784" s="10" t="str">
        <f t="shared" si="77"/>
        <v>C9</v>
      </c>
      <c r="N784" s="10" t="str">
        <f t="shared" si="78"/>
        <v>C63</v>
      </c>
      <c r="O784" s="5">
        <f t="shared" si="79"/>
        <v>5.168506771022888</v>
      </c>
      <c r="P784" s="22">
        <f>O784/Explications!$C$8</f>
        <v>0.17228355903409626</v>
      </c>
      <c r="Q784" s="7" t="str">
        <f t="shared" si="80"/>
        <v>C63</v>
      </c>
      <c r="R784" s="7" t="str">
        <f t="shared" si="81"/>
        <v>C9</v>
      </c>
      <c r="S784" s="18">
        <f t="shared" si="82"/>
        <v>5.168506771022888</v>
      </c>
      <c r="T784" s="18">
        <f>S784/Explications!$C$8</f>
        <v>0.17228355903409626</v>
      </c>
    </row>
    <row r="785" spans="7:20">
      <c r="G785" s="10" t="s">
        <v>25</v>
      </c>
      <c r="H785" s="10" t="s">
        <v>80</v>
      </c>
      <c r="I785" s="10">
        <v>46.839399999999998</v>
      </c>
      <c r="J785" s="10">
        <v>-71.282700000000006</v>
      </c>
      <c r="K785" s="10">
        <v>46.779400000000003</v>
      </c>
      <c r="L785" s="10">
        <v>-71.350399999999993</v>
      </c>
      <c r="M785" s="10" t="str">
        <f t="shared" si="77"/>
        <v>C9</v>
      </c>
      <c r="N785" s="10" t="str">
        <f t="shared" si="78"/>
        <v>C64</v>
      </c>
      <c r="O785" s="5">
        <f t="shared" si="79"/>
        <v>8.4295728895028059</v>
      </c>
      <c r="P785" s="22">
        <f>O785/Explications!$C$8</f>
        <v>0.28098576298342687</v>
      </c>
      <c r="Q785" s="7" t="str">
        <f t="shared" si="80"/>
        <v>C64</v>
      </c>
      <c r="R785" s="7" t="str">
        <f t="shared" si="81"/>
        <v>C9</v>
      </c>
      <c r="S785" s="18">
        <f t="shared" si="82"/>
        <v>8.4295728895028059</v>
      </c>
      <c r="T785" s="18">
        <f>S785/Explications!$C$8</f>
        <v>0.28098576298342687</v>
      </c>
    </row>
    <row r="786" spans="7:20">
      <c r="G786" s="10" t="s">
        <v>25</v>
      </c>
      <c r="H786" s="10" t="s">
        <v>81</v>
      </c>
      <c r="I786" s="10">
        <v>46.839399999999998</v>
      </c>
      <c r="J786" s="10">
        <v>-71.282700000000006</v>
      </c>
      <c r="K786" s="10">
        <v>46.772300000000001</v>
      </c>
      <c r="L786" s="10">
        <v>-71.279799999999994</v>
      </c>
      <c r="M786" s="10" t="str">
        <f t="shared" si="77"/>
        <v>C9</v>
      </c>
      <c r="N786" s="10" t="str">
        <f t="shared" si="78"/>
        <v>C65</v>
      </c>
      <c r="O786" s="5">
        <f t="shared" si="79"/>
        <v>7.4644435432551619</v>
      </c>
      <c r="P786" s="22">
        <f>O786/Explications!$C$8</f>
        <v>0.24881478477517208</v>
      </c>
      <c r="Q786" s="7" t="str">
        <f t="shared" si="80"/>
        <v>C65</v>
      </c>
      <c r="R786" s="7" t="str">
        <f t="shared" si="81"/>
        <v>C9</v>
      </c>
      <c r="S786" s="18">
        <f t="shared" si="82"/>
        <v>7.4644435432551619</v>
      </c>
      <c r="T786" s="18">
        <f>S786/Explications!$C$8</f>
        <v>0.24881478477517208</v>
      </c>
    </row>
    <row r="787" spans="7:20">
      <c r="G787" s="10" t="s">
        <v>25</v>
      </c>
      <c r="H787" s="10" t="s">
        <v>82</v>
      </c>
      <c r="I787" s="10">
        <v>46.839399999999998</v>
      </c>
      <c r="J787" s="10">
        <v>-71.282700000000006</v>
      </c>
      <c r="K787" s="10">
        <v>46.814900000000002</v>
      </c>
      <c r="L787" s="10">
        <v>-71.225200000000001</v>
      </c>
      <c r="M787" s="10" t="str">
        <f t="shared" si="77"/>
        <v>C9</v>
      </c>
      <c r="N787" s="10" t="str">
        <f t="shared" si="78"/>
        <v>C66</v>
      </c>
      <c r="O787" s="5">
        <f t="shared" si="79"/>
        <v>5.1535108264301233</v>
      </c>
      <c r="P787" s="22">
        <f>O787/Explications!$C$8</f>
        <v>0.17178369421433745</v>
      </c>
      <c r="Q787" s="7" t="str">
        <f t="shared" si="80"/>
        <v>C66</v>
      </c>
      <c r="R787" s="7" t="str">
        <f t="shared" si="81"/>
        <v>C9</v>
      </c>
      <c r="S787" s="18">
        <f t="shared" si="82"/>
        <v>5.1535108264301233</v>
      </c>
      <c r="T787" s="18">
        <f>S787/Explications!$C$8</f>
        <v>0.17178369421433745</v>
      </c>
    </row>
    <row r="788" spans="7:20">
      <c r="G788" s="10" t="s">
        <v>25</v>
      </c>
      <c r="H788" s="10" t="s">
        <v>83</v>
      </c>
      <c r="I788" s="10">
        <v>46.839399999999998</v>
      </c>
      <c r="J788" s="10">
        <v>-71.282700000000006</v>
      </c>
      <c r="K788" s="10">
        <v>46.814700000000002</v>
      </c>
      <c r="L788" s="10">
        <v>-71.207300000000004</v>
      </c>
      <c r="M788" s="10" t="str">
        <f t="shared" si="77"/>
        <v>C9</v>
      </c>
      <c r="N788" s="10" t="str">
        <f t="shared" si="78"/>
        <v>C67</v>
      </c>
      <c r="O788" s="5">
        <f t="shared" si="79"/>
        <v>6.3600230983843522</v>
      </c>
      <c r="P788" s="22">
        <f>O788/Explications!$C$8</f>
        <v>0.21200076994614508</v>
      </c>
      <c r="Q788" s="7" t="str">
        <f t="shared" si="80"/>
        <v>C67</v>
      </c>
      <c r="R788" s="7" t="str">
        <f t="shared" si="81"/>
        <v>C9</v>
      </c>
      <c r="S788" s="18">
        <f t="shared" si="82"/>
        <v>6.3600230983843522</v>
      </c>
      <c r="T788" s="18">
        <f>S788/Explications!$C$8</f>
        <v>0.21200076994614508</v>
      </c>
    </row>
    <row r="789" spans="7:20">
      <c r="G789" s="10" t="s">
        <v>25</v>
      </c>
      <c r="H789" s="10" t="s">
        <v>84</v>
      </c>
      <c r="I789" s="10">
        <v>46.839399999999998</v>
      </c>
      <c r="J789" s="10">
        <v>-71.282700000000006</v>
      </c>
      <c r="K789" s="10">
        <v>46.815600000000003</v>
      </c>
      <c r="L789" s="10">
        <v>-71.2029</v>
      </c>
      <c r="M789" s="10" t="str">
        <f t="shared" si="77"/>
        <v>C9</v>
      </c>
      <c r="N789" s="10" t="str">
        <f t="shared" si="78"/>
        <v>C68</v>
      </c>
      <c r="O789" s="5">
        <f t="shared" si="79"/>
        <v>6.622853253107464</v>
      </c>
      <c r="P789" s="22">
        <f>O789/Explications!$C$8</f>
        <v>0.22076177510358214</v>
      </c>
      <c r="Q789" s="7" t="str">
        <f t="shared" si="80"/>
        <v>C68</v>
      </c>
      <c r="R789" s="7" t="str">
        <f t="shared" si="81"/>
        <v>C9</v>
      </c>
      <c r="S789" s="18">
        <f t="shared" si="82"/>
        <v>6.622853253107464</v>
      </c>
      <c r="T789" s="18">
        <f>S789/Explications!$C$8</f>
        <v>0.22076177510358214</v>
      </c>
    </row>
    <row r="790" spans="7:20">
      <c r="G790" s="10" t="s">
        <v>25</v>
      </c>
      <c r="H790" s="10" t="s">
        <v>85</v>
      </c>
      <c r="I790" s="10">
        <v>46.839399999999998</v>
      </c>
      <c r="J790" s="10">
        <v>-71.282700000000006</v>
      </c>
      <c r="K790" s="10">
        <v>46.821899999999999</v>
      </c>
      <c r="L790" s="10">
        <v>-71.249899999999997</v>
      </c>
      <c r="M790" s="10" t="str">
        <f t="shared" si="77"/>
        <v>C9</v>
      </c>
      <c r="N790" s="10" t="str">
        <f t="shared" si="78"/>
        <v>C69</v>
      </c>
      <c r="O790" s="5">
        <f t="shared" si="79"/>
        <v>3.1643101569556658</v>
      </c>
      <c r="P790" s="22">
        <f>O790/Explications!$C$8</f>
        <v>0.10547700523185552</v>
      </c>
      <c r="Q790" s="7" t="str">
        <f t="shared" si="80"/>
        <v>C69</v>
      </c>
      <c r="R790" s="7" t="str">
        <f t="shared" si="81"/>
        <v>C9</v>
      </c>
      <c r="S790" s="18">
        <f t="shared" si="82"/>
        <v>3.1643101569556658</v>
      </c>
      <c r="T790" s="18">
        <f>S790/Explications!$C$8</f>
        <v>0.10547700523185552</v>
      </c>
    </row>
    <row r="791" spans="7:20">
      <c r="G791" s="10" t="s">
        <v>25</v>
      </c>
      <c r="H791" s="10" t="s">
        <v>86</v>
      </c>
      <c r="I791" s="10">
        <v>46.839399999999998</v>
      </c>
      <c r="J791" s="10">
        <v>-71.282700000000006</v>
      </c>
      <c r="K791" s="10">
        <v>46.8872</v>
      </c>
      <c r="L791" s="10">
        <v>-71.27</v>
      </c>
      <c r="M791" s="10" t="str">
        <f t="shared" si="77"/>
        <v>C9</v>
      </c>
      <c r="N791" s="10" t="str">
        <f t="shared" si="78"/>
        <v>C70</v>
      </c>
      <c r="O791" s="5">
        <f t="shared" si="79"/>
        <v>5.4021093321901112</v>
      </c>
      <c r="P791" s="22">
        <f>O791/Explications!$C$8</f>
        <v>0.1800703110730037</v>
      </c>
      <c r="Q791" s="7" t="str">
        <f t="shared" si="80"/>
        <v>C70</v>
      </c>
      <c r="R791" s="7" t="str">
        <f t="shared" si="81"/>
        <v>C9</v>
      </c>
      <c r="S791" s="18">
        <f t="shared" si="82"/>
        <v>5.4021093321901112</v>
      </c>
      <c r="T791" s="18">
        <f>S791/Explications!$C$8</f>
        <v>0.1800703110730037</v>
      </c>
    </row>
    <row r="792" spans="7:20">
      <c r="G792" s="10" t="s">
        <v>25</v>
      </c>
      <c r="H792" s="10" t="s">
        <v>87</v>
      </c>
      <c r="I792" s="10">
        <v>46.839399999999998</v>
      </c>
      <c r="J792" s="10">
        <v>-71.282700000000006</v>
      </c>
      <c r="K792" s="10">
        <v>46.816299999999998</v>
      </c>
      <c r="L792" s="10">
        <v>-71.210300000000004</v>
      </c>
      <c r="M792" s="10" t="str">
        <f t="shared" si="77"/>
        <v>C9</v>
      </c>
      <c r="N792" s="10" t="str">
        <f t="shared" si="78"/>
        <v>C71</v>
      </c>
      <c r="O792" s="5">
        <f t="shared" si="79"/>
        <v>6.0775738182813122</v>
      </c>
      <c r="P792" s="22">
        <f>O792/Explications!$C$8</f>
        <v>0.2025857939427104</v>
      </c>
      <c r="Q792" s="7" t="str">
        <f t="shared" si="80"/>
        <v>C71</v>
      </c>
      <c r="R792" s="7" t="str">
        <f t="shared" si="81"/>
        <v>C9</v>
      </c>
      <c r="S792" s="18">
        <f t="shared" si="82"/>
        <v>6.0775738182813122</v>
      </c>
      <c r="T792" s="18">
        <f>S792/Explications!$C$8</f>
        <v>0.2025857939427104</v>
      </c>
    </row>
    <row r="793" spans="7:20">
      <c r="G793" s="10" t="s">
        <v>25</v>
      </c>
      <c r="H793" s="10" t="s">
        <v>88</v>
      </c>
      <c r="I793" s="10">
        <v>46.839399999999998</v>
      </c>
      <c r="J793" s="10">
        <v>-71.282700000000006</v>
      </c>
      <c r="K793" s="10">
        <v>46.807000000000002</v>
      </c>
      <c r="L793" s="10">
        <v>-71.3566</v>
      </c>
      <c r="M793" s="10" t="str">
        <f t="shared" si="77"/>
        <v>C9</v>
      </c>
      <c r="N793" s="10" t="str">
        <f t="shared" si="78"/>
        <v>C72</v>
      </c>
      <c r="O793" s="5">
        <f t="shared" si="79"/>
        <v>6.6779024764902788</v>
      </c>
      <c r="P793" s="22">
        <f>O793/Explications!$C$8</f>
        <v>0.22259674921634262</v>
      </c>
      <c r="Q793" s="7" t="str">
        <f t="shared" si="80"/>
        <v>C72</v>
      </c>
      <c r="R793" s="7" t="str">
        <f t="shared" si="81"/>
        <v>C9</v>
      </c>
      <c r="S793" s="18">
        <f t="shared" si="82"/>
        <v>6.6779024764902788</v>
      </c>
      <c r="T793" s="18">
        <f>S793/Explications!$C$8</f>
        <v>0.22259674921634262</v>
      </c>
    </row>
    <row r="794" spans="7:20">
      <c r="G794" s="10" t="s">
        <v>25</v>
      </c>
      <c r="H794" s="10" t="s">
        <v>89</v>
      </c>
      <c r="I794" s="10">
        <v>46.839399999999998</v>
      </c>
      <c r="J794" s="10">
        <v>-71.282700000000006</v>
      </c>
      <c r="K794" s="10">
        <v>46.822899999999997</v>
      </c>
      <c r="L794" s="10">
        <v>-71.341899999999995</v>
      </c>
      <c r="M794" s="10" t="str">
        <f t="shared" si="77"/>
        <v>C9</v>
      </c>
      <c r="N794" s="10" t="str">
        <f t="shared" si="78"/>
        <v>C73</v>
      </c>
      <c r="O794" s="5">
        <f t="shared" si="79"/>
        <v>4.8629690356736353</v>
      </c>
      <c r="P794" s="22">
        <f>O794/Explications!$C$8</f>
        <v>0.16209896785578784</v>
      </c>
      <c r="Q794" s="7" t="str">
        <f t="shared" si="80"/>
        <v>C73</v>
      </c>
      <c r="R794" s="7" t="str">
        <f t="shared" si="81"/>
        <v>C9</v>
      </c>
      <c r="S794" s="18">
        <f t="shared" si="82"/>
        <v>4.8629690356736353</v>
      </c>
      <c r="T794" s="18">
        <f>S794/Explications!$C$8</f>
        <v>0.16209896785578784</v>
      </c>
    </row>
    <row r="795" spans="7:20">
      <c r="G795" s="10" t="s">
        <v>25</v>
      </c>
      <c r="H795" s="10" t="s">
        <v>90</v>
      </c>
      <c r="I795" s="10">
        <v>46.839399999999998</v>
      </c>
      <c r="J795" s="10">
        <v>-71.282700000000006</v>
      </c>
      <c r="K795" s="10">
        <v>46.730699999999999</v>
      </c>
      <c r="L795" s="10">
        <v>-71.261099999999999</v>
      </c>
      <c r="M795" s="10" t="str">
        <f t="shared" si="77"/>
        <v>C9</v>
      </c>
      <c r="N795" s="10" t="str">
        <f t="shared" si="78"/>
        <v>C74</v>
      </c>
      <c r="O795" s="5">
        <f t="shared" si="79"/>
        <v>12.198262578328709</v>
      </c>
      <c r="P795" s="22">
        <f>O795/Explications!$C$8</f>
        <v>0.40660875261095697</v>
      </c>
      <c r="Q795" s="7" t="str">
        <f t="shared" si="80"/>
        <v>C74</v>
      </c>
      <c r="R795" s="7" t="str">
        <f t="shared" si="81"/>
        <v>C9</v>
      </c>
      <c r="S795" s="18">
        <f t="shared" si="82"/>
        <v>12.198262578328709</v>
      </c>
      <c r="T795" s="18">
        <f>S795/Explications!$C$8</f>
        <v>0.40660875261095697</v>
      </c>
    </row>
    <row r="796" spans="7:20">
      <c r="G796" s="10" t="s">
        <v>25</v>
      </c>
      <c r="H796" s="10" t="s">
        <v>91</v>
      </c>
      <c r="I796" s="10">
        <v>46.839399999999998</v>
      </c>
      <c r="J796" s="10">
        <v>-71.282700000000006</v>
      </c>
      <c r="K796" s="10">
        <v>46.840600000000002</v>
      </c>
      <c r="L796" s="10">
        <v>-71.289100000000005</v>
      </c>
      <c r="M796" s="10" t="str">
        <f t="shared" si="77"/>
        <v>C9</v>
      </c>
      <c r="N796" s="10" t="str">
        <f t="shared" si="78"/>
        <v>C75</v>
      </c>
      <c r="O796" s="5">
        <f t="shared" si="79"/>
        <v>0.50475041890822681</v>
      </c>
      <c r="P796" s="22">
        <f>O796/Explications!$C$8</f>
        <v>1.6825013963607562E-2</v>
      </c>
      <c r="Q796" s="7" t="str">
        <f t="shared" si="80"/>
        <v>C75</v>
      </c>
      <c r="R796" s="7" t="str">
        <f t="shared" si="81"/>
        <v>C9</v>
      </c>
      <c r="S796" s="18">
        <f t="shared" si="82"/>
        <v>0.50475041890822681</v>
      </c>
      <c r="T796" s="18">
        <f>S796/Explications!$C$8</f>
        <v>1.6825013963607562E-2</v>
      </c>
    </row>
    <row r="797" spans="7:20">
      <c r="G797" s="10" t="s">
        <v>25</v>
      </c>
      <c r="H797" s="10" t="s">
        <v>92</v>
      </c>
      <c r="I797" s="10">
        <v>46.839399999999998</v>
      </c>
      <c r="J797" s="10">
        <v>-71.282700000000006</v>
      </c>
      <c r="K797" s="10">
        <v>46.840600000000002</v>
      </c>
      <c r="L797" s="10">
        <v>-71.281599999999997</v>
      </c>
      <c r="M797" s="10" t="str">
        <f t="shared" si="77"/>
        <v>C9</v>
      </c>
      <c r="N797" s="10" t="str">
        <f t="shared" si="78"/>
        <v>C76</v>
      </c>
      <c r="O797" s="5">
        <f t="shared" si="79"/>
        <v>0.15749571368773485</v>
      </c>
      <c r="P797" s="22">
        <f>O797/Explications!$C$8</f>
        <v>5.2498571229244954E-3</v>
      </c>
      <c r="Q797" s="7" t="str">
        <f t="shared" si="80"/>
        <v>C76</v>
      </c>
      <c r="R797" s="7" t="str">
        <f t="shared" si="81"/>
        <v>C9</v>
      </c>
      <c r="S797" s="18">
        <f t="shared" si="82"/>
        <v>0.15749571368773485</v>
      </c>
      <c r="T797" s="18">
        <f>S797/Explications!$C$8</f>
        <v>5.2498571229244954E-3</v>
      </c>
    </row>
    <row r="798" spans="7:20">
      <c r="G798" s="10" t="s">
        <v>25</v>
      </c>
      <c r="H798" s="10" t="s">
        <v>93</v>
      </c>
      <c r="I798" s="10">
        <v>46.839399999999998</v>
      </c>
      <c r="J798" s="10">
        <v>-71.282700000000006</v>
      </c>
      <c r="K798" s="10">
        <v>46.839399999999998</v>
      </c>
      <c r="L798" s="10">
        <v>-71.282600000000002</v>
      </c>
      <c r="M798" s="10" t="str">
        <f t="shared" si="77"/>
        <v>C9</v>
      </c>
      <c r="N798" s="10" t="str">
        <f t="shared" si="78"/>
        <v>C77</v>
      </c>
      <c r="O798" s="5">
        <f t="shared" si="79"/>
        <v>7.6066814920814352E-3</v>
      </c>
      <c r="P798" s="22">
        <f>O798/Explications!$C$8</f>
        <v>2.5355604973604785E-4</v>
      </c>
      <c r="Q798" s="7" t="str">
        <f t="shared" si="80"/>
        <v>C77</v>
      </c>
      <c r="R798" s="7" t="str">
        <f t="shared" si="81"/>
        <v>C9</v>
      </c>
      <c r="S798" s="18">
        <f t="shared" si="82"/>
        <v>7.6066814920814352E-3</v>
      </c>
      <c r="T798" s="18">
        <f>S798/Explications!$C$8</f>
        <v>2.5355604973604785E-4</v>
      </c>
    </row>
    <row r="799" spans="7:20">
      <c r="G799" s="10" t="s">
        <v>25</v>
      </c>
      <c r="H799" s="10" t="s">
        <v>94</v>
      </c>
      <c r="I799" s="10">
        <v>46.839399999999998</v>
      </c>
      <c r="J799" s="10">
        <v>-71.282700000000006</v>
      </c>
      <c r="K799" s="10">
        <v>46.788499999999999</v>
      </c>
      <c r="L799" s="10">
        <v>-71.282399999999996</v>
      </c>
      <c r="M799" s="10" t="str">
        <f t="shared" si="77"/>
        <v>C9</v>
      </c>
      <c r="N799" s="10" t="str">
        <f t="shared" si="78"/>
        <v>C78</v>
      </c>
      <c r="O799" s="5">
        <f t="shared" si="79"/>
        <v>5.6598678084474683</v>
      </c>
      <c r="P799" s="22">
        <f>O799/Explications!$C$8</f>
        <v>0.18866226028158228</v>
      </c>
      <c r="Q799" s="7" t="str">
        <f t="shared" si="80"/>
        <v>C78</v>
      </c>
      <c r="R799" s="7" t="str">
        <f t="shared" si="81"/>
        <v>C9</v>
      </c>
      <c r="S799" s="18">
        <f t="shared" si="82"/>
        <v>5.6598678084474683</v>
      </c>
      <c r="T799" s="18">
        <f>S799/Explications!$C$8</f>
        <v>0.18866226028158228</v>
      </c>
    </row>
    <row r="800" spans="7:20">
      <c r="G800" s="10" t="s">
        <v>25</v>
      </c>
      <c r="H800" s="10" t="s">
        <v>95</v>
      </c>
      <c r="I800" s="10">
        <v>46.839399999999998</v>
      </c>
      <c r="J800" s="10">
        <v>-71.282700000000006</v>
      </c>
      <c r="K800" s="10">
        <v>46.840699999999998</v>
      </c>
      <c r="L800" s="10">
        <v>-71.325400000000002</v>
      </c>
      <c r="M800" s="10" t="str">
        <f t="shared" si="77"/>
        <v>C9</v>
      </c>
      <c r="N800" s="10" t="str">
        <f t="shared" si="78"/>
        <v>C79</v>
      </c>
      <c r="O800" s="5">
        <f t="shared" si="79"/>
        <v>3.2510407372961878</v>
      </c>
      <c r="P800" s="22">
        <f>O800/Explications!$C$8</f>
        <v>0.10836802457653959</v>
      </c>
      <c r="Q800" s="7" t="str">
        <f t="shared" si="80"/>
        <v>C79</v>
      </c>
      <c r="R800" s="7" t="str">
        <f t="shared" si="81"/>
        <v>C9</v>
      </c>
      <c r="S800" s="18">
        <f t="shared" si="82"/>
        <v>3.2510407372961878</v>
      </c>
      <c r="T800" s="18">
        <f>S800/Explications!$C$8</f>
        <v>0.10836802457653959</v>
      </c>
    </row>
    <row r="801" spans="7:20">
      <c r="G801" s="10" t="s">
        <v>25</v>
      </c>
      <c r="H801" s="10" t="s">
        <v>96</v>
      </c>
      <c r="I801" s="10">
        <v>46.839399999999998</v>
      </c>
      <c r="J801" s="10">
        <v>-71.282700000000006</v>
      </c>
      <c r="K801" s="10">
        <v>46.798400000000001</v>
      </c>
      <c r="L801" s="10">
        <v>-71.183199999999999</v>
      </c>
      <c r="M801" s="10" t="str">
        <f t="shared" si="77"/>
        <v>C9</v>
      </c>
      <c r="N801" s="10" t="str">
        <f t="shared" si="78"/>
        <v>C80</v>
      </c>
      <c r="O801" s="5">
        <f t="shared" si="79"/>
        <v>8.8377538359294654</v>
      </c>
      <c r="P801" s="22">
        <f>O801/Explications!$C$8</f>
        <v>0.29459179453098217</v>
      </c>
      <c r="Q801" s="7" t="str">
        <f t="shared" si="80"/>
        <v>C80</v>
      </c>
      <c r="R801" s="7" t="str">
        <f t="shared" si="81"/>
        <v>C9</v>
      </c>
      <c r="S801" s="18">
        <f t="shared" si="82"/>
        <v>8.8377538359294654</v>
      </c>
      <c r="T801" s="18">
        <f>S801/Explications!$C$8</f>
        <v>0.29459179453098217</v>
      </c>
    </row>
    <row r="802" spans="7:20">
      <c r="G802" s="10" t="s">
        <v>25</v>
      </c>
      <c r="H802" s="10" t="s">
        <v>97</v>
      </c>
      <c r="I802" s="10">
        <v>46.839399999999998</v>
      </c>
      <c r="J802" s="10">
        <v>-71.282700000000006</v>
      </c>
      <c r="K802" s="10">
        <v>46.724800000000002</v>
      </c>
      <c r="L802" s="10">
        <v>-71.2988</v>
      </c>
      <c r="M802" s="10" t="str">
        <f t="shared" si="77"/>
        <v>C9</v>
      </c>
      <c r="N802" s="10" t="str">
        <f t="shared" si="78"/>
        <v>C81</v>
      </c>
      <c r="O802" s="5">
        <f t="shared" si="79"/>
        <v>12.801770868827679</v>
      </c>
      <c r="P802" s="22">
        <f>O802/Explications!$C$8</f>
        <v>0.42672569562758933</v>
      </c>
      <c r="Q802" s="7" t="str">
        <f t="shared" si="80"/>
        <v>C81</v>
      </c>
      <c r="R802" s="7" t="str">
        <f t="shared" si="81"/>
        <v>C9</v>
      </c>
      <c r="S802" s="18">
        <f t="shared" si="82"/>
        <v>12.801770868827679</v>
      </c>
      <c r="T802" s="18">
        <f>S802/Explications!$C$8</f>
        <v>0.42672569562758933</v>
      </c>
    </row>
    <row r="803" spans="7:20">
      <c r="G803" s="10" t="s">
        <v>25</v>
      </c>
      <c r="H803" s="10" t="s">
        <v>98</v>
      </c>
      <c r="I803" s="10">
        <v>46.839399999999998</v>
      </c>
      <c r="J803" s="10">
        <v>-71.282700000000006</v>
      </c>
      <c r="K803" s="10">
        <v>46.795499999999997</v>
      </c>
      <c r="L803" s="10">
        <v>-71.242900000000006</v>
      </c>
      <c r="M803" s="10" t="str">
        <f t="shared" si="77"/>
        <v>C9</v>
      </c>
      <c r="N803" s="10" t="str">
        <f t="shared" si="78"/>
        <v>C82</v>
      </c>
      <c r="O803" s="5">
        <f t="shared" si="79"/>
        <v>5.7446112301439856</v>
      </c>
      <c r="P803" s="22">
        <f>O803/Explications!$C$8</f>
        <v>0.19148704100479952</v>
      </c>
      <c r="Q803" s="7" t="str">
        <f t="shared" si="80"/>
        <v>C82</v>
      </c>
      <c r="R803" s="7" t="str">
        <f t="shared" si="81"/>
        <v>C9</v>
      </c>
      <c r="S803" s="18">
        <f t="shared" si="82"/>
        <v>5.7446112301439856</v>
      </c>
      <c r="T803" s="18">
        <f>S803/Explications!$C$8</f>
        <v>0.19148704100479952</v>
      </c>
    </row>
    <row r="804" spans="7:20">
      <c r="G804" s="10" t="s">
        <v>25</v>
      </c>
      <c r="H804" s="10" t="s">
        <v>99</v>
      </c>
      <c r="I804" s="10">
        <v>46.839399999999998</v>
      </c>
      <c r="J804" s="10">
        <v>-71.282700000000006</v>
      </c>
      <c r="K804" s="10">
        <v>46.8157</v>
      </c>
      <c r="L804" s="10">
        <v>-71.201899999999995</v>
      </c>
      <c r="M804" s="10" t="str">
        <f t="shared" si="77"/>
        <v>C9</v>
      </c>
      <c r="N804" s="10" t="str">
        <f t="shared" si="78"/>
        <v>C83</v>
      </c>
      <c r="O804" s="5">
        <f t="shared" si="79"/>
        <v>6.6882692431113622</v>
      </c>
      <c r="P804" s="22">
        <f>O804/Explications!$C$8</f>
        <v>0.22294230810371207</v>
      </c>
      <c r="Q804" s="7" t="str">
        <f t="shared" si="80"/>
        <v>C83</v>
      </c>
      <c r="R804" s="7" t="str">
        <f t="shared" si="81"/>
        <v>C9</v>
      </c>
      <c r="S804" s="18">
        <f t="shared" si="82"/>
        <v>6.6882692431113622</v>
      </c>
      <c r="T804" s="18">
        <f>S804/Explications!$C$8</f>
        <v>0.22294230810371207</v>
      </c>
    </row>
    <row r="805" spans="7:20">
      <c r="G805" s="10" t="s">
        <v>25</v>
      </c>
      <c r="H805" s="10" t="s">
        <v>100</v>
      </c>
      <c r="I805" s="10">
        <v>46.839399999999998</v>
      </c>
      <c r="J805" s="10">
        <v>-71.282700000000006</v>
      </c>
      <c r="K805" s="10">
        <v>46.837600000000002</v>
      </c>
      <c r="L805" s="10">
        <v>-71.196299999999994</v>
      </c>
      <c r="M805" s="10" t="str">
        <f t="shared" si="77"/>
        <v>C9</v>
      </c>
      <c r="N805" s="10" t="str">
        <f t="shared" si="78"/>
        <v>C84</v>
      </c>
      <c r="O805" s="5">
        <f t="shared" si="79"/>
        <v>6.5749488717073001</v>
      </c>
      <c r="P805" s="22">
        <f>O805/Explications!$C$8</f>
        <v>0.21916496239024333</v>
      </c>
      <c r="Q805" s="7" t="str">
        <f t="shared" si="80"/>
        <v>C84</v>
      </c>
      <c r="R805" s="7" t="str">
        <f t="shared" si="81"/>
        <v>C9</v>
      </c>
      <c r="S805" s="18">
        <f t="shared" si="82"/>
        <v>6.5749488717073001</v>
      </c>
      <c r="T805" s="18">
        <f>S805/Explications!$C$8</f>
        <v>0.21916496239024333</v>
      </c>
    </row>
    <row r="806" spans="7:20">
      <c r="G806" s="10" t="s">
        <v>25</v>
      </c>
      <c r="H806" s="10" t="s">
        <v>101</v>
      </c>
      <c r="I806" s="10">
        <v>46.839399999999998</v>
      </c>
      <c r="J806" s="10">
        <v>-71.282700000000006</v>
      </c>
      <c r="K806" s="10">
        <v>46.7988</v>
      </c>
      <c r="L806" s="10">
        <v>-71.318200000000004</v>
      </c>
      <c r="M806" s="10" t="str">
        <f t="shared" si="77"/>
        <v>C9</v>
      </c>
      <c r="N806" s="10" t="str">
        <f t="shared" si="78"/>
        <v>C85</v>
      </c>
      <c r="O806" s="5">
        <f t="shared" si="79"/>
        <v>5.2609417790456057</v>
      </c>
      <c r="P806" s="22">
        <f>O806/Explications!$C$8</f>
        <v>0.17536472596818686</v>
      </c>
      <c r="Q806" s="7" t="str">
        <f t="shared" si="80"/>
        <v>C85</v>
      </c>
      <c r="R806" s="7" t="str">
        <f t="shared" si="81"/>
        <v>C9</v>
      </c>
      <c r="S806" s="18">
        <f t="shared" si="82"/>
        <v>5.2609417790456057</v>
      </c>
      <c r="T806" s="18">
        <f>S806/Explications!$C$8</f>
        <v>0.17536472596818686</v>
      </c>
    </row>
    <row r="807" spans="7:20">
      <c r="G807" s="10" t="s">
        <v>26</v>
      </c>
      <c r="H807" s="10" t="s">
        <v>27</v>
      </c>
      <c r="I807" s="10">
        <v>46.860799999999998</v>
      </c>
      <c r="J807" s="10">
        <v>-71.217699999999994</v>
      </c>
      <c r="K807" s="10">
        <v>46.868299999999998</v>
      </c>
      <c r="L807" s="10">
        <v>-71.167000000000002</v>
      </c>
      <c r="M807" s="10" t="str">
        <f t="shared" si="77"/>
        <v>C10</v>
      </c>
      <c r="N807" s="10" t="str">
        <f t="shared" si="78"/>
        <v>C11</v>
      </c>
      <c r="O807" s="5">
        <f t="shared" si="79"/>
        <v>3.9437436319294457</v>
      </c>
      <c r="P807" s="22">
        <f>O807/Explications!$C$8</f>
        <v>0.13145812106431484</v>
      </c>
      <c r="Q807" s="7" t="str">
        <f t="shared" si="80"/>
        <v>C11</v>
      </c>
      <c r="R807" s="7" t="str">
        <f t="shared" si="81"/>
        <v>C10</v>
      </c>
      <c r="S807" s="18">
        <f t="shared" si="82"/>
        <v>3.9437436319294457</v>
      </c>
      <c r="T807" s="18">
        <f>S807/Explications!$C$8</f>
        <v>0.13145812106431484</v>
      </c>
    </row>
    <row r="808" spans="7:20">
      <c r="G808" s="10" t="s">
        <v>26</v>
      </c>
      <c r="H808" s="10" t="s">
        <v>28</v>
      </c>
      <c r="I808" s="10">
        <v>46.860799999999998</v>
      </c>
      <c r="J808" s="10">
        <v>-71.217699999999994</v>
      </c>
      <c r="K808" s="10">
        <v>46.895099999999999</v>
      </c>
      <c r="L808" s="10">
        <v>-71.378600000000006</v>
      </c>
      <c r="M808" s="10" t="str">
        <f t="shared" si="77"/>
        <v>C10</v>
      </c>
      <c r="N808" s="10" t="str">
        <f t="shared" si="78"/>
        <v>C12</v>
      </c>
      <c r="O808" s="5">
        <f t="shared" si="79"/>
        <v>12.810579481577124</v>
      </c>
      <c r="P808" s="22">
        <f>O808/Explications!$C$8</f>
        <v>0.42701931605257076</v>
      </c>
      <c r="Q808" s="7" t="str">
        <f t="shared" si="80"/>
        <v>C12</v>
      </c>
      <c r="R808" s="7" t="str">
        <f t="shared" si="81"/>
        <v>C10</v>
      </c>
      <c r="S808" s="18">
        <f t="shared" si="82"/>
        <v>12.810579481577124</v>
      </c>
      <c r="T808" s="18">
        <f>S808/Explications!$C$8</f>
        <v>0.42701931605257076</v>
      </c>
    </row>
    <row r="809" spans="7:20">
      <c r="G809" s="10" t="s">
        <v>26</v>
      </c>
      <c r="H809" s="10" t="s">
        <v>29</v>
      </c>
      <c r="I809" s="10">
        <v>46.860799999999998</v>
      </c>
      <c r="J809" s="10">
        <v>-71.217699999999994</v>
      </c>
      <c r="K809" s="10">
        <v>46.8033</v>
      </c>
      <c r="L809" s="10">
        <v>-71.1691</v>
      </c>
      <c r="M809" s="10" t="str">
        <f t="shared" si="77"/>
        <v>C10</v>
      </c>
      <c r="N809" s="10" t="str">
        <f t="shared" si="78"/>
        <v>C13</v>
      </c>
      <c r="O809" s="5">
        <f t="shared" si="79"/>
        <v>7.3856844106209785</v>
      </c>
      <c r="P809" s="22">
        <f>O809/Explications!$C$8</f>
        <v>0.24618948035403262</v>
      </c>
      <c r="Q809" s="7" t="str">
        <f t="shared" si="80"/>
        <v>C13</v>
      </c>
      <c r="R809" s="7" t="str">
        <f t="shared" si="81"/>
        <v>C10</v>
      </c>
      <c r="S809" s="18">
        <f t="shared" si="82"/>
        <v>7.3856844106209785</v>
      </c>
      <c r="T809" s="18">
        <f>S809/Explications!$C$8</f>
        <v>0.24618948035403262</v>
      </c>
    </row>
    <row r="810" spans="7:20">
      <c r="G810" s="10" t="s">
        <v>26</v>
      </c>
      <c r="H810" s="10" t="s">
        <v>30</v>
      </c>
      <c r="I810" s="10">
        <v>46.860799999999998</v>
      </c>
      <c r="J810" s="10">
        <v>-71.217699999999994</v>
      </c>
      <c r="K810" s="10">
        <v>46.8596</v>
      </c>
      <c r="L810" s="10">
        <v>-71.267200000000003</v>
      </c>
      <c r="M810" s="10" t="str">
        <f t="shared" si="77"/>
        <v>C10</v>
      </c>
      <c r="N810" s="10" t="str">
        <f t="shared" si="78"/>
        <v>C14</v>
      </c>
      <c r="O810" s="5">
        <f t="shared" si="79"/>
        <v>3.7659959128146197</v>
      </c>
      <c r="P810" s="22">
        <f>O810/Explications!$C$8</f>
        <v>0.12553319709382066</v>
      </c>
      <c r="Q810" s="7" t="str">
        <f t="shared" si="80"/>
        <v>C14</v>
      </c>
      <c r="R810" s="7" t="str">
        <f t="shared" si="81"/>
        <v>C10</v>
      </c>
      <c r="S810" s="18">
        <f t="shared" si="82"/>
        <v>3.7659959128146197</v>
      </c>
      <c r="T810" s="18">
        <f>S810/Explications!$C$8</f>
        <v>0.12553319709382066</v>
      </c>
    </row>
    <row r="811" spans="7:20">
      <c r="G811" s="10" t="s">
        <v>26</v>
      </c>
      <c r="H811" s="10" t="s">
        <v>31</v>
      </c>
      <c r="I811" s="10">
        <v>46.860799999999998</v>
      </c>
      <c r="J811" s="10">
        <v>-71.217699999999994</v>
      </c>
      <c r="K811" s="10">
        <v>46.813499999999998</v>
      </c>
      <c r="L811" s="10">
        <v>-71.215900000000005</v>
      </c>
      <c r="M811" s="10" t="str">
        <f t="shared" si="77"/>
        <v>C10</v>
      </c>
      <c r="N811" s="10" t="str">
        <f t="shared" si="78"/>
        <v>C15</v>
      </c>
      <c r="O811" s="5">
        <f t="shared" si="79"/>
        <v>5.261301881737273</v>
      </c>
      <c r="P811" s="22">
        <f>O811/Explications!$C$8</f>
        <v>0.17537672939124244</v>
      </c>
      <c r="Q811" s="7" t="str">
        <f t="shared" si="80"/>
        <v>C15</v>
      </c>
      <c r="R811" s="7" t="str">
        <f t="shared" si="81"/>
        <v>C10</v>
      </c>
      <c r="S811" s="18">
        <f t="shared" si="82"/>
        <v>5.261301881737273</v>
      </c>
      <c r="T811" s="18">
        <f>S811/Explications!$C$8</f>
        <v>0.17537672939124244</v>
      </c>
    </row>
    <row r="812" spans="7:20">
      <c r="G812" s="10" t="s">
        <v>26</v>
      </c>
      <c r="H812" s="10" t="s">
        <v>32</v>
      </c>
      <c r="I812" s="10">
        <v>46.860799999999998</v>
      </c>
      <c r="J812" s="10">
        <v>-71.217699999999994</v>
      </c>
      <c r="K812" s="10">
        <v>46.733699999999999</v>
      </c>
      <c r="L812" s="10">
        <v>-71.270099999999999</v>
      </c>
      <c r="M812" s="10" t="str">
        <f t="shared" si="77"/>
        <v>C10</v>
      </c>
      <c r="N812" s="10" t="str">
        <f t="shared" si="78"/>
        <v>C16</v>
      </c>
      <c r="O812" s="5">
        <f t="shared" si="79"/>
        <v>14.684979492709896</v>
      </c>
      <c r="P812" s="22">
        <f>O812/Explications!$C$8</f>
        <v>0.48949931642366323</v>
      </c>
      <c r="Q812" s="7" t="str">
        <f t="shared" si="80"/>
        <v>C16</v>
      </c>
      <c r="R812" s="7" t="str">
        <f t="shared" si="81"/>
        <v>C10</v>
      </c>
      <c r="S812" s="18">
        <f t="shared" si="82"/>
        <v>14.684979492709896</v>
      </c>
      <c r="T812" s="18">
        <f>S812/Explications!$C$8</f>
        <v>0.48949931642366323</v>
      </c>
    </row>
    <row r="813" spans="7:20">
      <c r="G813" s="10" t="s">
        <v>26</v>
      </c>
      <c r="H813" s="10" t="s">
        <v>33</v>
      </c>
      <c r="I813" s="10">
        <v>46.860799999999998</v>
      </c>
      <c r="J813" s="10">
        <v>-71.217699999999994</v>
      </c>
      <c r="K813" s="10">
        <v>46.8035</v>
      </c>
      <c r="L813" s="10">
        <v>-71.3553</v>
      </c>
      <c r="M813" s="10" t="str">
        <f t="shared" si="77"/>
        <v>C10</v>
      </c>
      <c r="N813" s="10" t="str">
        <f t="shared" si="78"/>
        <v>C17</v>
      </c>
      <c r="O813" s="5">
        <f t="shared" si="79"/>
        <v>12.254231495076537</v>
      </c>
      <c r="P813" s="22">
        <f>O813/Explications!$C$8</f>
        <v>0.40847438316921791</v>
      </c>
      <c r="Q813" s="7" t="str">
        <f t="shared" si="80"/>
        <v>C17</v>
      </c>
      <c r="R813" s="7" t="str">
        <f t="shared" si="81"/>
        <v>C10</v>
      </c>
      <c r="S813" s="18">
        <f t="shared" si="82"/>
        <v>12.254231495076537</v>
      </c>
      <c r="T813" s="18">
        <f>S813/Explications!$C$8</f>
        <v>0.40847438316921791</v>
      </c>
    </row>
    <row r="814" spans="7:20">
      <c r="G814" s="10" t="s">
        <v>26</v>
      </c>
      <c r="H814" s="10" t="s">
        <v>34</v>
      </c>
      <c r="I814" s="10">
        <v>46.860799999999998</v>
      </c>
      <c r="J814" s="10">
        <v>-71.217699999999994</v>
      </c>
      <c r="K814" s="10">
        <v>46.730200000000004</v>
      </c>
      <c r="L814" s="10">
        <v>-71.274100000000004</v>
      </c>
      <c r="M814" s="10" t="str">
        <f t="shared" si="77"/>
        <v>C10</v>
      </c>
      <c r="N814" s="10" t="str">
        <f t="shared" si="78"/>
        <v>C18</v>
      </c>
      <c r="O814" s="5">
        <f t="shared" si="79"/>
        <v>15.143434275956373</v>
      </c>
      <c r="P814" s="22">
        <f>O814/Explications!$C$8</f>
        <v>0.50478114253187911</v>
      </c>
      <c r="Q814" s="7" t="str">
        <f t="shared" si="80"/>
        <v>C18</v>
      </c>
      <c r="R814" s="7" t="str">
        <f t="shared" si="81"/>
        <v>C10</v>
      </c>
      <c r="S814" s="18">
        <f t="shared" si="82"/>
        <v>15.143434275956373</v>
      </c>
      <c r="T814" s="18">
        <f>S814/Explications!$C$8</f>
        <v>0.50478114253187911</v>
      </c>
    </row>
    <row r="815" spans="7:20">
      <c r="G815" s="10" t="s">
        <v>26</v>
      </c>
      <c r="H815" s="10" t="s">
        <v>35</v>
      </c>
      <c r="I815" s="10">
        <v>46.860799999999998</v>
      </c>
      <c r="J815" s="10">
        <v>-71.217699999999994</v>
      </c>
      <c r="K815" s="10">
        <v>46.785600000000002</v>
      </c>
      <c r="L815" s="10">
        <v>-71.245500000000007</v>
      </c>
      <c r="M815" s="10" t="str">
        <f t="shared" si="77"/>
        <v>C10</v>
      </c>
      <c r="N815" s="10" t="str">
        <f t="shared" si="78"/>
        <v>C19</v>
      </c>
      <c r="O815" s="5">
        <f t="shared" si="79"/>
        <v>8.6252320917538299</v>
      </c>
      <c r="P815" s="22">
        <f>O815/Explications!$C$8</f>
        <v>0.28750773639179433</v>
      </c>
      <c r="Q815" s="7" t="str">
        <f t="shared" si="80"/>
        <v>C19</v>
      </c>
      <c r="R815" s="7" t="str">
        <f t="shared" si="81"/>
        <v>C10</v>
      </c>
      <c r="S815" s="18">
        <f t="shared" si="82"/>
        <v>8.6252320917538299</v>
      </c>
      <c r="T815" s="18">
        <f>S815/Explications!$C$8</f>
        <v>0.28750773639179433</v>
      </c>
    </row>
    <row r="816" spans="7:20">
      <c r="G816" s="10" t="s">
        <v>26</v>
      </c>
      <c r="H816" s="10" t="s">
        <v>36</v>
      </c>
      <c r="I816" s="10">
        <v>46.860799999999998</v>
      </c>
      <c r="J816" s="10">
        <v>-71.217699999999994</v>
      </c>
      <c r="K816" s="10">
        <v>46.8215</v>
      </c>
      <c r="L816" s="10">
        <v>-71.355400000000003</v>
      </c>
      <c r="M816" s="10" t="str">
        <f t="shared" si="77"/>
        <v>C10</v>
      </c>
      <c r="N816" s="10" t="str">
        <f t="shared" si="78"/>
        <v>C20</v>
      </c>
      <c r="O816" s="5">
        <f t="shared" si="79"/>
        <v>11.348555522778007</v>
      </c>
      <c r="P816" s="22">
        <f>O816/Explications!$C$8</f>
        <v>0.3782851840926002</v>
      </c>
      <c r="Q816" s="7" t="str">
        <f t="shared" si="80"/>
        <v>C20</v>
      </c>
      <c r="R816" s="7" t="str">
        <f t="shared" si="81"/>
        <v>C10</v>
      </c>
      <c r="S816" s="18">
        <f t="shared" si="82"/>
        <v>11.348555522778007</v>
      </c>
      <c r="T816" s="18">
        <f>S816/Explications!$C$8</f>
        <v>0.3782851840926002</v>
      </c>
    </row>
    <row r="817" spans="7:20">
      <c r="G817" s="10" t="s">
        <v>26</v>
      </c>
      <c r="H817" s="10" t="s">
        <v>37</v>
      </c>
      <c r="I817" s="10">
        <v>46.860799999999998</v>
      </c>
      <c r="J817" s="10">
        <v>-71.217699999999994</v>
      </c>
      <c r="K817" s="10">
        <v>46.8093</v>
      </c>
      <c r="L817" s="10">
        <v>-71.2273</v>
      </c>
      <c r="M817" s="10" t="str">
        <f t="shared" si="77"/>
        <v>C10</v>
      </c>
      <c r="N817" s="10" t="str">
        <f t="shared" si="78"/>
        <v>C21</v>
      </c>
      <c r="O817" s="5">
        <f t="shared" si="79"/>
        <v>5.7729128388346194</v>
      </c>
      <c r="P817" s="22">
        <f>O817/Explications!$C$8</f>
        <v>0.19243042796115398</v>
      </c>
      <c r="Q817" s="7" t="str">
        <f t="shared" si="80"/>
        <v>C21</v>
      </c>
      <c r="R817" s="7" t="str">
        <f t="shared" si="81"/>
        <v>C10</v>
      </c>
      <c r="S817" s="18">
        <f t="shared" si="82"/>
        <v>5.7729128388346194</v>
      </c>
      <c r="T817" s="18">
        <f>S817/Explications!$C$8</f>
        <v>0.19243042796115398</v>
      </c>
    </row>
    <row r="818" spans="7:20">
      <c r="G818" s="10" t="s">
        <v>26</v>
      </c>
      <c r="H818" s="10" t="s">
        <v>38</v>
      </c>
      <c r="I818" s="10">
        <v>46.860799999999998</v>
      </c>
      <c r="J818" s="10">
        <v>-71.217699999999994</v>
      </c>
      <c r="K818" s="10">
        <v>46.781300000000002</v>
      </c>
      <c r="L818" s="10">
        <v>-71.301000000000002</v>
      </c>
      <c r="M818" s="10" t="str">
        <f t="shared" si="77"/>
        <v>C10</v>
      </c>
      <c r="N818" s="10" t="str">
        <f t="shared" si="78"/>
        <v>C22</v>
      </c>
      <c r="O818" s="5">
        <f t="shared" si="79"/>
        <v>10.877398923943618</v>
      </c>
      <c r="P818" s="22">
        <f>O818/Explications!$C$8</f>
        <v>0.36257996413145394</v>
      </c>
      <c r="Q818" s="7" t="str">
        <f t="shared" si="80"/>
        <v>C22</v>
      </c>
      <c r="R818" s="7" t="str">
        <f t="shared" si="81"/>
        <v>C10</v>
      </c>
      <c r="S818" s="18">
        <f t="shared" si="82"/>
        <v>10.877398923943618</v>
      </c>
      <c r="T818" s="18">
        <f>S818/Explications!$C$8</f>
        <v>0.36257996413145394</v>
      </c>
    </row>
    <row r="819" spans="7:20">
      <c r="G819" s="10" t="s">
        <v>26</v>
      </c>
      <c r="H819" s="10" t="s">
        <v>39</v>
      </c>
      <c r="I819" s="10">
        <v>46.860799999999998</v>
      </c>
      <c r="J819" s="10">
        <v>-71.217699999999994</v>
      </c>
      <c r="K819" s="10">
        <v>46.844900000000003</v>
      </c>
      <c r="L819" s="10">
        <v>-71.251400000000004</v>
      </c>
      <c r="M819" s="10" t="str">
        <f t="shared" si="77"/>
        <v>C10</v>
      </c>
      <c r="N819" s="10" t="str">
        <f t="shared" si="78"/>
        <v>C23</v>
      </c>
      <c r="O819" s="5">
        <f t="shared" si="79"/>
        <v>3.1133671117852719</v>
      </c>
      <c r="P819" s="22">
        <f>O819/Explications!$C$8</f>
        <v>0.10377890372617574</v>
      </c>
      <c r="Q819" s="7" t="str">
        <f t="shared" si="80"/>
        <v>C23</v>
      </c>
      <c r="R819" s="7" t="str">
        <f t="shared" si="81"/>
        <v>C10</v>
      </c>
      <c r="S819" s="18">
        <f t="shared" si="82"/>
        <v>3.1133671117852719</v>
      </c>
      <c r="T819" s="18">
        <f>S819/Explications!$C$8</f>
        <v>0.10377890372617574</v>
      </c>
    </row>
    <row r="820" spans="7:20">
      <c r="G820" s="10" t="s">
        <v>26</v>
      </c>
      <c r="H820" s="10" t="s">
        <v>40</v>
      </c>
      <c r="I820" s="10">
        <v>46.860799999999998</v>
      </c>
      <c r="J820" s="10">
        <v>-71.217699999999994</v>
      </c>
      <c r="K820" s="10">
        <v>46.805500000000002</v>
      </c>
      <c r="L820" s="10">
        <v>-71.2196</v>
      </c>
      <c r="M820" s="10" t="str">
        <f t="shared" si="77"/>
        <v>C10</v>
      </c>
      <c r="N820" s="10" t="str">
        <f t="shared" si="78"/>
        <v>C24</v>
      </c>
      <c r="O820" s="5">
        <f t="shared" si="79"/>
        <v>6.1507778758686733</v>
      </c>
      <c r="P820" s="22">
        <f>O820/Explications!$C$8</f>
        <v>0.20502592919562243</v>
      </c>
      <c r="Q820" s="7" t="str">
        <f t="shared" si="80"/>
        <v>C24</v>
      </c>
      <c r="R820" s="7" t="str">
        <f t="shared" si="81"/>
        <v>C10</v>
      </c>
      <c r="S820" s="18">
        <f t="shared" si="82"/>
        <v>6.1507778758686733</v>
      </c>
      <c r="T820" s="18">
        <f>S820/Explications!$C$8</f>
        <v>0.20502592919562243</v>
      </c>
    </row>
    <row r="821" spans="7:20">
      <c r="G821" s="10" t="s">
        <v>26</v>
      </c>
      <c r="H821" s="10" t="s">
        <v>41</v>
      </c>
      <c r="I821" s="10">
        <v>46.860799999999998</v>
      </c>
      <c r="J821" s="10">
        <v>-71.217699999999994</v>
      </c>
      <c r="K821" s="10">
        <v>46.734900000000003</v>
      </c>
      <c r="L821" s="10">
        <v>-71.266199999999998</v>
      </c>
      <c r="M821" s="10" t="str">
        <f t="shared" si="77"/>
        <v>C10</v>
      </c>
      <c r="N821" s="10" t="str">
        <f t="shared" si="78"/>
        <v>C25</v>
      </c>
      <c r="O821" s="5">
        <f t="shared" si="79"/>
        <v>14.478062655101002</v>
      </c>
      <c r="P821" s="22">
        <f>O821/Explications!$C$8</f>
        <v>0.48260208850336672</v>
      </c>
      <c r="Q821" s="7" t="str">
        <f t="shared" si="80"/>
        <v>C25</v>
      </c>
      <c r="R821" s="7" t="str">
        <f t="shared" si="81"/>
        <v>C10</v>
      </c>
      <c r="S821" s="18">
        <f t="shared" si="82"/>
        <v>14.478062655101002</v>
      </c>
      <c r="T821" s="18">
        <f>S821/Explications!$C$8</f>
        <v>0.48260208850336672</v>
      </c>
    </row>
    <row r="822" spans="7:20">
      <c r="G822" s="10" t="s">
        <v>26</v>
      </c>
      <c r="H822" s="10" t="s">
        <v>42</v>
      </c>
      <c r="I822" s="10">
        <v>46.860799999999998</v>
      </c>
      <c r="J822" s="10">
        <v>-71.217699999999994</v>
      </c>
      <c r="K822" s="10">
        <v>46.817700000000002</v>
      </c>
      <c r="L822" s="10">
        <v>-71.214100000000002</v>
      </c>
      <c r="M822" s="10" t="str">
        <f t="shared" si="77"/>
        <v>C10</v>
      </c>
      <c r="N822" s="10" t="str">
        <f t="shared" si="78"/>
        <v>C26</v>
      </c>
      <c r="O822" s="5">
        <f t="shared" si="79"/>
        <v>4.8003176390441062</v>
      </c>
      <c r="P822" s="22">
        <f>O822/Explications!$C$8</f>
        <v>0.16001058796813689</v>
      </c>
      <c r="Q822" s="7" t="str">
        <f t="shared" si="80"/>
        <v>C26</v>
      </c>
      <c r="R822" s="7" t="str">
        <f t="shared" si="81"/>
        <v>C10</v>
      </c>
      <c r="S822" s="18">
        <f t="shared" si="82"/>
        <v>4.8003176390441062</v>
      </c>
      <c r="T822" s="18">
        <f>S822/Explications!$C$8</f>
        <v>0.16001058796813689</v>
      </c>
    </row>
    <row r="823" spans="7:20">
      <c r="G823" s="10" t="s">
        <v>26</v>
      </c>
      <c r="H823" s="10" t="s">
        <v>43</v>
      </c>
      <c r="I823" s="10">
        <v>46.860799999999998</v>
      </c>
      <c r="J823" s="10">
        <v>-71.217699999999994</v>
      </c>
      <c r="K823" s="10">
        <v>46.603000000000002</v>
      </c>
      <c r="L823" s="10">
        <v>-71.490600000000001</v>
      </c>
      <c r="M823" s="10" t="str">
        <f t="shared" si="77"/>
        <v>C10</v>
      </c>
      <c r="N823" s="10" t="str">
        <f t="shared" si="78"/>
        <v>C27</v>
      </c>
      <c r="O823" s="5">
        <f t="shared" si="79"/>
        <v>35.416580415521707</v>
      </c>
      <c r="P823" s="22">
        <f>O823/Explications!$C$8</f>
        <v>1.1805526805173903</v>
      </c>
      <c r="Q823" s="7" t="str">
        <f t="shared" si="80"/>
        <v>C27</v>
      </c>
      <c r="R823" s="7" t="str">
        <f t="shared" si="81"/>
        <v>C10</v>
      </c>
      <c r="S823" s="18">
        <f t="shared" si="82"/>
        <v>35.416580415521707</v>
      </c>
      <c r="T823" s="18">
        <f>S823/Explications!$C$8</f>
        <v>1.1805526805173903</v>
      </c>
    </row>
    <row r="824" spans="7:20">
      <c r="G824" s="10" t="s">
        <v>26</v>
      </c>
      <c r="H824" s="10" t="s">
        <v>44</v>
      </c>
      <c r="I824" s="10">
        <v>46.860799999999998</v>
      </c>
      <c r="J824" s="10">
        <v>-71.217699999999994</v>
      </c>
      <c r="K824" s="10">
        <v>47.000500000000002</v>
      </c>
      <c r="L824" s="10">
        <v>-71.388400000000004</v>
      </c>
      <c r="M824" s="10" t="str">
        <f t="shared" si="77"/>
        <v>C10</v>
      </c>
      <c r="N824" s="10" t="str">
        <f t="shared" si="78"/>
        <v>C28</v>
      </c>
      <c r="O824" s="5">
        <f t="shared" si="79"/>
        <v>20.231423099331341</v>
      </c>
      <c r="P824" s="22">
        <f>O824/Explications!$C$8</f>
        <v>0.67438076997771135</v>
      </c>
      <c r="Q824" s="7" t="str">
        <f t="shared" si="80"/>
        <v>C28</v>
      </c>
      <c r="R824" s="7" t="str">
        <f t="shared" si="81"/>
        <v>C10</v>
      </c>
      <c r="S824" s="18">
        <f t="shared" si="82"/>
        <v>20.231423099331341</v>
      </c>
      <c r="T824" s="18">
        <f>S824/Explications!$C$8</f>
        <v>0.67438076997771135</v>
      </c>
    </row>
    <row r="825" spans="7:20">
      <c r="G825" s="10" t="s">
        <v>26</v>
      </c>
      <c r="H825" s="10" t="s">
        <v>45</v>
      </c>
      <c r="I825" s="10">
        <v>46.860799999999998</v>
      </c>
      <c r="J825" s="10">
        <v>-71.217699999999994</v>
      </c>
      <c r="K825" s="10">
        <v>46.839100000000002</v>
      </c>
      <c r="L825" s="10">
        <v>-71.245699999999999</v>
      </c>
      <c r="M825" s="10" t="str">
        <f t="shared" si="77"/>
        <v>C10</v>
      </c>
      <c r="N825" s="10" t="str">
        <f t="shared" si="78"/>
        <v>C29</v>
      </c>
      <c r="O825" s="5">
        <f t="shared" si="79"/>
        <v>3.2181164117855565</v>
      </c>
      <c r="P825" s="22">
        <f>O825/Explications!$C$8</f>
        <v>0.10727054705951855</v>
      </c>
      <c r="Q825" s="7" t="str">
        <f t="shared" si="80"/>
        <v>C29</v>
      </c>
      <c r="R825" s="7" t="str">
        <f t="shared" si="81"/>
        <v>C10</v>
      </c>
      <c r="S825" s="18">
        <f t="shared" si="82"/>
        <v>3.2181164117855565</v>
      </c>
      <c r="T825" s="18">
        <f>S825/Explications!$C$8</f>
        <v>0.10727054705951855</v>
      </c>
    </row>
    <row r="826" spans="7:20">
      <c r="G826" s="10" t="s">
        <v>26</v>
      </c>
      <c r="H826" s="10" t="s">
        <v>46</v>
      </c>
      <c r="I826" s="10">
        <v>46.860799999999998</v>
      </c>
      <c r="J826" s="10">
        <v>-71.217699999999994</v>
      </c>
      <c r="K826" s="10">
        <v>46.865699999999997</v>
      </c>
      <c r="L826" s="10">
        <v>-71.27</v>
      </c>
      <c r="M826" s="10" t="str">
        <f t="shared" si="77"/>
        <v>C10</v>
      </c>
      <c r="N826" s="10" t="str">
        <f t="shared" si="78"/>
        <v>C30</v>
      </c>
      <c r="O826" s="5">
        <f t="shared" si="79"/>
        <v>4.0134536618125614</v>
      </c>
      <c r="P826" s="22">
        <f>O826/Explications!$C$8</f>
        <v>0.13378178872708538</v>
      </c>
      <c r="Q826" s="7" t="str">
        <f t="shared" si="80"/>
        <v>C30</v>
      </c>
      <c r="R826" s="7" t="str">
        <f t="shared" si="81"/>
        <v>C10</v>
      </c>
      <c r="S826" s="18">
        <f t="shared" si="82"/>
        <v>4.0134536618125614</v>
      </c>
      <c r="T826" s="18">
        <f>S826/Explications!$C$8</f>
        <v>0.13378178872708538</v>
      </c>
    </row>
    <row r="827" spans="7:20">
      <c r="G827" s="10" t="s">
        <v>26</v>
      </c>
      <c r="H827" s="10" t="s">
        <v>47</v>
      </c>
      <c r="I827" s="10">
        <v>46.860799999999998</v>
      </c>
      <c r="J827" s="10">
        <v>-71.217699999999994</v>
      </c>
      <c r="K827" s="10">
        <v>46.805500000000002</v>
      </c>
      <c r="L827" s="10">
        <v>-71.217299999999994</v>
      </c>
      <c r="M827" s="10" t="str">
        <f t="shared" si="77"/>
        <v>C10</v>
      </c>
      <c r="N827" s="10" t="str">
        <f t="shared" si="78"/>
        <v>C31</v>
      </c>
      <c r="O827" s="5">
        <f t="shared" si="79"/>
        <v>6.1491547302657388</v>
      </c>
      <c r="P827" s="22">
        <f>O827/Explications!$C$8</f>
        <v>0.2049718243421913</v>
      </c>
      <c r="Q827" s="7" t="str">
        <f t="shared" si="80"/>
        <v>C31</v>
      </c>
      <c r="R827" s="7" t="str">
        <f t="shared" si="81"/>
        <v>C10</v>
      </c>
      <c r="S827" s="18">
        <f t="shared" si="82"/>
        <v>6.1491547302657388</v>
      </c>
      <c r="T827" s="18">
        <f>S827/Explications!$C$8</f>
        <v>0.2049718243421913</v>
      </c>
    </row>
    <row r="828" spans="7:20">
      <c r="G828" s="10" t="s">
        <v>26</v>
      </c>
      <c r="H828" s="10" t="s">
        <v>48</v>
      </c>
      <c r="I828" s="10">
        <v>46.860799999999998</v>
      </c>
      <c r="J828" s="10">
        <v>-71.217699999999994</v>
      </c>
      <c r="K828" s="10">
        <v>46.792299999999997</v>
      </c>
      <c r="L828" s="10">
        <v>-71.172899999999998</v>
      </c>
      <c r="M828" s="10" t="str">
        <f t="shared" si="77"/>
        <v>C10</v>
      </c>
      <c r="N828" s="10" t="str">
        <f t="shared" si="78"/>
        <v>C32</v>
      </c>
      <c r="O828" s="5">
        <f t="shared" si="79"/>
        <v>8.3446808675702897</v>
      </c>
      <c r="P828" s="22">
        <f>O828/Explications!$C$8</f>
        <v>0.27815602891900965</v>
      </c>
      <c r="Q828" s="7" t="str">
        <f t="shared" si="80"/>
        <v>C32</v>
      </c>
      <c r="R828" s="7" t="str">
        <f t="shared" si="81"/>
        <v>C10</v>
      </c>
      <c r="S828" s="18">
        <f t="shared" si="82"/>
        <v>8.3446808675702897</v>
      </c>
      <c r="T828" s="18">
        <f>S828/Explications!$C$8</f>
        <v>0.27815602891900965</v>
      </c>
    </row>
    <row r="829" spans="7:20">
      <c r="G829" s="10" t="s">
        <v>26</v>
      </c>
      <c r="H829" s="10" t="s">
        <v>49</v>
      </c>
      <c r="I829" s="10">
        <v>46.860799999999998</v>
      </c>
      <c r="J829" s="10">
        <v>-71.217699999999994</v>
      </c>
      <c r="K829" s="10">
        <v>46.7883</v>
      </c>
      <c r="L829" s="10">
        <v>-71.131200000000007</v>
      </c>
      <c r="M829" s="10" t="str">
        <f t="shared" si="77"/>
        <v>C10</v>
      </c>
      <c r="N829" s="10" t="str">
        <f t="shared" si="78"/>
        <v>C33</v>
      </c>
      <c r="O829" s="5">
        <f t="shared" si="79"/>
        <v>10.406838768157225</v>
      </c>
      <c r="P829" s="22">
        <f>O829/Explications!$C$8</f>
        <v>0.34689462560524087</v>
      </c>
      <c r="Q829" s="7" t="str">
        <f t="shared" si="80"/>
        <v>C33</v>
      </c>
      <c r="R829" s="7" t="str">
        <f t="shared" si="81"/>
        <v>C10</v>
      </c>
      <c r="S829" s="18">
        <f t="shared" si="82"/>
        <v>10.406838768157225</v>
      </c>
      <c r="T829" s="18">
        <f>S829/Explications!$C$8</f>
        <v>0.34689462560524087</v>
      </c>
    </row>
    <row r="830" spans="7:20">
      <c r="G830" s="10" t="s">
        <v>26</v>
      </c>
      <c r="H830" s="10" t="s">
        <v>50</v>
      </c>
      <c r="I830" s="10">
        <v>46.860799999999998</v>
      </c>
      <c r="J830" s="10">
        <v>-71.217699999999994</v>
      </c>
      <c r="K830" s="10">
        <v>46.8611</v>
      </c>
      <c r="L830" s="10">
        <v>-71.268799999999999</v>
      </c>
      <c r="M830" s="10" t="str">
        <f t="shared" si="77"/>
        <v>C10</v>
      </c>
      <c r="N830" s="10" t="str">
        <f t="shared" si="78"/>
        <v>C34</v>
      </c>
      <c r="O830" s="5">
        <f t="shared" si="79"/>
        <v>3.8853729640517765</v>
      </c>
      <c r="P830" s="22">
        <f>O830/Explications!$C$8</f>
        <v>0.12951243213505922</v>
      </c>
      <c r="Q830" s="7" t="str">
        <f t="shared" si="80"/>
        <v>C34</v>
      </c>
      <c r="R830" s="7" t="str">
        <f t="shared" si="81"/>
        <v>C10</v>
      </c>
      <c r="S830" s="18">
        <f t="shared" si="82"/>
        <v>3.8853729640517765</v>
      </c>
      <c r="T830" s="18">
        <f>S830/Explications!$C$8</f>
        <v>0.12951243213505922</v>
      </c>
    </row>
    <row r="831" spans="7:20">
      <c r="G831" s="10" t="s">
        <v>26</v>
      </c>
      <c r="H831" s="10" t="s">
        <v>51</v>
      </c>
      <c r="I831" s="10">
        <v>46.860799999999998</v>
      </c>
      <c r="J831" s="10">
        <v>-71.217699999999994</v>
      </c>
      <c r="K831" s="10">
        <v>46.869700000000002</v>
      </c>
      <c r="L831" s="10">
        <v>-71.205200000000005</v>
      </c>
      <c r="M831" s="10" t="str">
        <f t="shared" si="77"/>
        <v>C10</v>
      </c>
      <c r="N831" s="10" t="str">
        <f t="shared" si="78"/>
        <v>C35</v>
      </c>
      <c r="O831" s="5">
        <f t="shared" si="79"/>
        <v>1.372038666864184</v>
      </c>
      <c r="P831" s="22">
        <f>O831/Explications!$C$8</f>
        <v>4.5734622228806129E-2</v>
      </c>
      <c r="Q831" s="7" t="str">
        <f t="shared" si="80"/>
        <v>C35</v>
      </c>
      <c r="R831" s="7" t="str">
        <f t="shared" si="81"/>
        <v>C10</v>
      </c>
      <c r="S831" s="18">
        <f t="shared" si="82"/>
        <v>1.372038666864184</v>
      </c>
      <c r="T831" s="18">
        <f>S831/Explications!$C$8</f>
        <v>4.5734622228806129E-2</v>
      </c>
    </row>
    <row r="832" spans="7:20">
      <c r="G832" s="10" t="s">
        <v>26</v>
      </c>
      <c r="H832" s="10" t="s">
        <v>52</v>
      </c>
      <c r="I832" s="10">
        <v>46.860799999999998</v>
      </c>
      <c r="J832" s="10">
        <v>-71.217699999999994</v>
      </c>
      <c r="K832" s="10">
        <v>46.774099999999997</v>
      </c>
      <c r="L832" s="10">
        <v>-71.174000000000007</v>
      </c>
      <c r="M832" s="10" t="str">
        <f t="shared" si="77"/>
        <v>C10</v>
      </c>
      <c r="N832" s="10" t="str">
        <f t="shared" si="78"/>
        <v>C36</v>
      </c>
      <c r="O832" s="5">
        <f t="shared" si="79"/>
        <v>10.197974347965168</v>
      </c>
      <c r="P832" s="22">
        <f>O832/Explications!$C$8</f>
        <v>0.3399324782655056</v>
      </c>
      <c r="Q832" s="7" t="str">
        <f t="shared" si="80"/>
        <v>C36</v>
      </c>
      <c r="R832" s="7" t="str">
        <f t="shared" si="81"/>
        <v>C10</v>
      </c>
      <c r="S832" s="18">
        <f t="shared" si="82"/>
        <v>10.197974347965168</v>
      </c>
      <c r="T832" s="18">
        <f>S832/Explications!$C$8</f>
        <v>0.3399324782655056</v>
      </c>
    </row>
    <row r="833" spans="7:20">
      <c r="G833" s="10" t="s">
        <v>26</v>
      </c>
      <c r="H833" s="10" t="s">
        <v>53</v>
      </c>
      <c r="I833" s="10">
        <v>46.860799999999998</v>
      </c>
      <c r="J833" s="10">
        <v>-71.217699999999994</v>
      </c>
      <c r="K833" s="10">
        <v>46.808500000000002</v>
      </c>
      <c r="L833" s="10">
        <v>-71.326599999999999</v>
      </c>
      <c r="M833" s="10" t="str">
        <f t="shared" si="77"/>
        <v>C10</v>
      </c>
      <c r="N833" s="10" t="str">
        <f t="shared" si="78"/>
        <v>C37</v>
      </c>
      <c r="O833" s="5">
        <f t="shared" si="79"/>
        <v>10.121433479161526</v>
      </c>
      <c r="P833" s="22">
        <f>O833/Explications!$C$8</f>
        <v>0.33738111597205089</v>
      </c>
      <c r="Q833" s="7" t="str">
        <f t="shared" si="80"/>
        <v>C37</v>
      </c>
      <c r="R833" s="7" t="str">
        <f t="shared" si="81"/>
        <v>C10</v>
      </c>
      <c r="S833" s="18">
        <f t="shared" si="82"/>
        <v>10.121433479161526</v>
      </c>
      <c r="T833" s="18">
        <f>S833/Explications!$C$8</f>
        <v>0.33738111597205089</v>
      </c>
    </row>
    <row r="834" spans="7:20">
      <c r="G834" s="10" t="s">
        <v>26</v>
      </c>
      <c r="H834" s="10" t="s">
        <v>54</v>
      </c>
      <c r="I834" s="10">
        <v>46.860799999999998</v>
      </c>
      <c r="J834" s="10">
        <v>-71.217699999999994</v>
      </c>
      <c r="K834" s="10">
        <v>46.797499999999999</v>
      </c>
      <c r="L834" s="10">
        <v>-71.306100000000001</v>
      </c>
      <c r="M834" s="10" t="str">
        <f t="shared" si="77"/>
        <v>C10</v>
      </c>
      <c r="N834" s="10" t="str">
        <f t="shared" si="78"/>
        <v>C38</v>
      </c>
      <c r="O834" s="5">
        <f t="shared" si="79"/>
        <v>9.7350253616217106</v>
      </c>
      <c r="P834" s="22">
        <f>O834/Explications!$C$8</f>
        <v>0.32450084538739038</v>
      </c>
      <c r="Q834" s="7" t="str">
        <f t="shared" si="80"/>
        <v>C38</v>
      </c>
      <c r="R834" s="7" t="str">
        <f t="shared" si="81"/>
        <v>C10</v>
      </c>
      <c r="S834" s="18">
        <f t="shared" si="82"/>
        <v>9.7350253616217106</v>
      </c>
      <c r="T834" s="18">
        <f>S834/Explications!$C$8</f>
        <v>0.32450084538739038</v>
      </c>
    </row>
    <row r="835" spans="7:20">
      <c r="G835" s="10" t="s">
        <v>26</v>
      </c>
      <c r="H835" s="10" t="s">
        <v>55</v>
      </c>
      <c r="I835" s="10">
        <v>46.860799999999998</v>
      </c>
      <c r="J835" s="10">
        <v>-71.217699999999994</v>
      </c>
      <c r="K835" s="10">
        <v>46.8155</v>
      </c>
      <c r="L835" s="10">
        <v>-71.268199999999993</v>
      </c>
      <c r="M835" s="10" t="str">
        <f t="shared" si="77"/>
        <v>C10</v>
      </c>
      <c r="N835" s="10" t="str">
        <f t="shared" si="78"/>
        <v>C39</v>
      </c>
      <c r="O835" s="5">
        <f t="shared" si="79"/>
        <v>6.3346513993617197</v>
      </c>
      <c r="P835" s="22">
        <f>O835/Explications!$C$8</f>
        <v>0.21115504664539067</v>
      </c>
      <c r="Q835" s="7" t="str">
        <f t="shared" si="80"/>
        <v>C39</v>
      </c>
      <c r="R835" s="7" t="str">
        <f t="shared" si="81"/>
        <v>C10</v>
      </c>
      <c r="S835" s="18">
        <f t="shared" si="82"/>
        <v>6.3346513993617197</v>
      </c>
      <c r="T835" s="18">
        <f>S835/Explications!$C$8</f>
        <v>0.21115504664539067</v>
      </c>
    </row>
    <row r="836" spans="7:20">
      <c r="G836" s="10" t="s">
        <v>26</v>
      </c>
      <c r="H836" s="10" t="s">
        <v>56</v>
      </c>
      <c r="I836" s="10">
        <v>46.860799999999998</v>
      </c>
      <c r="J836" s="10">
        <v>-71.217699999999994</v>
      </c>
      <c r="K836" s="10">
        <v>46.866700000000002</v>
      </c>
      <c r="L836" s="10">
        <v>-71.215900000000005</v>
      </c>
      <c r="M836" s="10" t="str">
        <f t="shared" ref="M836:M899" si="83">G836</f>
        <v>C10</v>
      </c>
      <c r="N836" s="10" t="str">
        <f t="shared" ref="N836:N899" si="84">H836</f>
        <v>C40</v>
      </c>
      <c r="O836" s="5">
        <f t="shared" ref="O836:O899" si="85">ACOS(SIN(RADIANS(I836))*SIN(RADIANS(K836))+COS(RADIANS(I836))*COS(RADIANS(K836))*COS(RADIANS(J836-L836)))*6371</f>
        <v>0.6701713935164062</v>
      </c>
      <c r="P836" s="22">
        <f>O836/Explications!$C$8</f>
        <v>2.2339046450546872E-2</v>
      </c>
      <c r="Q836" s="7" t="str">
        <f t="shared" ref="Q836:Q899" si="86">N836</f>
        <v>C40</v>
      </c>
      <c r="R836" s="7" t="str">
        <f t="shared" ref="R836:R899" si="87">M836</f>
        <v>C10</v>
      </c>
      <c r="S836" s="18">
        <f t="shared" ref="S836:S899" si="88">O836</f>
        <v>0.6701713935164062</v>
      </c>
      <c r="T836" s="18">
        <f>S836/Explications!$C$8</f>
        <v>2.2339046450546872E-2</v>
      </c>
    </row>
    <row r="837" spans="7:20">
      <c r="G837" s="10" t="s">
        <v>26</v>
      </c>
      <c r="H837" s="10" t="s">
        <v>57</v>
      </c>
      <c r="I837" s="10">
        <v>46.860799999999998</v>
      </c>
      <c r="J837" s="10">
        <v>-71.217699999999994</v>
      </c>
      <c r="K837" s="10">
        <v>46.762099999999997</v>
      </c>
      <c r="L837" s="10">
        <v>-71.235399999999998</v>
      </c>
      <c r="M837" s="10" t="str">
        <f t="shared" si="83"/>
        <v>C10</v>
      </c>
      <c r="N837" s="10" t="str">
        <f t="shared" si="84"/>
        <v>C41</v>
      </c>
      <c r="O837" s="5">
        <f t="shared" si="85"/>
        <v>11.057292238962161</v>
      </c>
      <c r="P837" s="22">
        <f>O837/Explications!$C$8</f>
        <v>0.36857640796540536</v>
      </c>
      <c r="Q837" s="7" t="str">
        <f t="shared" si="86"/>
        <v>C41</v>
      </c>
      <c r="R837" s="7" t="str">
        <f t="shared" si="87"/>
        <v>C10</v>
      </c>
      <c r="S837" s="18">
        <f t="shared" si="88"/>
        <v>11.057292238962161</v>
      </c>
      <c r="T837" s="18">
        <f>S837/Explications!$C$8</f>
        <v>0.36857640796540536</v>
      </c>
    </row>
    <row r="838" spans="7:20">
      <c r="G838" s="10" t="s">
        <v>26</v>
      </c>
      <c r="H838" s="10" t="s">
        <v>58</v>
      </c>
      <c r="I838" s="10">
        <v>46.860799999999998</v>
      </c>
      <c r="J838" s="10">
        <v>-71.217699999999994</v>
      </c>
      <c r="K838" s="10">
        <v>46.8157</v>
      </c>
      <c r="L838" s="10">
        <v>-71.2042</v>
      </c>
      <c r="M838" s="10" t="str">
        <f t="shared" si="83"/>
        <v>C10</v>
      </c>
      <c r="N838" s="10" t="str">
        <f t="shared" si="84"/>
        <v>C42</v>
      </c>
      <c r="O838" s="5">
        <f t="shared" si="85"/>
        <v>5.1189436470587433</v>
      </c>
      <c r="P838" s="22">
        <f>O838/Explications!$C$8</f>
        <v>0.17063145490195811</v>
      </c>
      <c r="Q838" s="7" t="str">
        <f t="shared" si="86"/>
        <v>C42</v>
      </c>
      <c r="R838" s="7" t="str">
        <f t="shared" si="87"/>
        <v>C10</v>
      </c>
      <c r="S838" s="18">
        <f t="shared" si="88"/>
        <v>5.1189436470587433</v>
      </c>
      <c r="T838" s="18">
        <f>S838/Explications!$C$8</f>
        <v>0.17063145490195811</v>
      </c>
    </row>
    <row r="839" spans="7:20">
      <c r="G839" s="10" t="s">
        <v>26</v>
      </c>
      <c r="H839" s="10" t="s">
        <v>59</v>
      </c>
      <c r="I839" s="10">
        <v>46.860799999999998</v>
      </c>
      <c r="J839" s="10">
        <v>-71.217699999999994</v>
      </c>
      <c r="K839" s="10">
        <v>46.707000000000001</v>
      </c>
      <c r="L839" s="10">
        <v>-71.217100000000002</v>
      </c>
      <c r="M839" s="10" t="str">
        <f t="shared" si="83"/>
        <v>C10</v>
      </c>
      <c r="N839" s="10" t="str">
        <f t="shared" si="84"/>
        <v>C43</v>
      </c>
      <c r="O839" s="5">
        <f t="shared" si="85"/>
        <v>17.101840736981877</v>
      </c>
      <c r="P839" s="22">
        <f>O839/Explications!$C$8</f>
        <v>0.57006135789939594</v>
      </c>
      <c r="Q839" s="7" t="str">
        <f t="shared" si="86"/>
        <v>C43</v>
      </c>
      <c r="R839" s="7" t="str">
        <f t="shared" si="87"/>
        <v>C10</v>
      </c>
      <c r="S839" s="18">
        <f t="shared" si="88"/>
        <v>17.101840736981877</v>
      </c>
      <c r="T839" s="18">
        <f>S839/Explications!$C$8</f>
        <v>0.57006135789939594</v>
      </c>
    </row>
    <row r="840" spans="7:20">
      <c r="G840" s="10" t="s">
        <v>26</v>
      </c>
      <c r="H840" s="10" t="s">
        <v>60</v>
      </c>
      <c r="I840" s="10">
        <v>46.860799999999998</v>
      </c>
      <c r="J840" s="10">
        <v>-71.217699999999994</v>
      </c>
      <c r="K840" s="10">
        <v>46.802900000000001</v>
      </c>
      <c r="L840" s="10">
        <v>-71.228899999999996</v>
      </c>
      <c r="M840" s="10" t="str">
        <f t="shared" si="83"/>
        <v>C10</v>
      </c>
      <c r="N840" s="10" t="str">
        <f t="shared" si="84"/>
        <v>C44</v>
      </c>
      <c r="O840" s="5">
        <f t="shared" si="85"/>
        <v>6.4943188829899778</v>
      </c>
      <c r="P840" s="22">
        <f>O840/Explications!$C$8</f>
        <v>0.21647729609966593</v>
      </c>
      <c r="Q840" s="7" t="str">
        <f t="shared" si="86"/>
        <v>C44</v>
      </c>
      <c r="R840" s="7" t="str">
        <f t="shared" si="87"/>
        <v>C10</v>
      </c>
      <c r="S840" s="18">
        <f t="shared" si="88"/>
        <v>6.4943188829899778</v>
      </c>
      <c r="T840" s="18">
        <f>S840/Explications!$C$8</f>
        <v>0.21647729609966593</v>
      </c>
    </row>
    <row r="841" spans="7:20">
      <c r="G841" s="10" t="s">
        <v>26</v>
      </c>
      <c r="H841" s="10" t="s">
        <v>61</v>
      </c>
      <c r="I841" s="10">
        <v>46.860799999999998</v>
      </c>
      <c r="J841" s="10">
        <v>-71.217699999999994</v>
      </c>
      <c r="K841" s="10">
        <v>46.796900000000001</v>
      </c>
      <c r="L841" s="10">
        <v>-71.3078</v>
      </c>
      <c r="M841" s="10" t="str">
        <f t="shared" si="83"/>
        <v>C10</v>
      </c>
      <c r="N841" s="10" t="str">
        <f t="shared" si="84"/>
        <v>C45</v>
      </c>
      <c r="O841" s="5">
        <f t="shared" si="85"/>
        <v>9.8727484873707017</v>
      </c>
      <c r="P841" s="22">
        <f>O841/Explications!$C$8</f>
        <v>0.32909161624569006</v>
      </c>
      <c r="Q841" s="7" t="str">
        <f t="shared" si="86"/>
        <v>C45</v>
      </c>
      <c r="R841" s="7" t="str">
        <f t="shared" si="87"/>
        <v>C10</v>
      </c>
      <c r="S841" s="18">
        <f t="shared" si="88"/>
        <v>9.8727484873707017</v>
      </c>
      <c r="T841" s="18">
        <f>S841/Explications!$C$8</f>
        <v>0.32909161624569006</v>
      </c>
    </row>
    <row r="842" spans="7:20">
      <c r="G842" s="10" t="s">
        <v>26</v>
      </c>
      <c r="H842" s="10" t="s">
        <v>62</v>
      </c>
      <c r="I842" s="10">
        <v>46.860799999999998</v>
      </c>
      <c r="J842" s="10">
        <v>-71.217699999999994</v>
      </c>
      <c r="K842" s="10">
        <v>46.803600000000003</v>
      </c>
      <c r="L842" s="10">
        <v>-71.231099999999998</v>
      </c>
      <c r="M842" s="10" t="str">
        <f t="shared" si="83"/>
        <v>C10</v>
      </c>
      <c r="N842" s="10" t="str">
        <f t="shared" si="84"/>
        <v>C46</v>
      </c>
      <c r="O842" s="5">
        <f t="shared" si="85"/>
        <v>6.4415192465814766</v>
      </c>
      <c r="P842" s="22">
        <f>O842/Explications!$C$8</f>
        <v>0.21471730821938256</v>
      </c>
      <c r="Q842" s="7" t="str">
        <f t="shared" si="86"/>
        <v>C46</v>
      </c>
      <c r="R842" s="7" t="str">
        <f t="shared" si="87"/>
        <v>C10</v>
      </c>
      <c r="S842" s="18">
        <f t="shared" si="88"/>
        <v>6.4415192465814766</v>
      </c>
      <c r="T842" s="18">
        <f>S842/Explications!$C$8</f>
        <v>0.21471730821938256</v>
      </c>
    </row>
    <row r="843" spans="7:20">
      <c r="G843" s="10" t="s">
        <v>26</v>
      </c>
      <c r="H843" s="10" t="s">
        <v>63</v>
      </c>
      <c r="I843" s="10">
        <v>46.860799999999998</v>
      </c>
      <c r="J843" s="10">
        <v>-71.217699999999994</v>
      </c>
      <c r="K843" s="10">
        <v>46.802399999999999</v>
      </c>
      <c r="L843" s="10">
        <v>-71.269800000000004</v>
      </c>
      <c r="M843" s="10" t="str">
        <f t="shared" si="83"/>
        <v>C10</v>
      </c>
      <c r="N843" s="10" t="str">
        <f t="shared" si="84"/>
        <v>C47</v>
      </c>
      <c r="O843" s="5">
        <f t="shared" si="85"/>
        <v>7.6077573103481519</v>
      </c>
      <c r="P843" s="22">
        <f>O843/Explications!$C$8</f>
        <v>0.25359191034493839</v>
      </c>
      <c r="Q843" s="7" t="str">
        <f t="shared" si="86"/>
        <v>C47</v>
      </c>
      <c r="R843" s="7" t="str">
        <f t="shared" si="87"/>
        <v>C10</v>
      </c>
      <c r="S843" s="18">
        <f t="shared" si="88"/>
        <v>7.6077573103481519</v>
      </c>
      <c r="T843" s="18">
        <f>S843/Explications!$C$8</f>
        <v>0.25359191034493839</v>
      </c>
    </row>
    <row r="844" spans="7:20">
      <c r="G844" s="10" t="s">
        <v>26</v>
      </c>
      <c r="H844" s="10" t="s">
        <v>64</v>
      </c>
      <c r="I844" s="10">
        <v>46.860799999999998</v>
      </c>
      <c r="J844" s="10">
        <v>-71.217699999999994</v>
      </c>
      <c r="K844" s="10">
        <v>46.826799999999999</v>
      </c>
      <c r="L844" s="10">
        <v>-71.224199999999996</v>
      </c>
      <c r="M844" s="10" t="str">
        <f t="shared" si="83"/>
        <v>C10</v>
      </c>
      <c r="N844" s="10" t="str">
        <f t="shared" si="84"/>
        <v>C48</v>
      </c>
      <c r="O844" s="5">
        <f t="shared" si="85"/>
        <v>3.8128127692133784</v>
      </c>
      <c r="P844" s="22">
        <f>O844/Explications!$C$8</f>
        <v>0.12709375897377928</v>
      </c>
      <c r="Q844" s="7" t="str">
        <f t="shared" si="86"/>
        <v>C48</v>
      </c>
      <c r="R844" s="7" t="str">
        <f t="shared" si="87"/>
        <v>C10</v>
      </c>
      <c r="S844" s="18">
        <f t="shared" si="88"/>
        <v>3.8128127692133784</v>
      </c>
      <c r="T844" s="18">
        <f>S844/Explications!$C$8</f>
        <v>0.12709375897377928</v>
      </c>
    </row>
    <row r="845" spans="7:20">
      <c r="G845" s="10" t="s">
        <v>26</v>
      </c>
      <c r="H845" s="10" t="s">
        <v>65</v>
      </c>
      <c r="I845" s="10">
        <v>46.860799999999998</v>
      </c>
      <c r="J845" s="10">
        <v>-71.217699999999994</v>
      </c>
      <c r="K845" s="10">
        <v>46.864100000000001</v>
      </c>
      <c r="L845" s="10">
        <v>-71.255499999999998</v>
      </c>
      <c r="M845" s="10" t="str">
        <f t="shared" si="83"/>
        <v>C10</v>
      </c>
      <c r="N845" s="10" t="str">
        <f t="shared" si="84"/>
        <v>C49</v>
      </c>
      <c r="O845" s="5">
        <f t="shared" si="85"/>
        <v>2.8972562843342091</v>
      </c>
      <c r="P845" s="22">
        <f>O845/Explications!$C$8</f>
        <v>9.657520947780697E-2</v>
      </c>
      <c r="Q845" s="7" t="str">
        <f t="shared" si="86"/>
        <v>C49</v>
      </c>
      <c r="R845" s="7" t="str">
        <f t="shared" si="87"/>
        <v>C10</v>
      </c>
      <c r="S845" s="18">
        <f t="shared" si="88"/>
        <v>2.8972562843342091</v>
      </c>
      <c r="T845" s="18">
        <f>S845/Explications!$C$8</f>
        <v>9.657520947780697E-2</v>
      </c>
    </row>
    <row r="846" spans="7:20">
      <c r="G846" s="10" t="s">
        <v>26</v>
      </c>
      <c r="H846" s="10" t="s">
        <v>66</v>
      </c>
      <c r="I846" s="10">
        <v>46.860799999999998</v>
      </c>
      <c r="J846" s="10">
        <v>-71.217699999999994</v>
      </c>
      <c r="K846" s="10">
        <v>46.843800000000002</v>
      </c>
      <c r="L846" s="10">
        <v>-71.247299999999996</v>
      </c>
      <c r="M846" s="10" t="str">
        <f t="shared" si="83"/>
        <v>C10</v>
      </c>
      <c r="N846" s="10" t="str">
        <f t="shared" si="84"/>
        <v>C50</v>
      </c>
      <c r="O846" s="5">
        <f t="shared" si="85"/>
        <v>2.9393650007397598</v>
      </c>
      <c r="P846" s="22">
        <f>O846/Explications!$C$8</f>
        <v>9.7978833357991998E-2</v>
      </c>
      <c r="Q846" s="7" t="str">
        <f t="shared" si="86"/>
        <v>C50</v>
      </c>
      <c r="R846" s="7" t="str">
        <f t="shared" si="87"/>
        <v>C10</v>
      </c>
      <c r="S846" s="18">
        <f t="shared" si="88"/>
        <v>2.9393650007397598</v>
      </c>
      <c r="T846" s="18">
        <f>S846/Explications!$C$8</f>
        <v>9.7978833357991998E-2</v>
      </c>
    </row>
    <row r="847" spans="7:20">
      <c r="G847" s="10" t="s">
        <v>26</v>
      </c>
      <c r="H847" s="10" t="s">
        <v>67</v>
      </c>
      <c r="I847" s="10">
        <v>46.860799999999998</v>
      </c>
      <c r="J847" s="10">
        <v>-71.217699999999994</v>
      </c>
      <c r="K847" s="10">
        <v>46.765599999999999</v>
      </c>
      <c r="L847" s="10">
        <v>-71.312100000000001</v>
      </c>
      <c r="M847" s="10" t="str">
        <f t="shared" si="83"/>
        <v>C10</v>
      </c>
      <c r="N847" s="10" t="str">
        <f t="shared" si="84"/>
        <v>C51</v>
      </c>
      <c r="O847" s="5">
        <f t="shared" si="85"/>
        <v>12.793164464486759</v>
      </c>
      <c r="P847" s="22">
        <f>O847/Explications!$C$8</f>
        <v>0.42643881548289198</v>
      </c>
      <c r="Q847" s="7" t="str">
        <f t="shared" si="86"/>
        <v>C51</v>
      </c>
      <c r="R847" s="7" t="str">
        <f t="shared" si="87"/>
        <v>C10</v>
      </c>
      <c r="S847" s="18">
        <f t="shared" si="88"/>
        <v>12.793164464486759</v>
      </c>
      <c r="T847" s="18">
        <f>S847/Explications!$C$8</f>
        <v>0.42643881548289198</v>
      </c>
    </row>
    <row r="848" spans="7:20">
      <c r="G848" s="10" t="s">
        <v>26</v>
      </c>
      <c r="H848" s="10" t="s">
        <v>68</v>
      </c>
      <c r="I848" s="10">
        <v>46.860799999999998</v>
      </c>
      <c r="J848" s="10">
        <v>-71.217699999999994</v>
      </c>
      <c r="K848" s="10">
        <v>46.787599999999998</v>
      </c>
      <c r="L848" s="10">
        <v>-71.288600000000002</v>
      </c>
      <c r="M848" s="10" t="str">
        <f t="shared" si="83"/>
        <v>C10</v>
      </c>
      <c r="N848" s="10" t="str">
        <f t="shared" si="84"/>
        <v>C52</v>
      </c>
      <c r="O848" s="5">
        <f t="shared" si="85"/>
        <v>9.7647295388665292</v>
      </c>
      <c r="P848" s="22">
        <f>O848/Explications!$C$8</f>
        <v>0.32549098462888432</v>
      </c>
      <c r="Q848" s="7" t="str">
        <f t="shared" si="86"/>
        <v>C52</v>
      </c>
      <c r="R848" s="7" t="str">
        <f t="shared" si="87"/>
        <v>C10</v>
      </c>
      <c r="S848" s="18">
        <f t="shared" si="88"/>
        <v>9.7647295388665292</v>
      </c>
      <c r="T848" s="18">
        <f>S848/Explications!$C$8</f>
        <v>0.32549098462888432</v>
      </c>
    </row>
    <row r="849" spans="7:20">
      <c r="G849" s="10" t="s">
        <v>26</v>
      </c>
      <c r="H849" s="10" t="s">
        <v>69</v>
      </c>
      <c r="I849" s="10">
        <v>46.860799999999998</v>
      </c>
      <c r="J849" s="10">
        <v>-71.217699999999994</v>
      </c>
      <c r="K849" s="10">
        <v>46.764600000000002</v>
      </c>
      <c r="L849" s="10">
        <v>-71.308300000000003</v>
      </c>
      <c r="M849" s="10" t="str">
        <f t="shared" si="83"/>
        <v>C10</v>
      </c>
      <c r="N849" s="10" t="str">
        <f t="shared" si="84"/>
        <v>C53</v>
      </c>
      <c r="O849" s="5">
        <f t="shared" si="85"/>
        <v>12.726402016134971</v>
      </c>
      <c r="P849" s="22">
        <f>O849/Explications!$C$8</f>
        <v>0.42421340053783235</v>
      </c>
      <c r="Q849" s="7" t="str">
        <f t="shared" si="86"/>
        <v>C53</v>
      </c>
      <c r="R849" s="7" t="str">
        <f t="shared" si="87"/>
        <v>C10</v>
      </c>
      <c r="S849" s="18">
        <f t="shared" si="88"/>
        <v>12.726402016134971</v>
      </c>
      <c r="T849" s="18">
        <f>S849/Explications!$C$8</f>
        <v>0.42421340053783235</v>
      </c>
    </row>
    <row r="850" spans="7:20">
      <c r="G850" s="10" t="s">
        <v>26</v>
      </c>
      <c r="H850" s="10" t="s">
        <v>70</v>
      </c>
      <c r="I850" s="10">
        <v>46.860799999999998</v>
      </c>
      <c r="J850" s="10">
        <v>-71.217699999999994</v>
      </c>
      <c r="K850" s="10">
        <v>46.849699999999999</v>
      </c>
      <c r="L850" s="10">
        <v>-71.097399999999993</v>
      </c>
      <c r="M850" s="10" t="str">
        <f t="shared" si="83"/>
        <v>C10</v>
      </c>
      <c r="N850" s="10" t="str">
        <f t="shared" si="84"/>
        <v>C54</v>
      </c>
      <c r="O850" s="5">
        <f t="shared" si="85"/>
        <v>9.2304994868898778</v>
      </c>
      <c r="P850" s="22">
        <f>O850/Explications!$C$8</f>
        <v>0.30768331622966261</v>
      </c>
      <c r="Q850" s="7" t="str">
        <f t="shared" si="86"/>
        <v>C54</v>
      </c>
      <c r="R850" s="7" t="str">
        <f t="shared" si="87"/>
        <v>C10</v>
      </c>
      <c r="S850" s="18">
        <f t="shared" si="88"/>
        <v>9.2304994868898778</v>
      </c>
      <c r="T850" s="18">
        <f>S850/Explications!$C$8</f>
        <v>0.30768331622966261</v>
      </c>
    </row>
    <row r="851" spans="7:20">
      <c r="G851" s="10" t="s">
        <v>26</v>
      </c>
      <c r="H851" s="10" t="s">
        <v>71</v>
      </c>
      <c r="I851" s="10">
        <v>46.860799999999998</v>
      </c>
      <c r="J851" s="10">
        <v>-71.217699999999994</v>
      </c>
      <c r="K851" s="10">
        <v>46.788899999999998</v>
      </c>
      <c r="L851" s="10">
        <v>-71.321399999999997</v>
      </c>
      <c r="M851" s="10" t="str">
        <f t="shared" si="83"/>
        <v>C10</v>
      </c>
      <c r="N851" s="10" t="str">
        <f t="shared" si="84"/>
        <v>C55</v>
      </c>
      <c r="O851" s="5">
        <f t="shared" si="85"/>
        <v>11.23243892197568</v>
      </c>
      <c r="P851" s="22">
        <f>O851/Explications!$C$8</f>
        <v>0.37441463073252268</v>
      </c>
      <c r="Q851" s="7" t="str">
        <f t="shared" si="86"/>
        <v>C55</v>
      </c>
      <c r="R851" s="7" t="str">
        <f t="shared" si="87"/>
        <v>C10</v>
      </c>
      <c r="S851" s="18">
        <f t="shared" si="88"/>
        <v>11.23243892197568</v>
      </c>
      <c r="T851" s="18">
        <f>S851/Explications!$C$8</f>
        <v>0.37441463073252268</v>
      </c>
    </row>
    <row r="852" spans="7:20">
      <c r="G852" s="10" t="s">
        <v>26</v>
      </c>
      <c r="H852" s="10" t="s">
        <v>72</v>
      </c>
      <c r="I852" s="10">
        <v>46.860799999999998</v>
      </c>
      <c r="J852" s="10">
        <v>-71.217699999999994</v>
      </c>
      <c r="K852" s="10">
        <v>46.795400000000001</v>
      </c>
      <c r="L852" s="10">
        <v>-71.232600000000005</v>
      </c>
      <c r="M852" s="10" t="str">
        <f t="shared" si="83"/>
        <v>C10</v>
      </c>
      <c r="N852" s="10" t="str">
        <f t="shared" si="84"/>
        <v>C56</v>
      </c>
      <c r="O852" s="5">
        <f t="shared" si="85"/>
        <v>7.3599671001035869</v>
      </c>
      <c r="P852" s="22">
        <f>O852/Explications!$C$8</f>
        <v>0.24533223667011955</v>
      </c>
      <c r="Q852" s="7" t="str">
        <f t="shared" si="86"/>
        <v>C56</v>
      </c>
      <c r="R852" s="7" t="str">
        <f t="shared" si="87"/>
        <v>C10</v>
      </c>
      <c r="S852" s="18">
        <f t="shared" si="88"/>
        <v>7.3599671001035869</v>
      </c>
      <c r="T852" s="18">
        <f>S852/Explications!$C$8</f>
        <v>0.24533223667011955</v>
      </c>
    </row>
    <row r="853" spans="7:20">
      <c r="G853" s="10" t="s">
        <v>26</v>
      </c>
      <c r="H853" s="10" t="s">
        <v>73</v>
      </c>
      <c r="I853" s="10">
        <v>46.860799999999998</v>
      </c>
      <c r="J853" s="10">
        <v>-71.217699999999994</v>
      </c>
      <c r="K853" s="10">
        <v>46.801200000000001</v>
      </c>
      <c r="L853" s="10">
        <v>-71.224999999999994</v>
      </c>
      <c r="M853" s="10" t="str">
        <f t="shared" si="83"/>
        <v>C10</v>
      </c>
      <c r="N853" s="10" t="str">
        <f t="shared" si="84"/>
        <v>C57</v>
      </c>
      <c r="O853" s="5">
        <f t="shared" si="85"/>
        <v>6.6504449860310091</v>
      </c>
      <c r="P853" s="22">
        <f>O853/Explications!$C$8</f>
        <v>0.22168149953436697</v>
      </c>
      <c r="Q853" s="7" t="str">
        <f t="shared" si="86"/>
        <v>C57</v>
      </c>
      <c r="R853" s="7" t="str">
        <f t="shared" si="87"/>
        <v>C10</v>
      </c>
      <c r="S853" s="18">
        <f t="shared" si="88"/>
        <v>6.6504449860310091</v>
      </c>
      <c r="T853" s="18">
        <f>S853/Explications!$C$8</f>
        <v>0.22168149953436697</v>
      </c>
    </row>
    <row r="854" spans="7:20">
      <c r="G854" s="10" t="s">
        <v>26</v>
      </c>
      <c r="H854" s="10" t="s">
        <v>74</v>
      </c>
      <c r="I854" s="10">
        <v>46.860799999999998</v>
      </c>
      <c r="J854" s="10">
        <v>-71.217699999999994</v>
      </c>
      <c r="K854" s="10">
        <v>46.773200000000003</v>
      </c>
      <c r="L854" s="10">
        <v>-71.275899999999993</v>
      </c>
      <c r="M854" s="10" t="str">
        <f t="shared" si="83"/>
        <v>C10</v>
      </c>
      <c r="N854" s="10" t="str">
        <f t="shared" si="84"/>
        <v>C58</v>
      </c>
      <c r="O854" s="5">
        <f t="shared" si="85"/>
        <v>10.700183432965906</v>
      </c>
      <c r="P854" s="22">
        <f>O854/Explications!$C$8</f>
        <v>0.35667278109886352</v>
      </c>
      <c r="Q854" s="7" t="str">
        <f t="shared" si="86"/>
        <v>C58</v>
      </c>
      <c r="R854" s="7" t="str">
        <f t="shared" si="87"/>
        <v>C10</v>
      </c>
      <c r="S854" s="18">
        <f t="shared" si="88"/>
        <v>10.700183432965906</v>
      </c>
      <c r="T854" s="18">
        <f>S854/Explications!$C$8</f>
        <v>0.35667278109886352</v>
      </c>
    </row>
    <row r="855" spans="7:20">
      <c r="G855" s="10" t="s">
        <v>26</v>
      </c>
      <c r="H855" s="10" t="s">
        <v>75</v>
      </c>
      <c r="I855" s="10">
        <v>46.860799999999998</v>
      </c>
      <c r="J855" s="10">
        <v>-71.217699999999994</v>
      </c>
      <c r="K855" s="10">
        <v>46.814399999999999</v>
      </c>
      <c r="L855" s="10">
        <v>-71.225700000000003</v>
      </c>
      <c r="M855" s="10" t="str">
        <f t="shared" si="83"/>
        <v>C10</v>
      </c>
      <c r="N855" s="10" t="str">
        <f t="shared" si="84"/>
        <v>C59</v>
      </c>
      <c r="O855" s="5">
        <f t="shared" si="85"/>
        <v>5.1952059253947152</v>
      </c>
      <c r="P855" s="22">
        <f>O855/Explications!$C$8</f>
        <v>0.17317353084649051</v>
      </c>
      <c r="Q855" s="7" t="str">
        <f t="shared" si="86"/>
        <v>C59</v>
      </c>
      <c r="R855" s="7" t="str">
        <f t="shared" si="87"/>
        <v>C10</v>
      </c>
      <c r="S855" s="18">
        <f t="shared" si="88"/>
        <v>5.1952059253947152</v>
      </c>
      <c r="T855" s="18">
        <f>S855/Explications!$C$8</f>
        <v>0.17317353084649051</v>
      </c>
    </row>
    <row r="856" spans="7:20">
      <c r="G856" s="10" t="s">
        <v>26</v>
      </c>
      <c r="H856" s="10" t="s">
        <v>76</v>
      </c>
      <c r="I856" s="10">
        <v>46.860799999999998</v>
      </c>
      <c r="J856" s="10">
        <v>-71.217699999999994</v>
      </c>
      <c r="K856" s="10">
        <v>46.772500000000001</v>
      </c>
      <c r="L856" s="10">
        <v>-71.276300000000006</v>
      </c>
      <c r="M856" s="10" t="str">
        <f t="shared" si="83"/>
        <v>C10</v>
      </c>
      <c r="N856" s="10" t="str">
        <f t="shared" si="84"/>
        <v>C60</v>
      </c>
      <c r="O856" s="5">
        <f t="shared" si="85"/>
        <v>10.783650817757763</v>
      </c>
      <c r="P856" s="22">
        <f>O856/Explications!$C$8</f>
        <v>0.35945502725859213</v>
      </c>
      <c r="Q856" s="7" t="str">
        <f t="shared" si="86"/>
        <v>C60</v>
      </c>
      <c r="R856" s="7" t="str">
        <f t="shared" si="87"/>
        <v>C10</v>
      </c>
      <c r="S856" s="18">
        <f t="shared" si="88"/>
        <v>10.783650817757763</v>
      </c>
      <c r="T856" s="18">
        <f>S856/Explications!$C$8</f>
        <v>0.35945502725859213</v>
      </c>
    </row>
    <row r="857" spans="7:20">
      <c r="G857" s="10" t="s">
        <v>26</v>
      </c>
      <c r="H857" s="10" t="s">
        <v>77</v>
      </c>
      <c r="I857" s="10">
        <v>46.860799999999998</v>
      </c>
      <c r="J857" s="10">
        <v>-71.217699999999994</v>
      </c>
      <c r="K857" s="10">
        <v>46.810899999999997</v>
      </c>
      <c r="L857" s="10">
        <v>-71.215599999999995</v>
      </c>
      <c r="M857" s="10" t="str">
        <f t="shared" si="83"/>
        <v>C10</v>
      </c>
      <c r="N857" s="10" t="str">
        <f t="shared" si="84"/>
        <v>C61</v>
      </c>
      <c r="O857" s="5">
        <f t="shared" si="85"/>
        <v>5.5509257945413584</v>
      </c>
      <c r="P857" s="22">
        <f>O857/Explications!$C$8</f>
        <v>0.18503085981804529</v>
      </c>
      <c r="Q857" s="7" t="str">
        <f t="shared" si="86"/>
        <v>C61</v>
      </c>
      <c r="R857" s="7" t="str">
        <f t="shared" si="87"/>
        <v>C10</v>
      </c>
      <c r="S857" s="18">
        <f t="shared" si="88"/>
        <v>5.5509257945413584</v>
      </c>
      <c r="T857" s="18">
        <f>S857/Explications!$C$8</f>
        <v>0.18503085981804529</v>
      </c>
    </row>
    <row r="858" spans="7:20">
      <c r="G858" s="10" t="s">
        <v>26</v>
      </c>
      <c r="H858" s="10" t="s">
        <v>78</v>
      </c>
      <c r="I858" s="10">
        <v>46.860799999999998</v>
      </c>
      <c r="J858" s="10">
        <v>-71.217699999999994</v>
      </c>
      <c r="K858" s="10">
        <v>46.795200000000001</v>
      </c>
      <c r="L858" s="10">
        <v>-71.245099999999994</v>
      </c>
      <c r="M858" s="10" t="str">
        <f t="shared" si="83"/>
        <v>C10</v>
      </c>
      <c r="N858" s="10" t="str">
        <f t="shared" si="84"/>
        <v>C62</v>
      </c>
      <c r="O858" s="5">
        <f t="shared" si="85"/>
        <v>7.5863983402734423</v>
      </c>
      <c r="P858" s="22">
        <f>O858/Explications!$C$8</f>
        <v>0.2528799446757814</v>
      </c>
      <c r="Q858" s="7" t="str">
        <f t="shared" si="86"/>
        <v>C62</v>
      </c>
      <c r="R858" s="7" t="str">
        <f t="shared" si="87"/>
        <v>C10</v>
      </c>
      <c r="S858" s="18">
        <f t="shared" si="88"/>
        <v>7.5863983402734423</v>
      </c>
      <c r="T858" s="18">
        <f>S858/Explications!$C$8</f>
        <v>0.2528799446757814</v>
      </c>
    </row>
    <row r="859" spans="7:20">
      <c r="G859" s="10" t="s">
        <v>26</v>
      </c>
      <c r="H859" s="10" t="s">
        <v>79</v>
      </c>
      <c r="I859" s="10">
        <v>46.860799999999998</v>
      </c>
      <c r="J859" s="10">
        <v>-71.217699999999994</v>
      </c>
      <c r="K859" s="10">
        <v>46.822000000000003</v>
      </c>
      <c r="L859" s="10">
        <v>-71.345699999999994</v>
      </c>
      <c r="M859" s="10" t="str">
        <f t="shared" si="83"/>
        <v>C10</v>
      </c>
      <c r="N859" s="10" t="str">
        <f t="shared" si="84"/>
        <v>C63</v>
      </c>
      <c r="O859" s="5">
        <f t="shared" si="85"/>
        <v>10.648760511736874</v>
      </c>
      <c r="P859" s="22">
        <f>O859/Explications!$C$8</f>
        <v>0.35495868372456246</v>
      </c>
      <c r="Q859" s="7" t="str">
        <f t="shared" si="86"/>
        <v>C63</v>
      </c>
      <c r="R859" s="7" t="str">
        <f t="shared" si="87"/>
        <v>C10</v>
      </c>
      <c r="S859" s="18">
        <f t="shared" si="88"/>
        <v>10.648760511736874</v>
      </c>
      <c r="T859" s="18">
        <f>S859/Explications!$C$8</f>
        <v>0.35495868372456246</v>
      </c>
    </row>
    <row r="860" spans="7:20">
      <c r="G860" s="10" t="s">
        <v>26</v>
      </c>
      <c r="H860" s="10" t="s">
        <v>80</v>
      </c>
      <c r="I860" s="10">
        <v>46.860799999999998</v>
      </c>
      <c r="J860" s="10">
        <v>-71.217699999999994</v>
      </c>
      <c r="K860" s="10">
        <v>46.779400000000003</v>
      </c>
      <c r="L860" s="10">
        <v>-71.350399999999993</v>
      </c>
      <c r="M860" s="10" t="str">
        <f t="shared" si="83"/>
        <v>C10</v>
      </c>
      <c r="N860" s="10" t="str">
        <f t="shared" si="84"/>
        <v>C64</v>
      </c>
      <c r="O860" s="5">
        <f t="shared" si="85"/>
        <v>13.560121454107071</v>
      </c>
      <c r="P860" s="22">
        <f>O860/Explications!$C$8</f>
        <v>0.45200404847023568</v>
      </c>
      <c r="Q860" s="7" t="str">
        <f t="shared" si="86"/>
        <v>C64</v>
      </c>
      <c r="R860" s="7" t="str">
        <f t="shared" si="87"/>
        <v>C10</v>
      </c>
      <c r="S860" s="18">
        <f t="shared" si="88"/>
        <v>13.560121454107071</v>
      </c>
      <c r="T860" s="18">
        <f>S860/Explications!$C$8</f>
        <v>0.45200404847023568</v>
      </c>
    </row>
    <row r="861" spans="7:20">
      <c r="G861" s="10" t="s">
        <v>26</v>
      </c>
      <c r="H861" s="10" t="s">
        <v>81</v>
      </c>
      <c r="I861" s="10">
        <v>46.860799999999998</v>
      </c>
      <c r="J861" s="10">
        <v>-71.217699999999994</v>
      </c>
      <c r="K861" s="10">
        <v>46.772300000000001</v>
      </c>
      <c r="L861" s="10">
        <v>-71.279799999999994</v>
      </c>
      <c r="M861" s="10" t="str">
        <f t="shared" si="83"/>
        <v>C10</v>
      </c>
      <c r="N861" s="10" t="str">
        <f t="shared" si="84"/>
        <v>C65</v>
      </c>
      <c r="O861" s="5">
        <f t="shared" si="85"/>
        <v>10.916526807498599</v>
      </c>
      <c r="P861" s="22">
        <f>O861/Explications!$C$8</f>
        <v>0.36388422691661998</v>
      </c>
      <c r="Q861" s="7" t="str">
        <f t="shared" si="86"/>
        <v>C65</v>
      </c>
      <c r="R861" s="7" t="str">
        <f t="shared" si="87"/>
        <v>C10</v>
      </c>
      <c r="S861" s="18">
        <f t="shared" si="88"/>
        <v>10.916526807498599</v>
      </c>
      <c r="T861" s="18">
        <f>S861/Explications!$C$8</f>
        <v>0.36388422691661998</v>
      </c>
    </row>
    <row r="862" spans="7:20">
      <c r="G862" s="10" t="s">
        <v>26</v>
      </c>
      <c r="H862" s="10" t="s">
        <v>82</v>
      </c>
      <c r="I862" s="10">
        <v>46.860799999999998</v>
      </c>
      <c r="J862" s="10">
        <v>-71.217699999999994</v>
      </c>
      <c r="K862" s="10">
        <v>46.814900000000002</v>
      </c>
      <c r="L862" s="10">
        <v>-71.225200000000001</v>
      </c>
      <c r="M862" s="10" t="str">
        <f t="shared" si="83"/>
        <v>C10</v>
      </c>
      <c r="N862" s="10" t="str">
        <f t="shared" si="84"/>
        <v>C66</v>
      </c>
      <c r="O862" s="5">
        <f t="shared" si="85"/>
        <v>5.1356312222224707</v>
      </c>
      <c r="P862" s="22">
        <f>O862/Explications!$C$8</f>
        <v>0.17118770740741568</v>
      </c>
      <c r="Q862" s="7" t="str">
        <f t="shared" si="86"/>
        <v>C66</v>
      </c>
      <c r="R862" s="7" t="str">
        <f t="shared" si="87"/>
        <v>C10</v>
      </c>
      <c r="S862" s="18">
        <f t="shared" si="88"/>
        <v>5.1356312222224707</v>
      </c>
      <c r="T862" s="18">
        <f>S862/Explications!$C$8</f>
        <v>0.17118770740741568</v>
      </c>
    </row>
    <row r="863" spans="7:20">
      <c r="G863" s="10" t="s">
        <v>26</v>
      </c>
      <c r="H863" s="10" t="s">
        <v>83</v>
      </c>
      <c r="I863" s="10">
        <v>46.860799999999998</v>
      </c>
      <c r="J863" s="10">
        <v>-71.217699999999994</v>
      </c>
      <c r="K863" s="10">
        <v>46.814700000000002</v>
      </c>
      <c r="L863" s="10">
        <v>-71.207300000000004</v>
      </c>
      <c r="M863" s="10" t="str">
        <f t="shared" si="83"/>
        <v>C10</v>
      </c>
      <c r="N863" s="10" t="str">
        <f t="shared" si="84"/>
        <v>C67</v>
      </c>
      <c r="O863" s="5">
        <f t="shared" si="85"/>
        <v>5.1867673698668213</v>
      </c>
      <c r="P863" s="22">
        <f>O863/Explications!$C$8</f>
        <v>0.17289224566222738</v>
      </c>
      <c r="Q863" s="7" t="str">
        <f t="shared" si="86"/>
        <v>C67</v>
      </c>
      <c r="R863" s="7" t="str">
        <f t="shared" si="87"/>
        <v>C10</v>
      </c>
      <c r="S863" s="18">
        <f t="shared" si="88"/>
        <v>5.1867673698668213</v>
      </c>
      <c r="T863" s="18">
        <f>S863/Explications!$C$8</f>
        <v>0.17289224566222738</v>
      </c>
    </row>
    <row r="864" spans="7:20">
      <c r="G864" s="10" t="s">
        <v>26</v>
      </c>
      <c r="H864" s="10" t="s">
        <v>84</v>
      </c>
      <c r="I864" s="10">
        <v>46.860799999999998</v>
      </c>
      <c r="J864" s="10">
        <v>-71.217699999999994</v>
      </c>
      <c r="K864" s="10">
        <v>46.815600000000003</v>
      </c>
      <c r="L864" s="10">
        <v>-71.2029</v>
      </c>
      <c r="M864" s="10" t="str">
        <f t="shared" si="83"/>
        <v>C10</v>
      </c>
      <c r="N864" s="10" t="str">
        <f t="shared" si="84"/>
        <v>C68</v>
      </c>
      <c r="O864" s="5">
        <f t="shared" si="85"/>
        <v>5.150543019101165</v>
      </c>
      <c r="P864" s="22">
        <f>O864/Explications!$C$8</f>
        <v>0.17168476730337218</v>
      </c>
      <c r="Q864" s="7" t="str">
        <f t="shared" si="86"/>
        <v>C68</v>
      </c>
      <c r="R864" s="7" t="str">
        <f t="shared" si="87"/>
        <v>C10</v>
      </c>
      <c r="S864" s="18">
        <f t="shared" si="88"/>
        <v>5.150543019101165</v>
      </c>
      <c r="T864" s="18">
        <f>S864/Explications!$C$8</f>
        <v>0.17168476730337218</v>
      </c>
    </row>
    <row r="865" spans="7:20">
      <c r="G865" s="10" t="s">
        <v>26</v>
      </c>
      <c r="H865" s="10" t="s">
        <v>85</v>
      </c>
      <c r="I865" s="10">
        <v>46.860799999999998</v>
      </c>
      <c r="J865" s="10">
        <v>-71.217699999999994</v>
      </c>
      <c r="K865" s="10">
        <v>46.821899999999999</v>
      </c>
      <c r="L865" s="10">
        <v>-71.249899999999997</v>
      </c>
      <c r="M865" s="10" t="str">
        <f t="shared" si="83"/>
        <v>C10</v>
      </c>
      <c r="N865" s="10" t="str">
        <f t="shared" si="84"/>
        <v>C69</v>
      </c>
      <c r="O865" s="5">
        <f t="shared" si="85"/>
        <v>4.9707133135687949</v>
      </c>
      <c r="P865" s="22">
        <f>O865/Explications!$C$8</f>
        <v>0.1656904437856265</v>
      </c>
      <c r="Q865" s="7" t="str">
        <f t="shared" si="86"/>
        <v>C69</v>
      </c>
      <c r="R865" s="7" t="str">
        <f t="shared" si="87"/>
        <v>C10</v>
      </c>
      <c r="S865" s="18">
        <f t="shared" si="88"/>
        <v>4.9707133135687949</v>
      </c>
      <c r="T865" s="18">
        <f>S865/Explications!$C$8</f>
        <v>0.1656904437856265</v>
      </c>
    </row>
    <row r="866" spans="7:20">
      <c r="G866" s="10" t="s">
        <v>26</v>
      </c>
      <c r="H866" s="10" t="s">
        <v>86</v>
      </c>
      <c r="I866" s="10">
        <v>46.860799999999998</v>
      </c>
      <c r="J866" s="10">
        <v>-71.217699999999994</v>
      </c>
      <c r="K866" s="10">
        <v>46.8872</v>
      </c>
      <c r="L866" s="10">
        <v>-71.27</v>
      </c>
      <c r="M866" s="10" t="str">
        <f t="shared" si="83"/>
        <v>C10</v>
      </c>
      <c r="N866" s="10" t="str">
        <f t="shared" si="84"/>
        <v>C70</v>
      </c>
      <c r="O866" s="5">
        <f t="shared" si="85"/>
        <v>4.9418661217172168</v>
      </c>
      <c r="P866" s="22">
        <f>O866/Explications!$C$8</f>
        <v>0.16472887072390724</v>
      </c>
      <c r="Q866" s="7" t="str">
        <f t="shared" si="86"/>
        <v>C70</v>
      </c>
      <c r="R866" s="7" t="str">
        <f t="shared" si="87"/>
        <v>C10</v>
      </c>
      <c r="S866" s="18">
        <f t="shared" si="88"/>
        <v>4.9418661217172168</v>
      </c>
      <c r="T866" s="18">
        <f>S866/Explications!$C$8</f>
        <v>0.16472887072390724</v>
      </c>
    </row>
    <row r="867" spans="7:20">
      <c r="G867" s="10" t="s">
        <v>26</v>
      </c>
      <c r="H867" s="10" t="s">
        <v>87</v>
      </c>
      <c r="I867" s="10">
        <v>46.860799999999998</v>
      </c>
      <c r="J867" s="10">
        <v>-71.217699999999994</v>
      </c>
      <c r="K867" s="10">
        <v>46.816299999999998</v>
      </c>
      <c r="L867" s="10">
        <v>-71.210300000000004</v>
      </c>
      <c r="M867" s="10" t="str">
        <f t="shared" si="83"/>
        <v>C10</v>
      </c>
      <c r="N867" s="10" t="str">
        <f t="shared" si="84"/>
        <v>C71</v>
      </c>
      <c r="O867" s="5">
        <f t="shared" si="85"/>
        <v>4.9800855050545776</v>
      </c>
      <c r="P867" s="22">
        <f>O867/Explications!$C$8</f>
        <v>0.16600285016848593</v>
      </c>
      <c r="Q867" s="7" t="str">
        <f t="shared" si="86"/>
        <v>C71</v>
      </c>
      <c r="R867" s="7" t="str">
        <f t="shared" si="87"/>
        <v>C10</v>
      </c>
      <c r="S867" s="18">
        <f t="shared" si="88"/>
        <v>4.9800855050545776</v>
      </c>
      <c r="T867" s="18">
        <f>S867/Explications!$C$8</f>
        <v>0.16600285016848593</v>
      </c>
    </row>
    <row r="868" spans="7:20">
      <c r="G868" s="10" t="s">
        <v>26</v>
      </c>
      <c r="H868" s="10" t="s">
        <v>88</v>
      </c>
      <c r="I868" s="10">
        <v>46.860799999999998</v>
      </c>
      <c r="J868" s="10">
        <v>-71.217699999999994</v>
      </c>
      <c r="K868" s="10">
        <v>46.807000000000002</v>
      </c>
      <c r="L868" s="10">
        <v>-71.3566</v>
      </c>
      <c r="M868" s="10" t="str">
        <f t="shared" si="83"/>
        <v>C10</v>
      </c>
      <c r="N868" s="10" t="str">
        <f t="shared" si="84"/>
        <v>C72</v>
      </c>
      <c r="O868" s="5">
        <f t="shared" si="85"/>
        <v>12.142125611893757</v>
      </c>
      <c r="P868" s="22">
        <f>O868/Explications!$C$8</f>
        <v>0.40473752039645855</v>
      </c>
      <c r="Q868" s="7" t="str">
        <f t="shared" si="86"/>
        <v>C72</v>
      </c>
      <c r="R868" s="7" t="str">
        <f t="shared" si="87"/>
        <v>C10</v>
      </c>
      <c r="S868" s="18">
        <f t="shared" si="88"/>
        <v>12.142125611893757</v>
      </c>
      <c r="T868" s="18">
        <f>S868/Explications!$C$8</f>
        <v>0.40473752039645855</v>
      </c>
    </row>
    <row r="869" spans="7:20">
      <c r="G869" s="10" t="s">
        <v>26</v>
      </c>
      <c r="H869" s="10" t="s">
        <v>89</v>
      </c>
      <c r="I869" s="10">
        <v>46.860799999999998</v>
      </c>
      <c r="J869" s="10">
        <v>-71.217699999999994</v>
      </c>
      <c r="K869" s="10">
        <v>46.822899999999997</v>
      </c>
      <c r="L869" s="10">
        <v>-71.341899999999995</v>
      </c>
      <c r="M869" s="10" t="str">
        <f t="shared" si="83"/>
        <v>C10</v>
      </c>
      <c r="N869" s="10" t="str">
        <f t="shared" si="84"/>
        <v>C73</v>
      </c>
      <c r="O869" s="5">
        <f t="shared" si="85"/>
        <v>10.34393213019554</v>
      </c>
      <c r="P869" s="22">
        <f>O869/Explications!$C$8</f>
        <v>0.34479773767318467</v>
      </c>
      <c r="Q869" s="7" t="str">
        <f t="shared" si="86"/>
        <v>C73</v>
      </c>
      <c r="R869" s="7" t="str">
        <f t="shared" si="87"/>
        <v>C10</v>
      </c>
      <c r="S869" s="18">
        <f t="shared" si="88"/>
        <v>10.34393213019554</v>
      </c>
      <c r="T869" s="18">
        <f>S869/Explications!$C$8</f>
        <v>0.34479773767318467</v>
      </c>
    </row>
    <row r="870" spans="7:20">
      <c r="G870" s="10" t="s">
        <v>26</v>
      </c>
      <c r="H870" s="10" t="s">
        <v>90</v>
      </c>
      <c r="I870" s="10">
        <v>46.860799999999998</v>
      </c>
      <c r="J870" s="10">
        <v>-71.217699999999994</v>
      </c>
      <c r="K870" s="10">
        <v>46.730699999999999</v>
      </c>
      <c r="L870" s="10">
        <v>-71.261099999999999</v>
      </c>
      <c r="M870" s="10" t="str">
        <f t="shared" si="83"/>
        <v>C10</v>
      </c>
      <c r="N870" s="10" t="str">
        <f t="shared" si="84"/>
        <v>C74</v>
      </c>
      <c r="O870" s="5">
        <f t="shared" si="85"/>
        <v>14.838917296835483</v>
      </c>
      <c r="P870" s="22">
        <f>O870/Explications!$C$8</f>
        <v>0.49463057656118276</v>
      </c>
      <c r="Q870" s="7" t="str">
        <f t="shared" si="86"/>
        <v>C74</v>
      </c>
      <c r="R870" s="7" t="str">
        <f t="shared" si="87"/>
        <v>C10</v>
      </c>
      <c r="S870" s="18">
        <f t="shared" si="88"/>
        <v>14.838917296835483</v>
      </c>
      <c r="T870" s="18">
        <f>S870/Explications!$C$8</f>
        <v>0.49463057656118276</v>
      </c>
    </row>
    <row r="871" spans="7:20">
      <c r="G871" s="10" t="s">
        <v>26</v>
      </c>
      <c r="H871" s="10" t="s">
        <v>91</v>
      </c>
      <c r="I871" s="10">
        <v>46.860799999999998</v>
      </c>
      <c r="J871" s="10">
        <v>-71.217699999999994</v>
      </c>
      <c r="K871" s="10">
        <v>46.840600000000002</v>
      </c>
      <c r="L871" s="10">
        <v>-71.289100000000005</v>
      </c>
      <c r="M871" s="10" t="str">
        <f t="shared" si="83"/>
        <v>C10</v>
      </c>
      <c r="N871" s="10" t="str">
        <f t="shared" si="84"/>
        <v>C75</v>
      </c>
      <c r="O871" s="5">
        <f t="shared" si="85"/>
        <v>5.8759612144388971</v>
      </c>
      <c r="P871" s="22">
        <f>O871/Explications!$C$8</f>
        <v>0.1958653738146299</v>
      </c>
      <c r="Q871" s="7" t="str">
        <f t="shared" si="86"/>
        <v>C75</v>
      </c>
      <c r="R871" s="7" t="str">
        <f t="shared" si="87"/>
        <v>C10</v>
      </c>
      <c r="S871" s="18">
        <f t="shared" si="88"/>
        <v>5.8759612144388971</v>
      </c>
      <c r="T871" s="18">
        <f>S871/Explications!$C$8</f>
        <v>0.1958653738146299</v>
      </c>
    </row>
    <row r="872" spans="7:20">
      <c r="G872" s="10" t="s">
        <v>26</v>
      </c>
      <c r="H872" s="10" t="s">
        <v>92</v>
      </c>
      <c r="I872" s="10">
        <v>46.860799999999998</v>
      </c>
      <c r="J872" s="10">
        <v>-71.217699999999994</v>
      </c>
      <c r="K872" s="10">
        <v>46.840600000000002</v>
      </c>
      <c r="L872" s="10">
        <v>-71.281599999999997</v>
      </c>
      <c r="M872" s="10" t="str">
        <f t="shared" si="83"/>
        <v>C10</v>
      </c>
      <c r="N872" s="10" t="str">
        <f t="shared" si="84"/>
        <v>C76</v>
      </c>
      <c r="O872" s="5">
        <f t="shared" si="85"/>
        <v>5.3533694800162266</v>
      </c>
      <c r="P872" s="22">
        <f>O872/Explications!$C$8</f>
        <v>0.17844564933387422</v>
      </c>
      <c r="Q872" s="7" t="str">
        <f t="shared" si="86"/>
        <v>C76</v>
      </c>
      <c r="R872" s="7" t="str">
        <f t="shared" si="87"/>
        <v>C10</v>
      </c>
      <c r="S872" s="18">
        <f t="shared" si="88"/>
        <v>5.3533694800162266</v>
      </c>
      <c r="T872" s="18">
        <f>S872/Explications!$C$8</f>
        <v>0.17844564933387422</v>
      </c>
    </row>
    <row r="873" spans="7:20">
      <c r="G873" s="10" t="s">
        <v>26</v>
      </c>
      <c r="H873" s="10" t="s">
        <v>93</v>
      </c>
      <c r="I873" s="10">
        <v>46.860799999999998</v>
      </c>
      <c r="J873" s="10">
        <v>-71.217699999999994</v>
      </c>
      <c r="K873" s="10">
        <v>46.839399999999998</v>
      </c>
      <c r="L873" s="10">
        <v>-71.282600000000002</v>
      </c>
      <c r="M873" s="10" t="str">
        <f t="shared" si="83"/>
        <v>C10</v>
      </c>
      <c r="N873" s="10" t="str">
        <f t="shared" si="84"/>
        <v>C77</v>
      </c>
      <c r="O873" s="5">
        <f t="shared" si="85"/>
        <v>5.4791598672728314</v>
      </c>
      <c r="P873" s="22">
        <f>O873/Explications!$C$8</f>
        <v>0.18263866224242772</v>
      </c>
      <c r="Q873" s="7" t="str">
        <f t="shared" si="86"/>
        <v>C77</v>
      </c>
      <c r="R873" s="7" t="str">
        <f t="shared" si="87"/>
        <v>C10</v>
      </c>
      <c r="S873" s="18">
        <f t="shared" si="88"/>
        <v>5.4791598672728314</v>
      </c>
      <c r="T873" s="18">
        <f>S873/Explications!$C$8</f>
        <v>0.18263866224242772</v>
      </c>
    </row>
    <row r="874" spans="7:20">
      <c r="G874" s="10" t="s">
        <v>26</v>
      </c>
      <c r="H874" s="10" t="s">
        <v>94</v>
      </c>
      <c r="I874" s="10">
        <v>46.860799999999998</v>
      </c>
      <c r="J874" s="10">
        <v>-71.217699999999994</v>
      </c>
      <c r="K874" s="10">
        <v>46.788499999999999</v>
      </c>
      <c r="L874" s="10">
        <v>-71.282399999999996</v>
      </c>
      <c r="M874" s="10" t="str">
        <f t="shared" si="83"/>
        <v>C10</v>
      </c>
      <c r="N874" s="10" t="str">
        <f t="shared" si="84"/>
        <v>C78</v>
      </c>
      <c r="O874" s="5">
        <f t="shared" si="85"/>
        <v>9.4267547724443759</v>
      </c>
      <c r="P874" s="22">
        <f>O874/Explications!$C$8</f>
        <v>0.31422515908147919</v>
      </c>
      <c r="Q874" s="7" t="str">
        <f t="shared" si="86"/>
        <v>C78</v>
      </c>
      <c r="R874" s="7" t="str">
        <f t="shared" si="87"/>
        <v>C10</v>
      </c>
      <c r="S874" s="18">
        <f t="shared" si="88"/>
        <v>9.4267547724443759</v>
      </c>
      <c r="T874" s="18">
        <f>S874/Explications!$C$8</f>
        <v>0.31422515908147919</v>
      </c>
    </row>
    <row r="875" spans="7:20">
      <c r="G875" s="10" t="s">
        <v>26</v>
      </c>
      <c r="H875" s="10" t="s">
        <v>95</v>
      </c>
      <c r="I875" s="10">
        <v>46.860799999999998</v>
      </c>
      <c r="J875" s="10">
        <v>-71.217699999999994</v>
      </c>
      <c r="K875" s="10">
        <v>46.840699999999998</v>
      </c>
      <c r="L875" s="10">
        <v>-71.325400000000002</v>
      </c>
      <c r="M875" s="10" t="str">
        <f t="shared" si="83"/>
        <v>C10</v>
      </c>
      <c r="N875" s="10" t="str">
        <f t="shared" si="84"/>
        <v>C79</v>
      </c>
      <c r="O875" s="5">
        <f t="shared" si="85"/>
        <v>8.4896710495899548</v>
      </c>
      <c r="P875" s="22">
        <f>O875/Explications!$C$8</f>
        <v>0.28298903498633182</v>
      </c>
      <c r="Q875" s="7" t="str">
        <f t="shared" si="86"/>
        <v>C79</v>
      </c>
      <c r="R875" s="7" t="str">
        <f t="shared" si="87"/>
        <v>C10</v>
      </c>
      <c r="S875" s="18">
        <f t="shared" si="88"/>
        <v>8.4896710495899548</v>
      </c>
      <c r="T875" s="18">
        <f>S875/Explications!$C$8</f>
        <v>0.28298903498633182</v>
      </c>
    </row>
    <row r="876" spans="7:20">
      <c r="G876" s="10" t="s">
        <v>26</v>
      </c>
      <c r="H876" s="10" t="s">
        <v>96</v>
      </c>
      <c r="I876" s="10">
        <v>46.860799999999998</v>
      </c>
      <c r="J876" s="10">
        <v>-71.217699999999994</v>
      </c>
      <c r="K876" s="10">
        <v>46.798400000000001</v>
      </c>
      <c r="L876" s="10">
        <v>-71.183199999999999</v>
      </c>
      <c r="M876" s="10" t="str">
        <f t="shared" si="83"/>
        <v>C10</v>
      </c>
      <c r="N876" s="10" t="str">
        <f t="shared" si="84"/>
        <v>C80</v>
      </c>
      <c r="O876" s="5">
        <f t="shared" si="85"/>
        <v>7.418379235554184</v>
      </c>
      <c r="P876" s="22">
        <f>O876/Explications!$C$8</f>
        <v>0.24727930785180613</v>
      </c>
      <c r="Q876" s="7" t="str">
        <f t="shared" si="86"/>
        <v>C80</v>
      </c>
      <c r="R876" s="7" t="str">
        <f t="shared" si="87"/>
        <v>C10</v>
      </c>
      <c r="S876" s="18">
        <f t="shared" si="88"/>
        <v>7.418379235554184</v>
      </c>
      <c r="T876" s="18">
        <f>S876/Explications!$C$8</f>
        <v>0.24727930785180613</v>
      </c>
    </row>
    <row r="877" spans="7:20">
      <c r="G877" s="10" t="s">
        <v>26</v>
      </c>
      <c r="H877" s="10" t="s">
        <v>97</v>
      </c>
      <c r="I877" s="10">
        <v>46.860799999999998</v>
      </c>
      <c r="J877" s="10">
        <v>-71.217699999999994</v>
      </c>
      <c r="K877" s="10">
        <v>46.724800000000002</v>
      </c>
      <c r="L877" s="10">
        <v>-71.2988</v>
      </c>
      <c r="M877" s="10" t="str">
        <f t="shared" si="83"/>
        <v>C10</v>
      </c>
      <c r="N877" s="10" t="str">
        <f t="shared" si="84"/>
        <v>C81</v>
      </c>
      <c r="O877" s="5">
        <f t="shared" si="85"/>
        <v>16.334277373640276</v>
      </c>
      <c r="P877" s="22">
        <f>O877/Explications!$C$8</f>
        <v>0.54447591245467586</v>
      </c>
      <c r="Q877" s="7" t="str">
        <f t="shared" si="86"/>
        <v>C81</v>
      </c>
      <c r="R877" s="7" t="str">
        <f t="shared" si="87"/>
        <v>C10</v>
      </c>
      <c r="S877" s="18">
        <f t="shared" si="88"/>
        <v>16.334277373640276</v>
      </c>
      <c r="T877" s="18">
        <f>S877/Explications!$C$8</f>
        <v>0.54447591245467586</v>
      </c>
    </row>
    <row r="878" spans="7:20">
      <c r="G878" s="10" t="s">
        <v>26</v>
      </c>
      <c r="H878" s="10" t="s">
        <v>98</v>
      </c>
      <c r="I878" s="10">
        <v>46.860799999999998</v>
      </c>
      <c r="J878" s="10">
        <v>-71.217699999999994</v>
      </c>
      <c r="K878" s="10">
        <v>46.795499999999997</v>
      </c>
      <c r="L878" s="10">
        <v>-71.242900000000006</v>
      </c>
      <c r="M878" s="10" t="str">
        <f t="shared" si="83"/>
        <v>C10</v>
      </c>
      <c r="N878" s="10" t="str">
        <f t="shared" si="84"/>
        <v>C82</v>
      </c>
      <c r="O878" s="5">
        <f t="shared" si="85"/>
        <v>7.5098663186698271</v>
      </c>
      <c r="P878" s="22">
        <f>O878/Explications!$C$8</f>
        <v>0.25032887728899422</v>
      </c>
      <c r="Q878" s="7" t="str">
        <f t="shared" si="86"/>
        <v>C82</v>
      </c>
      <c r="R878" s="7" t="str">
        <f t="shared" si="87"/>
        <v>C10</v>
      </c>
      <c r="S878" s="18">
        <f t="shared" si="88"/>
        <v>7.5098663186698271</v>
      </c>
      <c r="T878" s="18">
        <f>S878/Explications!$C$8</f>
        <v>0.25032887728899422</v>
      </c>
    </row>
    <row r="879" spans="7:20">
      <c r="G879" s="10" t="s">
        <v>26</v>
      </c>
      <c r="H879" s="10" t="s">
        <v>99</v>
      </c>
      <c r="I879" s="10">
        <v>46.860799999999998</v>
      </c>
      <c r="J879" s="10">
        <v>-71.217699999999994</v>
      </c>
      <c r="K879" s="10">
        <v>46.8157</v>
      </c>
      <c r="L879" s="10">
        <v>-71.201899999999995</v>
      </c>
      <c r="M879" s="10" t="str">
        <f t="shared" si="83"/>
        <v>C10</v>
      </c>
      <c r="N879" s="10" t="str">
        <f t="shared" si="84"/>
        <v>C83</v>
      </c>
      <c r="O879" s="5">
        <f t="shared" si="85"/>
        <v>5.1568871245661452</v>
      </c>
      <c r="P879" s="22">
        <f>O879/Explications!$C$8</f>
        <v>0.17189623748553817</v>
      </c>
      <c r="Q879" s="7" t="str">
        <f t="shared" si="86"/>
        <v>C83</v>
      </c>
      <c r="R879" s="7" t="str">
        <f t="shared" si="87"/>
        <v>C10</v>
      </c>
      <c r="S879" s="18">
        <f t="shared" si="88"/>
        <v>5.1568871245661452</v>
      </c>
      <c r="T879" s="18">
        <f>S879/Explications!$C$8</f>
        <v>0.17189623748553817</v>
      </c>
    </row>
    <row r="880" spans="7:20">
      <c r="G880" s="10" t="s">
        <v>26</v>
      </c>
      <c r="H880" s="10" t="s">
        <v>100</v>
      </c>
      <c r="I880" s="10">
        <v>46.860799999999998</v>
      </c>
      <c r="J880" s="10">
        <v>-71.217699999999994</v>
      </c>
      <c r="K880" s="10">
        <v>46.837600000000002</v>
      </c>
      <c r="L880" s="10">
        <v>-71.196299999999994</v>
      </c>
      <c r="M880" s="10" t="str">
        <f t="shared" si="83"/>
        <v>C10</v>
      </c>
      <c r="N880" s="10" t="str">
        <f t="shared" si="84"/>
        <v>C84</v>
      </c>
      <c r="O880" s="5">
        <f t="shared" si="85"/>
        <v>3.0501677593063761</v>
      </c>
      <c r="P880" s="22">
        <f>O880/Explications!$C$8</f>
        <v>0.10167225864354587</v>
      </c>
      <c r="Q880" s="7" t="str">
        <f t="shared" si="86"/>
        <v>C84</v>
      </c>
      <c r="R880" s="7" t="str">
        <f t="shared" si="87"/>
        <v>C10</v>
      </c>
      <c r="S880" s="18">
        <f t="shared" si="88"/>
        <v>3.0501677593063761</v>
      </c>
      <c r="T880" s="18">
        <f>S880/Explications!$C$8</f>
        <v>0.10167225864354587</v>
      </c>
    </row>
    <row r="881" spans="7:20">
      <c r="G881" s="10" t="s">
        <v>26</v>
      </c>
      <c r="H881" s="10" t="s">
        <v>101</v>
      </c>
      <c r="I881" s="10">
        <v>46.860799999999998</v>
      </c>
      <c r="J881" s="10">
        <v>-71.217699999999994</v>
      </c>
      <c r="K881" s="10">
        <v>46.7988</v>
      </c>
      <c r="L881" s="10">
        <v>-71.318200000000004</v>
      </c>
      <c r="M881" s="10" t="str">
        <f t="shared" si="83"/>
        <v>C10</v>
      </c>
      <c r="N881" s="10" t="str">
        <f t="shared" si="84"/>
        <v>C85</v>
      </c>
      <c r="O881" s="5">
        <f t="shared" si="85"/>
        <v>10.294860645051784</v>
      </c>
      <c r="P881" s="22">
        <f>O881/Explications!$C$8</f>
        <v>0.34316202150172614</v>
      </c>
      <c r="Q881" s="7" t="str">
        <f t="shared" si="86"/>
        <v>C85</v>
      </c>
      <c r="R881" s="7" t="str">
        <f t="shared" si="87"/>
        <v>C10</v>
      </c>
      <c r="S881" s="18">
        <f t="shared" si="88"/>
        <v>10.294860645051784</v>
      </c>
      <c r="T881" s="18">
        <f>S881/Explications!$C$8</f>
        <v>0.34316202150172614</v>
      </c>
    </row>
    <row r="882" spans="7:20">
      <c r="G882" s="10" t="s">
        <v>27</v>
      </c>
      <c r="H882" s="10" t="s">
        <v>28</v>
      </c>
      <c r="I882" s="10">
        <v>46.868299999999998</v>
      </c>
      <c r="J882" s="10">
        <v>-71.167000000000002</v>
      </c>
      <c r="K882" s="10">
        <v>46.895099999999999</v>
      </c>
      <c r="L882" s="10">
        <v>-71.378600000000006</v>
      </c>
      <c r="M882" s="10" t="str">
        <f t="shared" si="83"/>
        <v>C11</v>
      </c>
      <c r="N882" s="10" t="str">
        <f t="shared" si="84"/>
        <v>C12</v>
      </c>
      <c r="O882" s="5">
        <f t="shared" si="85"/>
        <v>16.355894151404875</v>
      </c>
      <c r="P882" s="22">
        <f>O882/Explications!$C$8</f>
        <v>0.54519647171349583</v>
      </c>
      <c r="Q882" s="7" t="str">
        <f t="shared" si="86"/>
        <v>C12</v>
      </c>
      <c r="R882" s="7" t="str">
        <f t="shared" si="87"/>
        <v>C11</v>
      </c>
      <c r="S882" s="18">
        <f t="shared" si="88"/>
        <v>16.355894151404875</v>
      </c>
      <c r="T882" s="18">
        <f>S882/Explications!$C$8</f>
        <v>0.54519647171349583</v>
      </c>
    </row>
    <row r="883" spans="7:20">
      <c r="G883" s="10" t="s">
        <v>27</v>
      </c>
      <c r="H883" s="10" t="s">
        <v>29</v>
      </c>
      <c r="I883" s="10">
        <v>46.868299999999998</v>
      </c>
      <c r="J883" s="10">
        <v>-71.167000000000002</v>
      </c>
      <c r="K883" s="10">
        <v>46.8033</v>
      </c>
      <c r="L883" s="10">
        <v>-71.1691</v>
      </c>
      <c r="M883" s="10" t="str">
        <f t="shared" si="83"/>
        <v>C11</v>
      </c>
      <c r="N883" s="10" t="str">
        <f t="shared" si="84"/>
        <v>C13</v>
      </c>
      <c r="O883" s="5">
        <f t="shared" si="85"/>
        <v>7.22943527471823</v>
      </c>
      <c r="P883" s="22">
        <f>O883/Explications!$C$8</f>
        <v>0.24098117582394099</v>
      </c>
      <c r="Q883" s="7" t="str">
        <f t="shared" si="86"/>
        <v>C13</v>
      </c>
      <c r="R883" s="7" t="str">
        <f t="shared" si="87"/>
        <v>C11</v>
      </c>
      <c r="S883" s="18">
        <f t="shared" si="88"/>
        <v>7.22943527471823</v>
      </c>
      <c r="T883" s="18">
        <f>S883/Explications!$C$8</f>
        <v>0.24098117582394099</v>
      </c>
    </row>
    <row r="884" spans="7:20">
      <c r="G884" s="10" t="s">
        <v>27</v>
      </c>
      <c r="H884" s="10" t="s">
        <v>30</v>
      </c>
      <c r="I884" s="10">
        <v>46.868299999999998</v>
      </c>
      <c r="J884" s="10">
        <v>-71.167000000000002</v>
      </c>
      <c r="K884" s="10">
        <v>46.8596</v>
      </c>
      <c r="L884" s="10">
        <v>-71.267200000000003</v>
      </c>
      <c r="M884" s="10" t="str">
        <f t="shared" si="83"/>
        <v>C11</v>
      </c>
      <c r="N884" s="10" t="str">
        <f t="shared" si="84"/>
        <v>C14</v>
      </c>
      <c r="O884" s="5">
        <f t="shared" si="85"/>
        <v>7.6791481169987481</v>
      </c>
      <c r="P884" s="22">
        <f>O884/Explications!$C$8</f>
        <v>0.25597160389995827</v>
      </c>
      <c r="Q884" s="7" t="str">
        <f t="shared" si="86"/>
        <v>C14</v>
      </c>
      <c r="R884" s="7" t="str">
        <f t="shared" si="87"/>
        <v>C11</v>
      </c>
      <c r="S884" s="18">
        <f t="shared" si="88"/>
        <v>7.6791481169987481</v>
      </c>
      <c r="T884" s="18">
        <f>S884/Explications!$C$8</f>
        <v>0.25597160389995827</v>
      </c>
    </row>
    <row r="885" spans="7:20">
      <c r="G885" s="10" t="s">
        <v>27</v>
      </c>
      <c r="H885" s="10" t="s">
        <v>31</v>
      </c>
      <c r="I885" s="10">
        <v>46.868299999999998</v>
      </c>
      <c r="J885" s="10">
        <v>-71.167000000000002</v>
      </c>
      <c r="K885" s="10">
        <v>46.813499999999998</v>
      </c>
      <c r="L885" s="10">
        <v>-71.215900000000005</v>
      </c>
      <c r="M885" s="10" t="str">
        <f t="shared" si="83"/>
        <v>C11</v>
      </c>
      <c r="N885" s="10" t="str">
        <f t="shared" si="84"/>
        <v>C15</v>
      </c>
      <c r="O885" s="5">
        <f t="shared" si="85"/>
        <v>7.1389121121177057</v>
      </c>
      <c r="P885" s="22">
        <f>O885/Explications!$C$8</f>
        <v>0.23796373707059018</v>
      </c>
      <c r="Q885" s="7" t="str">
        <f t="shared" si="86"/>
        <v>C15</v>
      </c>
      <c r="R885" s="7" t="str">
        <f t="shared" si="87"/>
        <v>C11</v>
      </c>
      <c r="S885" s="18">
        <f t="shared" si="88"/>
        <v>7.1389121121177057</v>
      </c>
      <c r="T885" s="18">
        <f>S885/Explications!$C$8</f>
        <v>0.23796373707059018</v>
      </c>
    </row>
    <row r="886" spans="7:20">
      <c r="G886" s="10" t="s">
        <v>27</v>
      </c>
      <c r="H886" s="10" t="s">
        <v>32</v>
      </c>
      <c r="I886" s="10">
        <v>46.868299999999998</v>
      </c>
      <c r="J886" s="10">
        <v>-71.167000000000002</v>
      </c>
      <c r="K886" s="10">
        <v>46.733699999999999</v>
      </c>
      <c r="L886" s="10">
        <v>-71.270099999999999</v>
      </c>
      <c r="M886" s="10" t="str">
        <f t="shared" si="83"/>
        <v>C11</v>
      </c>
      <c r="N886" s="10" t="str">
        <f t="shared" si="84"/>
        <v>C16</v>
      </c>
      <c r="O886" s="5">
        <f t="shared" si="85"/>
        <v>16.899452244529662</v>
      </c>
      <c r="P886" s="22">
        <f>O886/Explications!$C$8</f>
        <v>0.56331507481765541</v>
      </c>
      <c r="Q886" s="7" t="str">
        <f t="shared" si="86"/>
        <v>C16</v>
      </c>
      <c r="R886" s="7" t="str">
        <f t="shared" si="87"/>
        <v>C11</v>
      </c>
      <c r="S886" s="18">
        <f t="shared" si="88"/>
        <v>16.899452244529662</v>
      </c>
      <c r="T886" s="18">
        <f>S886/Explications!$C$8</f>
        <v>0.56331507481765541</v>
      </c>
    </row>
    <row r="887" spans="7:20">
      <c r="G887" s="10" t="s">
        <v>27</v>
      </c>
      <c r="H887" s="10" t="s">
        <v>33</v>
      </c>
      <c r="I887" s="10">
        <v>46.868299999999998</v>
      </c>
      <c r="J887" s="10">
        <v>-71.167000000000002</v>
      </c>
      <c r="K887" s="10">
        <v>46.8035</v>
      </c>
      <c r="L887" s="10">
        <v>-71.3553</v>
      </c>
      <c r="M887" s="10" t="str">
        <f t="shared" si="83"/>
        <v>C11</v>
      </c>
      <c r="N887" s="10" t="str">
        <f t="shared" si="84"/>
        <v>C17</v>
      </c>
      <c r="O887" s="5">
        <f t="shared" si="85"/>
        <v>16.03372211761565</v>
      </c>
      <c r="P887" s="22">
        <f>O887/Explications!$C$8</f>
        <v>0.53445740392052166</v>
      </c>
      <c r="Q887" s="7" t="str">
        <f t="shared" si="86"/>
        <v>C17</v>
      </c>
      <c r="R887" s="7" t="str">
        <f t="shared" si="87"/>
        <v>C11</v>
      </c>
      <c r="S887" s="18">
        <f t="shared" si="88"/>
        <v>16.03372211761565</v>
      </c>
      <c r="T887" s="18">
        <f>S887/Explications!$C$8</f>
        <v>0.53445740392052166</v>
      </c>
    </row>
    <row r="888" spans="7:20">
      <c r="G888" s="10" t="s">
        <v>27</v>
      </c>
      <c r="H888" s="10" t="s">
        <v>34</v>
      </c>
      <c r="I888" s="10">
        <v>46.868299999999998</v>
      </c>
      <c r="J888" s="10">
        <v>-71.167000000000002</v>
      </c>
      <c r="K888" s="10">
        <v>46.730200000000004</v>
      </c>
      <c r="L888" s="10">
        <v>-71.274100000000004</v>
      </c>
      <c r="M888" s="10" t="str">
        <f t="shared" si="83"/>
        <v>C11</v>
      </c>
      <c r="N888" s="10" t="str">
        <f t="shared" si="84"/>
        <v>C18</v>
      </c>
      <c r="O888" s="5">
        <f t="shared" si="85"/>
        <v>17.385864989684965</v>
      </c>
      <c r="P888" s="22">
        <f>O888/Explications!$C$8</f>
        <v>0.57952883298949887</v>
      </c>
      <c r="Q888" s="7" t="str">
        <f t="shared" si="86"/>
        <v>C18</v>
      </c>
      <c r="R888" s="7" t="str">
        <f t="shared" si="87"/>
        <v>C11</v>
      </c>
      <c r="S888" s="18">
        <f t="shared" si="88"/>
        <v>17.385864989684965</v>
      </c>
      <c r="T888" s="18">
        <f>S888/Explications!$C$8</f>
        <v>0.57952883298949887</v>
      </c>
    </row>
    <row r="889" spans="7:20">
      <c r="G889" s="10" t="s">
        <v>27</v>
      </c>
      <c r="H889" s="10" t="s">
        <v>35</v>
      </c>
      <c r="I889" s="10">
        <v>46.868299999999998</v>
      </c>
      <c r="J889" s="10">
        <v>-71.167000000000002</v>
      </c>
      <c r="K889" s="10">
        <v>46.785600000000002</v>
      </c>
      <c r="L889" s="10">
        <v>-71.245500000000007</v>
      </c>
      <c r="M889" s="10" t="str">
        <f t="shared" si="83"/>
        <v>C11</v>
      </c>
      <c r="N889" s="10" t="str">
        <f t="shared" si="84"/>
        <v>C19</v>
      </c>
      <c r="O889" s="5">
        <f t="shared" si="85"/>
        <v>10.965000673006253</v>
      </c>
      <c r="P889" s="22">
        <f>O889/Explications!$C$8</f>
        <v>0.36550002243354179</v>
      </c>
      <c r="Q889" s="7" t="str">
        <f t="shared" si="86"/>
        <v>C19</v>
      </c>
      <c r="R889" s="7" t="str">
        <f t="shared" si="87"/>
        <v>C11</v>
      </c>
      <c r="S889" s="18">
        <f t="shared" si="88"/>
        <v>10.965000673006253</v>
      </c>
      <c r="T889" s="18">
        <f>S889/Explications!$C$8</f>
        <v>0.36550002243354179</v>
      </c>
    </row>
    <row r="890" spans="7:20">
      <c r="G890" s="10" t="s">
        <v>27</v>
      </c>
      <c r="H890" s="10" t="s">
        <v>36</v>
      </c>
      <c r="I890" s="10">
        <v>46.868299999999998</v>
      </c>
      <c r="J890" s="10">
        <v>-71.167000000000002</v>
      </c>
      <c r="K890" s="10">
        <v>46.8215</v>
      </c>
      <c r="L890" s="10">
        <v>-71.355400000000003</v>
      </c>
      <c r="M890" s="10" t="str">
        <f t="shared" si="83"/>
        <v>C11</v>
      </c>
      <c r="N890" s="10" t="str">
        <f t="shared" si="84"/>
        <v>C20</v>
      </c>
      <c r="O890" s="5">
        <f t="shared" si="85"/>
        <v>15.244409944923543</v>
      </c>
      <c r="P890" s="22">
        <f>O890/Explications!$C$8</f>
        <v>0.50814699816411812</v>
      </c>
      <c r="Q890" s="7" t="str">
        <f t="shared" si="86"/>
        <v>C20</v>
      </c>
      <c r="R890" s="7" t="str">
        <f t="shared" si="87"/>
        <v>C11</v>
      </c>
      <c r="S890" s="18">
        <f t="shared" si="88"/>
        <v>15.244409944923543</v>
      </c>
      <c r="T890" s="18">
        <f>S890/Explications!$C$8</f>
        <v>0.50814699816411812</v>
      </c>
    </row>
    <row r="891" spans="7:20">
      <c r="G891" s="10" t="s">
        <v>27</v>
      </c>
      <c r="H891" s="10" t="s">
        <v>37</v>
      </c>
      <c r="I891" s="10">
        <v>46.868299999999998</v>
      </c>
      <c r="J891" s="10">
        <v>-71.167000000000002</v>
      </c>
      <c r="K891" s="10">
        <v>46.8093</v>
      </c>
      <c r="L891" s="10">
        <v>-71.2273</v>
      </c>
      <c r="M891" s="10" t="str">
        <f t="shared" si="83"/>
        <v>C11</v>
      </c>
      <c r="N891" s="10" t="str">
        <f t="shared" si="84"/>
        <v>C21</v>
      </c>
      <c r="O891" s="5">
        <f t="shared" si="85"/>
        <v>8.0048229969551219</v>
      </c>
      <c r="P891" s="22">
        <f>O891/Explications!$C$8</f>
        <v>0.26682743323183739</v>
      </c>
      <c r="Q891" s="7" t="str">
        <f t="shared" si="86"/>
        <v>C21</v>
      </c>
      <c r="R891" s="7" t="str">
        <f t="shared" si="87"/>
        <v>C11</v>
      </c>
      <c r="S891" s="18">
        <f t="shared" si="88"/>
        <v>8.0048229969551219</v>
      </c>
      <c r="T891" s="18">
        <f>S891/Explications!$C$8</f>
        <v>0.26682743323183739</v>
      </c>
    </row>
    <row r="892" spans="7:20">
      <c r="G892" s="10" t="s">
        <v>27</v>
      </c>
      <c r="H892" s="10" t="s">
        <v>38</v>
      </c>
      <c r="I892" s="10">
        <v>46.868299999999998</v>
      </c>
      <c r="J892" s="10">
        <v>-71.167000000000002</v>
      </c>
      <c r="K892" s="10">
        <v>46.781300000000002</v>
      </c>
      <c r="L892" s="10">
        <v>-71.301000000000002</v>
      </c>
      <c r="M892" s="10" t="str">
        <f t="shared" si="83"/>
        <v>C11</v>
      </c>
      <c r="N892" s="10" t="str">
        <f t="shared" si="84"/>
        <v>C22</v>
      </c>
      <c r="O892" s="5">
        <f t="shared" si="85"/>
        <v>14.054396968182248</v>
      </c>
      <c r="P892" s="22">
        <f>O892/Explications!$C$8</f>
        <v>0.46847989893940828</v>
      </c>
      <c r="Q892" s="7" t="str">
        <f t="shared" si="86"/>
        <v>C22</v>
      </c>
      <c r="R892" s="7" t="str">
        <f t="shared" si="87"/>
        <v>C11</v>
      </c>
      <c r="S892" s="18">
        <f t="shared" si="88"/>
        <v>14.054396968182248</v>
      </c>
      <c r="T892" s="18">
        <f>S892/Explications!$C$8</f>
        <v>0.46847989893940828</v>
      </c>
    </row>
    <row r="893" spans="7:20">
      <c r="G893" s="10" t="s">
        <v>27</v>
      </c>
      <c r="H893" s="10" t="s">
        <v>39</v>
      </c>
      <c r="I893" s="10">
        <v>46.868299999999998</v>
      </c>
      <c r="J893" s="10">
        <v>-71.167000000000002</v>
      </c>
      <c r="K893" s="10">
        <v>46.844900000000003</v>
      </c>
      <c r="L893" s="10">
        <v>-71.251400000000004</v>
      </c>
      <c r="M893" s="10" t="str">
        <f t="shared" si="83"/>
        <v>C11</v>
      </c>
      <c r="N893" s="10" t="str">
        <f t="shared" si="84"/>
        <v>C23</v>
      </c>
      <c r="O893" s="5">
        <f t="shared" si="85"/>
        <v>6.9250225696933674</v>
      </c>
      <c r="P893" s="22">
        <f>O893/Explications!$C$8</f>
        <v>0.23083408565644559</v>
      </c>
      <c r="Q893" s="7" t="str">
        <f t="shared" si="86"/>
        <v>C23</v>
      </c>
      <c r="R893" s="7" t="str">
        <f t="shared" si="87"/>
        <v>C11</v>
      </c>
      <c r="S893" s="18">
        <f t="shared" si="88"/>
        <v>6.9250225696933674</v>
      </c>
      <c r="T893" s="18">
        <f>S893/Explications!$C$8</f>
        <v>0.23083408565644559</v>
      </c>
    </row>
    <row r="894" spans="7:20">
      <c r="G894" s="10" t="s">
        <v>27</v>
      </c>
      <c r="H894" s="10" t="s">
        <v>40</v>
      </c>
      <c r="I894" s="10">
        <v>46.868299999999998</v>
      </c>
      <c r="J894" s="10">
        <v>-71.167000000000002</v>
      </c>
      <c r="K894" s="10">
        <v>46.805500000000002</v>
      </c>
      <c r="L894" s="10">
        <v>-71.2196</v>
      </c>
      <c r="M894" s="10" t="str">
        <f t="shared" si="83"/>
        <v>C11</v>
      </c>
      <c r="N894" s="10" t="str">
        <f t="shared" si="84"/>
        <v>C24</v>
      </c>
      <c r="O894" s="5">
        <f t="shared" si="85"/>
        <v>8.0480687584136863</v>
      </c>
      <c r="P894" s="22">
        <f>O894/Explications!$C$8</f>
        <v>0.26826895861378952</v>
      </c>
      <c r="Q894" s="7" t="str">
        <f t="shared" si="86"/>
        <v>C24</v>
      </c>
      <c r="R894" s="7" t="str">
        <f t="shared" si="87"/>
        <v>C11</v>
      </c>
      <c r="S894" s="18">
        <f t="shared" si="88"/>
        <v>8.0480687584136863</v>
      </c>
      <c r="T894" s="18">
        <f>S894/Explications!$C$8</f>
        <v>0.26826895861378952</v>
      </c>
    </row>
    <row r="895" spans="7:20">
      <c r="G895" s="10" t="s">
        <v>27</v>
      </c>
      <c r="H895" s="10" t="s">
        <v>41</v>
      </c>
      <c r="I895" s="10">
        <v>46.868299999999998</v>
      </c>
      <c r="J895" s="10">
        <v>-71.167000000000002</v>
      </c>
      <c r="K895" s="10">
        <v>46.734900000000003</v>
      </c>
      <c r="L895" s="10">
        <v>-71.266199999999998</v>
      </c>
      <c r="M895" s="10" t="str">
        <f t="shared" si="83"/>
        <v>C11</v>
      </c>
      <c r="N895" s="10" t="str">
        <f t="shared" si="84"/>
        <v>C25</v>
      </c>
      <c r="O895" s="5">
        <f t="shared" si="85"/>
        <v>16.644601582837705</v>
      </c>
      <c r="P895" s="22">
        <f>O895/Explications!$C$8</f>
        <v>0.55482005276125679</v>
      </c>
      <c r="Q895" s="7" t="str">
        <f t="shared" si="86"/>
        <v>C25</v>
      </c>
      <c r="R895" s="7" t="str">
        <f t="shared" si="87"/>
        <v>C11</v>
      </c>
      <c r="S895" s="18">
        <f t="shared" si="88"/>
        <v>16.644601582837705</v>
      </c>
      <c r="T895" s="18">
        <f>S895/Explications!$C$8</f>
        <v>0.55482005276125679</v>
      </c>
    </row>
    <row r="896" spans="7:20">
      <c r="G896" s="10" t="s">
        <v>27</v>
      </c>
      <c r="H896" s="10" t="s">
        <v>42</v>
      </c>
      <c r="I896" s="10">
        <v>46.868299999999998</v>
      </c>
      <c r="J896" s="10">
        <v>-71.167000000000002</v>
      </c>
      <c r="K896" s="10">
        <v>46.817700000000002</v>
      </c>
      <c r="L896" s="10">
        <v>-71.214100000000002</v>
      </c>
      <c r="M896" s="10" t="str">
        <f t="shared" si="83"/>
        <v>C11</v>
      </c>
      <c r="N896" s="10" t="str">
        <f t="shared" si="84"/>
        <v>C26</v>
      </c>
      <c r="O896" s="5">
        <f t="shared" si="85"/>
        <v>6.6700789801754929</v>
      </c>
      <c r="P896" s="22">
        <f>O896/Explications!$C$8</f>
        <v>0.22233596600584976</v>
      </c>
      <c r="Q896" s="7" t="str">
        <f t="shared" si="86"/>
        <v>C26</v>
      </c>
      <c r="R896" s="7" t="str">
        <f t="shared" si="87"/>
        <v>C11</v>
      </c>
      <c r="S896" s="18">
        <f t="shared" si="88"/>
        <v>6.6700789801754929</v>
      </c>
      <c r="T896" s="18">
        <f>S896/Explications!$C$8</f>
        <v>0.22233596600584976</v>
      </c>
    </row>
    <row r="897" spans="7:20">
      <c r="G897" s="10" t="s">
        <v>27</v>
      </c>
      <c r="H897" s="10" t="s">
        <v>43</v>
      </c>
      <c r="I897" s="10">
        <v>46.868299999999998</v>
      </c>
      <c r="J897" s="10">
        <v>-71.167000000000002</v>
      </c>
      <c r="K897" s="10">
        <v>46.603000000000002</v>
      </c>
      <c r="L897" s="10">
        <v>-71.490600000000001</v>
      </c>
      <c r="M897" s="10" t="str">
        <f t="shared" si="83"/>
        <v>C11</v>
      </c>
      <c r="N897" s="10" t="str">
        <f t="shared" si="84"/>
        <v>C27</v>
      </c>
      <c r="O897" s="5">
        <f t="shared" si="85"/>
        <v>38.450280297562848</v>
      </c>
      <c r="P897" s="22">
        <f>O897/Explications!$C$8</f>
        <v>1.2816760099187616</v>
      </c>
      <c r="Q897" s="7" t="str">
        <f t="shared" si="86"/>
        <v>C27</v>
      </c>
      <c r="R897" s="7" t="str">
        <f t="shared" si="87"/>
        <v>C11</v>
      </c>
      <c r="S897" s="18">
        <f t="shared" si="88"/>
        <v>38.450280297562848</v>
      </c>
      <c r="T897" s="18">
        <f>S897/Explications!$C$8</f>
        <v>1.2816760099187616</v>
      </c>
    </row>
    <row r="898" spans="7:20">
      <c r="G898" s="10" t="s">
        <v>27</v>
      </c>
      <c r="H898" s="10" t="s">
        <v>44</v>
      </c>
      <c r="I898" s="10">
        <v>46.868299999999998</v>
      </c>
      <c r="J898" s="10">
        <v>-71.167000000000002</v>
      </c>
      <c r="K898" s="10">
        <v>47.000500000000002</v>
      </c>
      <c r="L898" s="10">
        <v>-71.388400000000004</v>
      </c>
      <c r="M898" s="10" t="str">
        <f t="shared" si="83"/>
        <v>C11</v>
      </c>
      <c r="N898" s="10" t="str">
        <f t="shared" si="84"/>
        <v>C28</v>
      </c>
      <c r="O898" s="5">
        <f t="shared" si="85"/>
        <v>22.331111316041184</v>
      </c>
      <c r="P898" s="22">
        <f>O898/Explications!$C$8</f>
        <v>0.74437037720137278</v>
      </c>
      <c r="Q898" s="7" t="str">
        <f t="shared" si="86"/>
        <v>C28</v>
      </c>
      <c r="R898" s="7" t="str">
        <f t="shared" si="87"/>
        <v>C11</v>
      </c>
      <c r="S898" s="18">
        <f t="shared" si="88"/>
        <v>22.331111316041184</v>
      </c>
      <c r="T898" s="18">
        <f>S898/Explications!$C$8</f>
        <v>0.74437037720137278</v>
      </c>
    </row>
    <row r="899" spans="7:20">
      <c r="G899" s="10" t="s">
        <v>27</v>
      </c>
      <c r="H899" s="10" t="s">
        <v>45</v>
      </c>
      <c r="I899" s="10">
        <v>46.868299999999998</v>
      </c>
      <c r="J899" s="10">
        <v>-71.167000000000002</v>
      </c>
      <c r="K899" s="10">
        <v>46.839100000000002</v>
      </c>
      <c r="L899" s="10">
        <v>-71.245699999999999</v>
      </c>
      <c r="M899" s="10" t="str">
        <f t="shared" si="83"/>
        <v>C11</v>
      </c>
      <c r="N899" s="10" t="str">
        <f t="shared" si="84"/>
        <v>C29</v>
      </c>
      <c r="O899" s="5">
        <f t="shared" si="85"/>
        <v>6.8085796655695212</v>
      </c>
      <c r="P899" s="22">
        <f>O899/Explications!$C$8</f>
        <v>0.22695265551898405</v>
      </c>
      <c r="Q899" s="7" t="str">
        <f t="shared" si="86"/>
        <v>C29</v>
      </c>
      <c r="R899" s="7" t="str">
        <f t="shared" si="87"/>
        <v>C11</v>
      </c>
      <c r="S899" s="18">
        <f t="shared" si="88"/>
        <v>6.8085796655695212</v>
      </c>
      <c r="T899" s="18">
        <f>S899/Explications!$C$8</f>
        <v>0.22695265551898405</v>
      </c>
    </row>
    <row r="900" spans="7:20">
      <c r="G900" s="10" t="s">
        <v>27</v>
      </c>
      <c r="H900" s="10" t="s">
        <v>46</v>
      </c>
      <c r="I900" s="10">
        <v>46.868299999999998</v>
      </c>
      <c r="J900" s="10">
        <v>-71.167000000000002</v>
      </c>
      <c r="K900" s="10">
        <v>46.865699999999997</v>
      </c>
      <c r="L900" s="10">
        <v>-71.27</v>
      </c>
      <c r="M900" s="10" t="str">
        <f t="shared" ref="M900:M963" si="89">G900</f>
        <v>C11</v>
      </c>
      <c r="N900" s="10" t="str">
        <f t="shared" ref="N900:N963" si="90">H900</f>
        <v>C30</v>
      </c>
      <c r="O900" s="5">
        <f t="shared" ref="O900:O963" si="91">ACOS(SIN(RADIANS(I900))*SIN(RADIANS(K900))+COS(RADIANS(I900))*COS(RADIANS(K900))*COS(RADIANS(J900-L900)))*6371</f>
        <v>7.8357373457893686</v>
      </c>
      <c r="P900" s="22">
        <f>O900/Explications!$C$8</f>
        <v>0.26119124485964562</v>
      </c>
      <c r="Q900" s="7" t="str">
        <f t="shared" ref="Q900:Q963" si="92">N900</f>
        <v>C30</v>
      </c>
      <c r="R900" s="7" t="str">
        <f t="shared" ref="R900:R963" si="93">M900</f>
        <v>C11</v>
      </c>
      <c r="S900" s="18">
        <f t="shared" ref="S900:S963" si="94">O900</f>
        <v>7.8357373457893686</v>
      </c>
      <c r="T900" s="18">
        <f>S900/Explications!$C$8</f>
        <v>0.26119124485964562</v>
      </c>
    </row>
    <row r="901" spans="7:20">
      <c r="G901" s="10" t="s">
        <v>27</v>
      </c>
      <c r="H901" s="10" t="s">
        <v>47</v>
      </c>
      <c r="I901" s="10">
        <v>46.868299999999998</v>
      </c>
      <c r="J901" s="10">
        <v>-71.167000000000002</v>
      </c>
      <c r="K901" s="10">
        <v>46.805500000000002</v>
      </c>
      <c r="L901" s="10">
        <v>-71.217299999999994</v>
      </c>
      <c r="M901" s="10" t="str">
        <f t="shared" si="89"/>
        <v>C11</v>
      </c>
      <c r="N901" s="10" t="str">
        <f t="shared" si="90"/>
        <v>C31</v>
      </c>
      <c r="O901" s="5">
        <f t="shared" si="91"/>
        <v>7.9625393029652312</v>
      </c>
      <c r="P901" s="22">
        <f>O901/Explications!$C$8</f>
        <v>0.26541797676550771</v>
      </c>
      <c r="Q901" s="7" t="str">
        <f t="shared" si="92"/>
        <v>C31</v>
      </c>
      <c r="R901" s="7" t="str">
        <f t="shared" si="93"/>
        <v>C11</v>
      </c>
      <c r="S901" s="18">
        <f t="shared" si="94"/>
        <v>7.9625393029652312</v>
      </c>
      <c r="T901" s="18">
        <f>S901/Explications!$C$8</f>
        <v>0.26541797676550771</v>
      </c>
    </row>
    <row r="902" spans="7:20">
      <c r="G902" s="10" t="s">
        <v>27</v>
      </c>
      <c r="H902" s="10" t="s">
        <v>48</v>
      </c>
      <c r="I902" s="10">
        <v>46.868299999999998</v>
      </c>
      <c r="J902" s="10">
        <v>-71.167000000000002</v>
      </c>
      <c r="K902" s="10">
        <v>46.792299999999997</v>
      </c>
      <c r="L902" s="10">
        <v>-71.172899999999998</v>
      </c>
      <c r="M902" s="10" t="str">
        <f t="shared" si="89"/>
        <v>C11</v>
      </c>
      <c r="N902" s="10" t="str">
        <f t="shared" si="90"/>
        <v>C32</v>
      </c>
      <c r="O902" s="5">
        <f t="shared" si="91"/>
        <v>8.4627256500015555</v>
      </c>
      <c r="P902" s="22">
        <f>O902/Explications!$C$8</f>
        <v>0.28209085500005188</v>
      </c>
      <c r="Q902" s="7" t="str">
        <f t="shared" si="92"/>
        <v>C32</v>
      </c>
      <c r="R902" s="7" t="str">
        <f t="shared" si="93"/>
        <v>C11</v>
      </c>
      <c r="S902" s="18">
        <f t="shared" si="94"/>
        <v>8.4627256500015555</v>
      </c>
      <c r="T902" s="18">
        <f>S902/Explications!$C$8</f>
        <v>0.28209085500005188</v>
      </c>
    </row>
    <row r="903" spans="7:20">
      <c r="G903" s="10" t="s">
        <v>27</v>
      </c>
      <c r="H903" s="10" t="s">
        <v>49</v>
      </c>
      <c r="I903" s="10">
        <v>46.868299999999998</v>
      </c>
      <c r="J903" s="10">
        <v>-71.167000000000002</v>
      </c>
      <c r="K903" s="10">
        <v>46.7883</v>
      </c>
      <c r="L903" s="10">
        <v>-71.131200000000007</v>
      </c>
      <c r="M903" s="10" t="str">
        <f t="shared" si="89"/>
        <v>C11</v>
      </c>
      <c r="N903" s="10" t="str">
        <f t="shared" si="90"/>
        <v>C33</v>
      </c>
      <c r="O903" s="5">
        <f t="shared" si="91"/>
        <v>9.3032020480712543</v>
      </c>
      <c r="P903" s="22">
        <f>O903/Explications!$C$8</f>
        <v>0.31010673493570845</v>
      </c>
      <c r="Q903" s="7" t="str">
        <f t="shared" si="92"/>
        <v>C33</v>
      </c>
      <c r="R903" s="7" t="str">
        <f t="shared" si="93"/>
        <v>C11</v>
      </c>
      <c r="S903" s="18">
        <f t="shared" si="94"/>
        <v>9.3032020480712543</v>
      </c>
      <c r="T903" s="18">
        <f>S903/Explications!$C$8</f>
        <v>0.31010673493570845</v>
      </c>
    </row>
    <row r="904" spans="7:20">
      <c r="G904" s="10" t="s">
        <v>27</v>
      </c>
      <c r="H904" s="10" t="s">
        <v>50</v>
      </c>
      <c r="I904" s="10">
        <v>46.868299999999998</v>
      </c>
      <c r="J904" s="10">
        <v>-71.167000000000002</v>
      </c>
      <c r="K904" s="10">
        <v>46.8611</v>
      </c>
      <c r="L904" s="10">
        <v>-71.268799999999999</v>
      </c>
      <c r="M904" s="10" t="str">
        <f t="shared" si="89"/>
        <v>C11</v>
      </c>
      <c r="N904" s="10" t="str">
        <f t="shared" si="90"/>
        <v>C34</v>
      </c>
      <c r="O904" s="5">
        <f t="shared" si="91"/>
        <v>7.780804231170797</v>
      </c>
      <c r="P904" s="22">
        <f>O904/Explications!$C$8</f>
        <v>0.25936014103902655</v>
      </c>
      <c r="Q904" s="7" t="str">
        <f t="shared" si="92"/>
        <v>C34</v>
      </c>
      <c r="R904" s="7" t="str">
        <f t="shared" si="93"/>
        <v>C11</v>
      </c>
      <c r="S904" s="18">
        <f t="shared" si="94"/>
        <v>7.780804231170797</v>
      </c>
      <c r="T904" s="18">
        <f>S904/Explications!$C$8</f>
        <v>0.25936014103902655</v>
      </c>
    </row>
    <row r="905" spans="7:20">
      <c r="G905" s="10" t="s">
        <v>27</v>
      </c>
      <c r="H905" s="10" t="s">
        <v>51</v>
      </c>
      <c r="I905" s="10">
        <v>46.868299999999998</v>
      </c>
      <c r="J905" s="10">
        <v>-71.167000000000002</v>
      </c>
      <c r="K905" s="10">
        <v>46.869700000000002</v>
      </c>
      <c r="L905" s="10">
        <v>-71.205200000000005</v>
      </c>
      <c r="M905" s="10" t="str">
        <f t="shared" si="89"/>
        <v>C11</v>
      </c>
      <c r="N905" s="10" t="str">
        <f t="shared" si="90"/>
        <v>C35</v>
      </c>
      <c r="O905" s="5">
        <f t="shared" si="91"/>
        <v>2.9081524112594308</v>
      </c>
      <c r="P905" s="22">
        <f>O905/Explications!$C$8</f>
        <v>9.6938413708647697E-2</v>
      </c>
      <c r="Q905" s="7" t="str">
        <f t="shared" si="92"/>
        <v>C35</v>
      </c>
      <c r="R905" s="7" t="str">
        <f t="shared" si="93"/>
        <v>C11</v>
      </c>
      <c r="S905" s="18">
        <f t="shared" si="94"/>
        <v>2.9081524112594308</v>
      </c>
      <c r="T905" s="18">
        <f>S905/Explications!$C$8</f>
        <v>9.6938413708647697E-2</v>
      </c>
    </row>
    <row r="906" spans="7:20">
      <c r="G906" s="10" t="s">
        <v>27</v>
      </c>
      <c r="H906" s="10" t="s">
        <v>52</v>
      </c>
      <c r="I906" s="10">
        <v>46.868299999999998</v>
      </c>
      <c r="J906" s="10">
        <v>-71.167000000000002</v>
      </c>
      <c r="K906" s="10">
        <v>46.774099999999997</v>
      </c>
      <c r="L906" s="10">
        <v>-71.174000000000007</v>
      </c>
      <c r="M906" s="10" t="str">
        <f t="shared" si="89"/>
        <v>C11</v>
      </c>
      <c r="N906" s="10" t="str">
        <f t="shared" si="90"/>
        <v>C36</v>
      </c>
      <c r="O906" s="5">
        <f t="shared" si="91"/>
        <v>10.488094762482561</v>
      </c>
      <c r="P906" s="22">
        <f>O906/Explications!$C$8</f>
        <v>0.34960315874941872</v>
      </c>
      <c r="Q906" s="7" t="str">
        <f t="shared" si="92"/>
        <v>C36</v>
      </c>
      <c r="R906" s="7" t="str">
        <f t="shared" si="93"/>
        <v>C11</v>
      </c>
      <c r="S906" s="18">
        <f t="shared" si="94"/>
        <v>10.488094762482561</v>
      </c>
      <c r="T906" s="18">
        <f>S906/Explications!$C$8</f>
        <v>0.34960315874941872</v>
      </c>
    </row>
    <row r="907" spans="7:20">
      <c r="G907" s="10" t="s">
        <v>27</v>
      </c>
      <c r="H907" s="10" t="s">
        <v>53</v>
      </c>
      <c r="I907" s="10">
        <v>46.868299999999998</v>
      </c>
      <c r="J907" s="10">
        <v>-71.167000000000002</v>
      </c>
      <c r="K907" s="10">
        <v>46.808500000000002</v>
      </c>
      <c r="L907" s="10">
        <v>-71.326599999999999</v>
      </c>
      <c r="M907" s="10" t="str">
        <f t="shared" si="89"/>
        <v>C11</v>
      </c>
      <c r="N907" s="10" t="str">
        <f t="shared" si="90"/>
        <v>C37</v>
      </c>
      <c r="O907" s="5">
        <f t="shared" si="91"/>
        <v>13.841588440560434</v>
      </c>
      <c r="P907" s="22">
        <f>O907/Explications!$C$8</f>
        <v>0.46138628135201448</v>
      </c>
      <c r="Q907" s="7" t="str">
        <f t="shared" si="92"/>
        <v>C37</v>
      </c>
      <c r="R907" s="7" t="str">
        <f t="shared" si="93"/>
        <v>C11</v>
      </c>
      <c r="S907" s="18">
        <f t="shared" si="94"/>
        <v>13.841588440560434</v>
      </c>
      <c r="T907" s="18">
        <f>S907/Explications!$C$8</f>
        <v>0.46138628135201448</v>
      </c>
    </row>
    <row r="908" spans="7:20">
      <c r="G908" s="10" t="s">
        <v>27</v>
      </c>
      <c r="H908" s="10" t="s">
        <v>54</v>
      </c>
      <c r="I908" s="10">
        <v>46.868299999999998</v>
      </c>
      <c r="J908" s="10">
        <v>-71.167000000000002</v>
      </c>
      <c r="K908" s="10">
        <v>46.797499999999999</v>
      </c>
      <c r="L908" s="10">
        <v>-71.306100000000001</v>
      </c>
      <c r="M908" s="10" t="str">
        <f t="shared" si="89"/>
        <v>C11</v>
      </c>
      <c r="N908" s="10" t="str">
        <f t="shared" si="90"/>
        <v>C38</v>
      </c>
      <c r="O908" s="5">
        <f t="shared" si="91"/>
        <v>13.188903615756844</v>
      </c>
      <c r="P908" s="22">
        <f>O908/Explications!$C$8</f>
        <v>0.43963012052522815</v>
      </c>
      <c r="Q908" s="7" t="str">
        <f t="shared" si="92"/>
        <v>C38</v>
      </c>
      <c r="R908" s="7" t="str">
        <f t="shared" si="93"/>
        <v>C11</v>
      </c>
      <c r="S908" s="18">
        <f t="shared" si="94"/>
        <v>13.188903615756844</v>
      </c>
      <c r="T908" s="18">
        <f>S908/Explications!$C$8</f>
        <v>0.43963012052522815</v>
      </c>
    </row>
    <row r="909" spans="7:20">
      <c r="G909" s="10" t="s">
        <v>27</v>
      </c>
      <c r="H909" s="10" t="s">
        <v>55</v>
      </c>
      <c r="I909" s="10">
        <v>46.868299999999998</v>
      </c>
      <c r="J909" s="10">
        <v>-71.167000000000002</v>
      </c>
      <c r="K909" s="10">
        <v>46.8155</v>
      </c>
      <c r="L909" s="10">
        <v>-71.268199999999993</v>
      </c>
      <c r="M909" s="10" t="str">
        <f t="shared" si="89"/>
        <v>C11</v>
      </c>
      <c r="N909" s="10" t="str">
        <f t="shared" si="90"/>
        <v>C39</v>
      </c>
      <c r="O909" s="5">
        <f t="shared" si="91"/>
        <v>9.6806987749392501</v>
      </c>
      <c r="P909" s="22">
        <f>O909/Explications!$C$8</f>
        <v>0.32268995916464166</v>
      </c>
      <c r="Q909" s="7" t="str">
        <f t="shared" si="92"/>
        <v>C39</v>
      </c>
      <c r="R909" s="7" t="str">
        <f t="shared" si="93"/>
        <v>C11</v>
      </c>
      <c r="S909" s="18">
        <f t="shared" si="94"/>
        <v>9.6806987749392501</v>
      </c>
      <c r="T909" s="18">
        <f>S909/Explications!$C$8</f>
        <v>0.32268995916464166</v>
      </c>
    </row>
    <row r="910" spans="7:20">
      <c r="G910" s="10" t="s">
        <v>27</v>
      </c>
      <c r="H910" s="10" t="s">
        <v>56</v>
      </c>
      <c r="I910" s="10">
        <v>46.868299999999998</v>
      </c>
      <c r="J910" s="10">
        <v>-71.167000000000002</v>
      </c>
      <c r="K910" s="10">
        <v>46.866700000000002</v>
      </c>
      <c r="L910" s="10">
        <v>-71.215900000000005</v>
      </c>
      <c r="M910" s="10" t="str">
        <f t="shared" si="89"/>
        <v>C11</v>
      </c>
      <c r="N910" s="10" t="str">
        <f t="shared" si="90"/>
        <v>C40</v>
      </c>
      <c r="O910" s="5">
        <f t="shared" si="91"/>
        <v>3.7217607985795107</v>
      </c>
      <c r="P910" s="22">
        <f>O910/Explications!$C$8</f>
        <v>0.12405869328598369</v>
      </c>
      <c r="Q910" s="7" t="str">
        <f t="shared" si="92"/>
        <v>C40</v>
      </c>
      <c r="R910" s="7" t="str">
        <f t="shared" si="93"/>
        <v>C11</v>
      </c>
      <c r="S910" s="18">
        <f t="shared" si="94"/>
        <v>3.7217607985795107</v>
      </c>
      <c r="T910" s="18">
        <f>S910/Explications!$C$8</f>
        <v>0.12405869328598369</v>
      </c>
    </row>
    <row r="911" spans="7:20">
      <c r="G911" s="10" t="s">
        <v>27</v>
      </c>
      <c r="H911" s="10" t="s">
        <v>57</v>
      </c>
      <c r="I911" s="10">
        <v>46.868299999999998</v>
      </c>
      <c r="J911" s="10">
        <v>-71.167000000000002</v>
      </c>
      <c r="K911" s="10">
        <v>46.762099999999997</v>
      </c>
      <c r="L911" s="10">
        <v>-71.235399999999998</v>
      </c>
      <c r="M911" s="10" t="str">
        <f t="shared" si="89"/>
        <v>C11</v>
      </c>
      <c r="N911" s="10" t="str">
        <f t="shared" si="90"/>
        <v>C41</v>
      </c>
      <c r="O911" s="5">
        <f t="shared" si="91"/>
        <v>12.905125190975168</v>
      </c>
      <c r="P911" s="22">
        <f>O911/Explications!$C$8</f>
        <v>0.43017083969917225</v>
      </c>
      <c r="Q911" s="7" t="str">
        <f t="shared" si="92"/>
        <v>C41</v>
      </c>
      <c r="R911" s="7" t="str">
        <f t="shared" si="93"/>
        <v>C11</v>
      </c>
      <c r="S911" s="18">
        <f t="shared" si="94"/>
        <v>12.905125190975168</v>
      </c>
      <c r="T911" s="18">
        <f>S911/Explications!$C$8</f>
        <v>0.43017083969917225</v>
      </c>
    </row>
    <row r="912" spans="7:20">
      <c r="G912" s="10" t="s">
        <v>27</v>
      </c>
      <c r="H912" s="10" t="s">
        <v>58</v>
      </c>
      <c r="I912" s="10">
        <v>46.868299999999998</v>
      </c>
      <c r="J912" s="10">
        <v>-71.167000000000002</v>
      </c>
      <c r="K912" s="10">
        <v>46.8157</v>
      </c>
      <c r="L912" s="10">
        <v>-71.2042</v>
      </c>
      <c r="M912" s="10" t="str">
        <f t="shared" si="89"/>
        <v>C11</v>
      </c>
      <c r="N912" s="10" t="str">
        <f t="shared" si="90"/>
        <v>C42</v>
      </c>
      <c r="O912" s="5">
        <f t="shared" si="91"/>
        <v>6.4972684866844554</v>
      </c>
      <c r="P912" s="22">
        <f>O912/Explications!$C$8</f>
        <v>0.21657561622281518</v>
      </c>
      <c r="Q912" s="7" t="str">
        <f t="shared" si="92"/>
        <v>C42</v>
      </c>
      <c r="R912" s="7" t="str">
        <f t="shared" si="93"/>
        <v>C11</v>
      </c>
      <c r="S912" s="18">
        <f t="shared" si="94"/>
        <v>6.4972684866844554</v>
      </c>
      <c r="T912" s="18">
        <f>S912/Explications!$C$8</f>
        <v>0.21657561622281518</v>
      </c>
    </row>
    <row r="913" spans="7:20">
      <c r="G913" s="10" t="s">
        <v>27</v>
      </c>
      <c r="H913" s="10" t="s">
        <v>59</v>
      </c>
      <c r="I913" s="10">
        <v>46.868299999999998</v>
      </c>
      <c r="J913" s="10">
        <v>-71.167000000000002</v>
      </c>
      <c r="K913" s="10">
        <v>46.707000000000001</v>
      </c>
      <c r="L913" s="10">
        <v>-71.217100000000002</v>
      </c>
      <c r="M913" s="10" t="str">
        <f t="shared" si="89"/>
        <v>C11</v>
      </c>
      <c r="N913" s="10" t="str">
        <f t="shared" si="90"/>
        <v>C43</v>
      </c>
      <c r="O913" s="5">
        <f t="shared" si="91"/>
        <v>18.336859003823641</v>
      </c>
      <c r="P913" s="22">
        <f>O913/Explications!$C$8</f>
        <v>0.61122863346078804</v>
      </c>
      <c r="Q913" s="7" t="str">
        <f t="shared" si="92"/>
        <v>C43</v>
      </c>
      <c r="R913" s="7" t="str">
        <f t="shared" si="93"/>
        <v>C11</v>
      </c>
      <c r="S913" s="18">
        <f t="shared" si="94"/>
        <v>18.336859003823641</v>
      </c>
      <c r="T913" s="18">
        <f>S913/Explications!$C$8</f>
        <v>0.61122863346078804</v>
      </c>
    </row>
    <row r="914" spans="7:20">
      <c r="G914" s="10" t="s">
        <v>27</v>
      </c>
      <c r="H914" s="10" t="s">
        <v>60</v>
      </c>
      <c r="I914" s="10">
        <v>46.868299999999998</v>
      </c>
      <c r="J914" s="10">
        <v>-71.167000000000002</v>
      </c>
      <c r="K914" s="10">
        <v>46.802900000000001</v>
      </c>
      <c r="L914" s="10">
        <v>-71.228899999999996</v>
      </c>
      <c r="M914" s="10" t="str">
        <f t="shared" si="89"/>
        <v>C11</v>
      </c>
      <c r="N914" s="10" t="str">
        <f t="shared" si="90"/>
        <v>C44</v>
      </c>
      <c r="O914" s="5">
        <f t="shared" si="91"/>
        <v>8.6634291030065249</v>
      </c>
      <c r="P914" s="22">
        <f>O914/Explications!$C$8</f>
        <v>0.28878097010021747</v>
      </c>
      <c r="Q914" s="7" t="str">
        <f t="shared" si="92"/>
        <v>C44</v>
      </c>
      <c r="R914" s="7" t="str">
        <f t="shared" si="93"/>
        <v>C11</v>
      </c>
      <c r="S914" s="18">
        <f t="shared" si="94"/>
        <v>8.6634291030065249</v>
      </c>
      <c r="T914" s="18">
        <f>S914/Explications!$C$8</f>
        <v>0.28878097010021747</v>
      </c>
    </row>
    <row r="915" spans="7:20">
      <c r="G915" s="10" t="s">
        <v>27</v>
      </c>
      <c r="H915" s="10" t="s">
        <v>61</v>
      </c>
      <c r="I915" s="10">
        <v>46.868299999999998</v>
      </c>
      <c r="J915" s="10">
        <v>-71.167000000000002</v>
      </c>
      <c r="K915" s="10">
        <v>46.796900000000001</v>
      </c>
      <c r="L915" s="10">
        <v>-71.3078</v>
      </c>
      <c r="M915" s="10" t="str">
        <f t="shared" si="89"/>
        <v>C11</v>
      </c>
      <c r="N915" s="10" t="str">
        <f t="shared" si="90"/>
        <v>C45</v>
      </c>
      <c r="O915" s="5">
        <f t="shared" si="91"/>
        <v>13.332552420769789</v>
      </c>
      <c r="P915" s="22">
        <f>O915/Explications!$C$8</f>
        <v>0.44441841402565962</v>
      </c>
      <c r="Q915" s="7" t="str">
        <f t="shared" si="92"/>
        <v>C45</v>
      </c>
      <c r="R915" s="7" t="str">
        <f t="shared" si="93"/>
        <v>C11</v>
      </c>
      <c r="S915" s="18">
        <f t="shared" si="94"/>
        <v>13.332552420769789</v>
      </c>
      <c r="T915" s="18">
        <f>S915/Explications!$C$8</f>
        <v>0.44441841402565962</v>
      </c>
    </row>
    <row r="916" spans="7:20">
      <c r="G916" s="10" t="s">
        <v>27</v>
      </c>
      <c r="H916" s="10" t="s">
        <v>62</v>
      </c>
      <c r="I916" s="10">
        <v>46.868299999999998</v>
      </c>
      <c r="J916" s="10">
        <v>-71.167000000000002</v>
      </c>
      <c r="K916" s="10">
        <v>46.803600000000003</v>
      </c>
      <c r="L916" s="10">
        <v>-71.231099999999998</v>
      </c>
      <c r="M916" s="10" t="str">
        <f t="shared" si="89"/>
        <v>C11</v>
      </c>
      <c r="N916" s="10" t="str">
        <f t="shared" si="90"/>
        <v>C46</v>
      </c>
      <c r="O916" s="5">
        <f t="shared" si="91"/>
        <v>8.6909516261468518</v>
      </c>
      <c r="P916" s="22">
        <f>O916/Explications!$C$8</f>
        <v>0.28969838753822841</v>
      </c>
      <c r="Q916" s="7" t="str">
        <f t="shared" si="92"/>
        <v>C46</v>
      </c>
      <c r="R916" s="7" t="str">
        <f t="shared" si="93"/>
        <v>C11</v>
      </c>
      <c r="S916" s="18">
        <f t="shared" si="94"/>
        <v>8.6909516261468518</v>
      </c>
      <c r="T916" s="18">
        <f>S916/Explications!$C$8</f>
        <v>0.28969838753822841</v>
      </c>
    </row>
    <row r="917" spans="7:20">
      <c r="G917" s="10" t="s">
        <v>27</v>
      </c>
      <c r="H917" s="10" t="s">
        <v>63</v>
      </c>
      <c r="I917" s="10">
        <v>46.868299999999998</v>
      </c>
      <c r="J917" s="10">
        <v>-71.167000000000002</v>
      </c>
      <c r="K917" s="10">
        <v>46.802399999999999</v>
      </c>
      <c r="L917" s="10">
        <v>-71.269800000000004</v>
      </c>
      <c r="M917" s="10" t="str">
        <f t="shared" si="89"/>
        <v>C11</v>
      </c>
      <c r="N917" s="10" t="str">
        <f t="shared" si="90"/>
        <v>C47</v>
      </c>
      <c r="O917" s="5">
        <f t="shared" si="91"/>
        <v>10.716583670597668</v>
      </c>
      <c r="P917" s="22">
        <f>O917/Explications!$C$8</f>
        <v>0.35721945568658892</v>
      </c>
      <c r="Q917" s="7" t="str">
        <f t="shared" si="92"/>
        <v>C47</v>
      </c>
      <c r="R917" s="7" t="str">
        <f t="shared" si="93"/>
        <v>C11</v>
      </c>
      <c r="S917" s="18">
        <f t="shared" si="94"/>
        <v>10.716583670597668</v>
      </c>
      <c r="T917" s="18">
        <f>S917/Explications!$C$8</f>
        <v>0.35721945568658892</v>
      </c>
    </row>
    <row r="918" spans="7:20">
      <c r="G918" s="10" t="s">
        <v>27</v>
      </c>
      <c r="H918" s="10" t="s">
        <v>64</v>
      </c>
      <c r="I918" s="10">
        <v>46.868299999999998</v>
      </c>
      <c r="J918" s="10">
        <v>-71.167000000000002</v>
      </c>
      <c r="K918" s="10">
        <v>46.826799999999999</v>
      </c>
      <c r="L918" s="10">
        <v>-71.224199999999996</v>
      </c>
      <c r="M918" s="10" t="str">
        <f t="shared" si="89"/>
        <v>C11</v>
      </c>
      <c r="N918" s="10" t="str">
        <f t="shared" si="90"/>
        <v>C48</v>
      </c>
      <c r="O918" s="5">
        <f t="shared" si="91"/>
        <v>6.3417573120739092</v>
      </c>
      <c r="P918" s="22">
        <f>O918/Explications!$C$8</f>
        <v>0.21139191040246363</v>
      </c>
      <c r="Q918" s="7" t="str">
        <f t="shared" si="92"/>
        <v>C48</v>
      </c>
      <c r="R918" s="7" t="str">
        <f t="shared" si="93"/>
        <v>C11</v>
      </c>
      <c r="S918" s="18">
        <f t="shared" si="94"/>
        <v>6.3417573120739092</v>
      </c>
      <c r="T918" s="18">
        <f>S918/Explications!$C$8</f>
        <v>0.21139191040246363</v>
      </c>
    </row>
    <row r="919" spans="7:20">
      <c r="G919" s="10" t="s">
        <v>27</v>
      </c>
      <c r="H919" s="10" t="s">
        <v>65</v>
      </c>
      <c r="I919" s="10">
        <v>46.868299999999998</v>
      </c>
      <c r="J919" s="10">
        <v>-71.167000000000002</v>
      </c>
      <c r="K919" s="10">
        <v>46.864100000000001</v>
      </c>
      <c r="L919" s="10">
        <v>-71.255499999999998</v>
      </c>
      <c r="M919" s="10" t="str">
        <f t="shared" si="89"/>
        <v>C11</v>
      </c>
      <c r="N919" s="10" t="str">
        <f t="shared" si="90"/>
        <v>C49</v>
      </c>
      <c r="O919" s="5">
        <f t="shared" si="91"/>
        <v>6.7443533223411407</v>
      </c>
      <c r="P919" s="22">
        <f>O919/Explications!$C$8</f>
        <v>0.22481177741137134</v>
      </c>
      <c r="Q919" s="7" t="str">
        <f t="shared" si="92"/>
        <v>C49</v>
      </c>
      <c r="R919" s="7" t="str">
        <f t="shared" si="93"/>
        <v>C11</v>
      </c>
      <c r="S919" s="18">
        <f t="shared" si="94"/>
        <v>6.7443533223411407</v>
      </c>
      <c r="T919" s="18">
        <f>S919/Explications!$C$8</f>
        <v>0.22481177741137134</v>
      </c>
    </row>
    <row r="920" spans="7:20">
      <c r="G920" s="10" t="s">
        <v>27</v>
      </c>
      <c r="H920" s="10" t="s">
        <v>66</v>
      </c>
      <c r="I920" s="10">
        <v>46.868299999999998</v>
      </c>
      <c r="J920" s="10">
        <v>-71.167000000000002</v>
      </c>
      <c r="K920" s="10">
        <v>46.843800000000002</v>
      </c>
      <c r="L920" s="10">
        <v>-71.247299999999996</v>
      </c>
      <c r="M920" s="10" t="str">
        <f t="shared" si="89"/>
        <v>C11</v>
      </c>
      <c r="N920" s="10" t="str">
        <f t="shared" si="90"/>
        <v>C50</v>
      </c>
      <c r="O920" s="5">
        <f t="shared" si="91"/>
        <v>6.6860983496615622</v>
      </c>
      <c r="P920" s="22">
        <f>O920/Explications!$C$8</f>
        <v>0.22286994498871873</v>
      </c>
      <c r="Q920" s="7" t="str">
        <f t="shared" si="92"/>
        <v>C50</v>
      </c>
      <c r="R920" s="7" t="str">
        <f t="shared" si="93"/>
        <v>C11</v>
      </c>
      <c r="S920" s="18">
        <f t="shared" si="94"/>
        <v>6.6860983496615622</v>
      </c>
      <c r="T920" s="18">
        <f>S920/Explications!$C$8</f>
        <v>0.22286994498871873</v>
      </c>
    </row>
    <row r="921" spans="7:20">
      <c r="G921" s="10" t="s">
        <v>27</v>
      </c>
      <c r="H921" s="10" t="s">
        <v>67</v>
      </c>
      <c r="I921" s="10">
        <v>46.868299999999998</v>
      </c>
      <c r="J921" s="10">
        <v>-71.167000000000002</v>
      </c>
      <c r="K921" s="10">
        <v>46.765599999999999</v>
      </c>
      <c r="L921" s="10">
        <v>-71.312100000000001</v>
      </c>
      <c r="M921" s="10" t="str">
        <f t="shared" si="89"/>
        <v>C11</v>
      </c>
      <c r="N921" s="10" t="str">
        <f t="shared" si="90"/>
        <v>C51</v>
      </c>
      <c r="O921" s="5">
        <f t="shared" si="91"/>
        <v>15.884563406003068</v>
      </c>
      <c r="P921" s="22">
        <f>O921/Explications!$C$8</f>
        <v>0.52948544686676891</v>
      </c>
      <c r="Q921" s="7" t="str">
        <f t="shared" si="92"/>
        <v>C51</v>
      </c>
      <c r="R921" s="7" t="str">
        <f t="shared" si="93"/>
        <v>C11</v>
      </c>
      <c r="S921" s="18">
        <f t="shared" si="94"/>
        <v>15.884563406003068</v>
      </c>
      <c r="T921" s="18">
        <f>S921/Explications!$C$8</f>
        <v>0.52948544686676891</v>
      </c>
    </row>
    <row r="922" spans="7:20">
      <c r="G922" s="10" t="s">
        <v>27</v>
      </c>
      <c r="H922" s="10" t="s">
        <v>68</v>
      </c>
      <c r="I922" s="10">
        <v>46.868299999999998</v>
      </c>
      <c r="J922" s="10">
        <v>-71.167000000000002</v>
      </c>
      <c r="K922" s="10">
        <v>46.787599999999998</v>
      </c>
      <c r="L922" s="10">
        <v>-71.288600000000002</v>
      </c>
      <c r="M922" s="10" t="str">
        <f t="shared" si="89"/>
        <v>C11</v>
      </c>
      <c r="N922" s="10" t="str">
        <f t="shared" si="90"/>
        <v>C52</v>
      </c>
      <c r="O922" s="5">
        <f t="shared" si="91"/>
        <v>12.888224464918094</v>
      </c>
      <c r="P922" s="22">
        <f>O922/Explications!$C$8</f>
        <v>0.42960748216393646</v>
      </c>
      <c r="Q922" s="7" t="str">
        <f t="shared" si="92"/>
        <v>C52</v>
      </c>
      <c r="R922" s="7" t="str">
        <f t="shared" si="93"/>
        <v>C11</v>
      </c>
      <c r="S922" s="18">
        <f t="shared" si="94"/>
        <v>12.888224464918094</v>
      </c>
      <c r="T922" s="18">
        <f>S922/Explications!$C$8</f>
        <v>0.42960748216393646</v>
      </c>
    </row>
    <row r="923" spans="7:20">
      <c r="G923" s="10" t="s">
        <v>27</v>
      </c>
      <c r="H923" s="10" t="s">
        <v>69</v>
      </c>
      <c r="I923" s="10">
        <v>46.868299999999998</v>
      </c>
      <c r="J923" s="10">
        <v>-71.167000000000002</v>
      </c>
      <c r="K923" s="10">
        <v>46.764600000000002</v>
      </c>
      <c r="L923" s="10">
        <v>-71.308300000000003</v>
      </c>
      <c r="M923" s="10" t="str">
        <f t="shared" si="89"/>
        <v>C11</v>
      </c>
      <c r="N923" s="10" t="str">
        <f t="shared" si="90"/>
        <v>C53</v>
      </c>
      <c r="O923" s="5">
        <f t="shared" si="91"/>
        <v>15.766159351444369</v>
      </c>
      <c r="P923" s="22">
        <f>O923/Explications!$C$8</f>
        <v>0.52553864504814563</v>
      </c>
      <c r="Q923" s="7" t="str">
        <f t="shared" si="92"/>
        <v>C53</v>
      </c>
      <c r="R923" s="7" t="str">
        <f t="shared" si="93"/>
        <v>C11</v>
      </c>
      <c r="S923" s="18">
        <f t="shared" si="94"/>
        <v>15.766159351444369</v>
      </c>
      <c r="T923" s="18">
        <f>S923/Explications!$C$8</f>
        <v>0.52553864504814563</v>
      </c>
    </row>
    <row r="924" spans="7:20">
      <c r="G924" s="10" t="s">
        <v>27</v>
      </c>
      <c r="H924" s="10" t="s">
        <v>70</v>
      </c>
      <c r="I924" s="10">
        <v>46.868299999999998</v>
      </c>
      <c r="J924" s="10">
        <v>-71.167000000000002</v>
      </c>
      <c r="K924" s="10">
        <v>46.849699999999999</v>
      </c>
      <c r="L924" s="10">
        <v>-71.097399999999993</v>
      </c>
      <c r="M924" s="10" t="str">
        <f t="shared" si="89"/>
        <v>C11</v>
      </c>
      <c r="N924" s="10" t="str">
        <f t="shared" si="90"/>
        <v>C54</v>
      </c>
      <c r="O924" s="5">
        <f t="shared" si="91"/>
        <v>5.6818083549516363</v>
      </c>
      <c r="P924" s="22">
        <f>O924/Explications!$C$8</f>
        <v>0.18939361183172121</v>
      </c>
      <c r="Q924" s="7" t="str">
        <f t="shared" si="92"/>
        <v>C54</v>
      </c>
      <c r="R924" s="7" t="str">
        <f t="shared" si="93"/>
        <v>C11</v>
      </c>
      <c r="S924" s="18">
        <f t="shared" si="94"/>
        <v>5.6818083549516363</v>
      </c>
      <c r="T924" s="18">
        <f>S924/Explications!$C$8</f>
        <v>0.18939361183172121</v>
      </c>
    </row>
    <row r="925" spans="7:20">
      <c r="G925" s="10" t="s">
        <v>27</v>
      </c>
      <c r="H925" s="10" t="s">
        <v>71</v>
      </c>
      <c r="I925" s="10">
        <v>46.868299999999998</v>
      </c>
      <c r="J925" s="10">
        <v>-71.167000000000002</v>
      </c>
      <c r="K925" s="10">
        <v>46.788899999999998</v>
      </c>
      <c r="L925" s="10">
        <v>-71.321399999999997</v>
      </c>
      <c r="M925" s="10" t="str">
        <f t="shared" si="89"/>
        <v>C11</v>
      </c>
      <c r="N925" s="10" t="str">
        <f t="shared" si="90"/>
        <v>C55</v>
      </c>
      <c r="O925" s="5">
        <f t="shared" si="91"/>
        <v>14.694446257782765</v>
      </c>
      <c r="P925" s="22">
        <f>O925/Explications!$C$8</f>
        <v>0.48981487525942552</v>
      </c>
      <c r="Q925" s="7" t="str">
        <f t="shared" si="92"/>
        <v>C55</v>
      </c>
      <c r="R925" s="7" t="str">
        <f t="shared" si="93"/>
        <v>C11</v>
      </c>
      <c r="S925" s="18">
        <f t="shared" si="94"/>
        <v>14.694446257782765</v>
      </c>
      <c r="T925" s="18">
        <f>S925/Explications!$C$8</f>
        <v>0.48981487525942552</v>
      </c>
    </row>
    <row r="926" spans="7:20">
      <c r="G926" s="10" t="s">
        <v>27</v>
      </c>
      <c r="H926" s="10" t="s">
        <v>72</v>
      </c>
      <c r="I926" s="10">
        <v>46.868299999999998</v>
      </c>
      <c r="J926" s="10">
        <v>-71.167000000000002</v>
      </c>
      <c r="K926" s="10">
        <v>46.795400000000001</v>
      </c>
      <c r="L926" s="10">
        <v>-71.232600000000005</v>
      </c>
      <c r="M926" s="10" t="str">
        <f t="shared" si="89"/>
        <v>C11</v>
      </c>
      <c r="N926" s="10" t="str">
        <f t="shared" si="90"/>
        <v>C56</v>
      </c>
      <c r="O926" s="5">
        <f t="shared" si="91"/>
        <v>9.5190886032055531</v>
      </c>
      <c r="P926" s="22">
        <f>O926/Explications!$C$8</f>
        <v>0.31730295344018511</v>
      </c>
      <c r="Q926" s="7" t="str">
        <f t="shared" si="92"/>
        <v>C56</v>
      </c>
      <c r="R926" s="7" t="str">
        <f t="shared" si="93"/>
        <v>C11</v>
      </c>
      <c r="S926" s="18">
        <f t="shared" si="94"/>
        <v>9.5190886032055531</v>
      </c>
      <c r="T926" s="18">
        <f>S926/Explications!$C$8</f>
        <v>0.31730295344018511</v>
      </c>
    </row>
    <row r="927" spans="7:20">
      <c r="G927" s="10" t="s">
        <v>27</v>
      </c>
      <c r="H927" s="10" t="s">
        <v>73</v>
      </c>
      <c r="I927" s="10">
        <v>46.868299999999998</v>
      </c>
      <c r="J927" s="10">
        <v>-71.167000000000002</v>
      </c>
      <c r="K927" s="10">
        <v>46.801200000000001</v>
      </c>
      <c r="L927" s="10">
        <v>-71.224999999999994</v>
      </c>
      <c r="M927" s="10" t="str">
        <f t="shared" si="89"/>
        <v>C11</v>
      </c>
      <c r="N927" s="10" t="str">
        <f t="shared" si="90"/>
        <v>C57</v>
      </c>
      <c r="O927" s="5">
        <f t="shared" si="91"/>
        <v>8.6680416669462694</v>
      </c>
      <c r="P927" s="22">
        <f>O927/Explications!$C$8</f>
        <v>0.28893472223154232</v>
      </c>
      <c r="Q927" s="7" t="str">
        <f t="shared" si="92"/>
        <v>C57</v>
      </c>
      <c r="R927" s="7" t="str">
        <f t="shared" si="93"/>
        <v>C11</v>
      </c>
      <c r="S927" s="18">
        <f t="shared" si="94"/>
        <v>8.6680416669462694</v>
      </c>
      <c r="T927" s="18">
        <f>S927/Explications!$C$8</f>
        <v>0.28893472223154232</v>
      </c>
    </row>
    <row r="928" spans="7:20">
      <c r="G928" s="10" t="s">
        <v>27</v>
      </c>
      <c r="H928" s="10" t="s">
        <v>74</v>
      </c>
      <c r="I928" s="10">
        <v>46.868299999999998</v>
      </c>
      <c r="J928" s="10">
        <v>-71.167000000000002</v>
      </c>
      <c r="K928" s="10">
        <v>46.773200000000003</v>
      </c>
      <c r="L928" s="10">
        <v>-71.275899999999993</v>
      </c>
      <c r="M928" s="10" t="str">
        <f t="shared" si="89"/>
        <v>C11</v>
      </c>
      <c r="N928" s="10" t="str">
        <f t="shared" si="90"/>
        <v>C58</v>
      </c>
      <c r="O928" s="5">
        <f t="shared" si="91"/>
        <v>13.434353286768715</v>
      </c>
      <c r="P928" s="22">
        <f>O928/Explications!$C$8</f>
        <v>0.44781177622562385</v>
      </c>
      <c r="Q928" s="7" t="str">
        <f t="shared" si="92"/>
        <v>C58</v>
      </c>
      <c r="R928" s="7" t="str">
        <f t="shared" si="93"/>
        <v>C11</v>
      </c>
      <c r="S928" s="18">
        <f t="shared" si="94"/>
        <v>13.434353286768715</v>
      </c>
      <c r="T928" s="18">
        <f>S928/Explications!$C$8</f>
        <v>0.44781177622562385</v>
      </c>
    </row>
    <row r="929" spans="7:20">
      <c r="G929" s="10" t="s">
        <v>27</v>
      </c>
      <c r="H929" s="10" t="s">
        <v>75</v>
      </c>
      <c r="I929" s="10">
        <v>46.868299999999998</v>
      </c>
      <c r="J929" s="10">
        <v>-71.167000000000002</v>
      </c>
      <c r="K929" s="10">
        <v>46.814399999999999</v>
      </c>
      <c r="L929" s="10">
        <v>-71.225700000000003</v>
      </c>
      <c r="M929" s="10" t="str">
        <f t="shared" si="89"/>
        <v>C11</v>
      </c>
      <c r="N929" s="10" t="str">
        <f t="shared" si="90"/>
        <v>C59</v>
      </c>
      <c r="O929" s="5">
        <f t="shared" si="91"/>
        <v>7.4735849452694829</v>
      </c>
      <c r="P929" s="22">
        <f>O929/Explications!$C$8</f>
        <v>0.24911949817564943</v>
      </c>
      <c r="Q929" s="7" t="str">
        <f t="shared" si="92"/>
        <v>C59</v>
      </c>
      <c r="R929" s="7" t="str">
        <f t="shared" si="93"/>
        <v>C11</v>
      </c>
      <c r="S929" s="18">
        <f t="shared" si="94"/>
        <v>7.4735849452694829</v>
      </c>
      <c r="T929" s="18">
        <f>S929/Explications!$C$8</f>
        <v>0.24911949817564943</v>
      </c>
    </row>
    <row r="930" spans="7:20">
      <c r="G930" s="10" t="s">
        <v>27</v>
      </c>
      <c r="H930" s="10" t="s">
        <v>76</v>
      </c>
      <c r="I930" s="10">
        <v>46.868299999999998</v>
      </c>
      <c r="J930" s="10">
        <v>-71.167000000000002</v>
      </c>
      <c r="K930" s="10">
        <v>46.772500000000001</v>
      </c>
      <c r="L930" s="10">
        <v>-71.276300000000006</v>
      </c>
      <c r="M930" s="10" t="str">
        <f t="shared" si="89"/>
        <v>C11</v>
      </c>
      <c r="N930" s="10" t="str">
        <f t="shared" si="90"/>
        <v>C60</v>
      </c>
      <c r="O930" s="5">
        <f t="shared" si="91"/>
        <v>13.514447753277393</v>
      </c>
      <c r="P930" s="22">
        <f>O930/Explications!$C$8</f>
        <v>0.45048159177591313</v>
      </c>
      <c r="Q930" s="7" t="str">
        <f t="shared" si="92"/>
        <v>C60</v>
      </c>
      <c r="R930" s="7" t="str">
        <f t="shared" si="93"/>
        <v>C11</v>
      </c>
      <c r="S930" s="18">
        <f t="shared" si="94"/>
        <v>13.514447753277393</v>
      </c>
      <c r="T930" s="18">
        <f>S930/Explications!$C$8</f>
        <v>0.45048159177591313</v>
      </c>
    </row>
    <row r="931" spans="7:20">
      <c r="G931" s="10" t="s">
        <v>27</v>
      </c>
      <c r="H931" s="10" t="s">
        <v>77</v>
      </c>
      <c r="I931" s="10">
        <v>46.868299999999998</v>
      </c>
      <c r="J931" s="10">
        <v>-71.167000000000002</v>
      </c>
      <c r="K931" s="10">
        <v>46.810899999999997</v>
      </c>
      <c r="L931" s="10">
        <v>-71.215599999999995</v>
      </c>
      <c r="M931" s="10" t="str">
        <f t="shared" si="89"/>
        <v>C11</v>
      </c>
      <c r="N931" s="10" t="str">
        <f t="shared" si="90"/>
        <v>C61</v>
      </c>
      <c r="O931" s="5">
        <f t="shared" si="91"/>
        <v>7.3758001532865869</v>
      </c>
      <c r="P931" s="22">
        <f>O931/Explications!$C$8</f>
        <v>0.24586000510955289</v>
      </c>
      <c r="Q931" s="7" t="str">
        <f t="shared" si="92"/>
        <v>C61</v>
      </c>
      <c r="R931" s="7" t="str">
        <f t="shared" si="93"/>
        <v>C11</v>
      </c>
      <c r="S931" s="18">
        <f t="shared" si="94"/>
        <v>7.3758001532865869</v>
      </c>
      <c r="T931" s="18">
        <f>S931/Explications!$C$8</f>
        <v>0.24586000510955289</v>
      </c>
    </row>
    <row r="932" spans="7:20">
      <c r="G932" s="10" t="s">
        <v>27</v>
      </c>
      <c r="H932" s="10" t="s">
        <v>78</v>
      </c>
      <c r="I932" s="10">
        <v>46.868299999999998</v>
      </c>
      <c r="J932" s="10">
        <v>-71.167000000000002</v>
      </c>
      <c r="K932" s="10">
        <v>46.795200000000001</v>
      </c>
      <c r="L932" s="10">
        <v>-71.245099999999994</v>
      </c>
      <c r="M932" s="10" t="str">
        <f t="shared" si="89"/>
        <v>C11</v>
      </c>
      <c r="N932" s="10" t="str">
        <f t="shared" si="90"/>
        <v>C62</v>
      </c>
      <c r="O932" s="5">
        <f t="shared" si="91"/>
        <v>10.068233009902457</v>
      </c>
      <c r="P932" s="22">
        <f>O932/Explications!$C$8</f>
        <v>0.33560776699674855</v>
      </c>
      <c r="Q932" s="7" t="str">
        <f t="shared" si="92"/>
        <v>C62</v>
      </c>
      <c r="R932" s="7" t="str">
        <f t="shared" si="93"/>
        <v>C11</v>
      </c>
      <c r="S932" s="18">
        <f t="shared" si="94"/>
        <v>10.068233009902457</v>
      </c>
      <c r="T932" s="18">
        <f>S932/Explications!$C$8</f>
        <v>0.33560776699674855</v>
      </c>
    </row>
    <row r="933" spans="7:20">
      <c r="G933" s="10" t="s">
        <v>27</v>
      </c>
      <c r="H933" s="10" t="s">
        <v>79</v>
      </c>
      <c r="I933" s="10">
        <v>46.868299999999998</v>
      </c>
      <c r="J933" s="10">
        <v>-71.167000000000002</v>
      </c>
      <c r="K933" s="10">
        <v>46.822000000000003</v>
      </c>
      <c r="L933" s="10">
        <v>-71.345699999999994</v>
      </c>
      <c r="M933" s="10" t="str">
        <f t="shared" si="89"/>
        <v>C11</v>
      </c>
      <c r="N933" s="10" t="str">
        <f t="shared" si="90"/>
        <v>C63</v>
      </c>
      <c r="O933" s="5">
        <f t="shared" si="91"/>
        <v>14.533327974652115</v>
      </c>
      <c r="P933" s="22">
        <f>O933/Explications!$C$8</f>
        <v>0.48444426582173716</v>
      </c>
      <c r="Q933" s="7" t="str">
        <f t="shared" si="92"/>
        <v>C63</v>
      </c>
      <c r="R933" s="7" t="str">
        <f t="shared" si="93"/>
        <v>C11</v>
      </c>
      <c r="S933" s="18">
        <f t="shared" si="94"/>
        <v>14.533327974652115</v>
      </c>
      <c r="T933" s="18">
        <f>S933/Explications!$C$8</f>
        <v>0.48444426582173716</v>
      </c>
    </row>
    <row r="934" spans="7:20">
      <c r="G934" s="10" t="s">
        <v>27</v>
      </c>
      <c r="H934" s="10" t="s">
        <v>80</v>
      </c>
      <c r="I934" s="10">
        <v>46.868299999999998</v>
      </c>
      <c r="J934" s="10">
        <v>-71.167000000000002</v>
      </c>
      <c r="K934" s="10">
        <v>46.779400000000003</v>
      </c>
      <c r="L934" s="10">
        <v>-71.350399999999993</v>
      </c>
      <c r="M934" s="10" t="str">
        <f t="shared" si="89"/>
        <v>C11</v>
      </c>
      <c r="N934" s="10" t="str">
        <f t="shared" si="90"/>
        <v>C64</v>
      </c>
      <c r="O934" s="5">
        <f t="shared" si="91"/>
        <v>17.100535635362313</v>
      </c>
      <c r="P934" s="22">
        <f>O934/Explications!$C$8</f>
        <v>0.57001785451207709</v>
      </c>
      <c r="Q934" s="7" t="str">
        <f t="shared" si="92"/>
        <v>C64</v>
      </c>
      <c r="R934" s="7" t="str">
        <f t="shared" si="93"/>
        <v>C11</v>
      </c>
      <c r="S934" s="18">
        <f t="shared" si="94"/>
        <v>17.100535635362313</v>
      </c>
      <c r="T934" s="18">
        <f>S934/Explications!$C$8</f>
        <v>0.57001785451207709</v>
      </c>
    </row>
    <row r="935" spans="7:20">
      <c r="G935" s="10" t="s">
        <v>27</v>
      </c>
      <c r="H935" s="10" t="s">
        <v>81</v>
      </c>
      <c r="I935" s="10">
        <v>46.868299999999998</v>
      </c>
      <c r="J935" s="10">
        <v>-71.167000000000002</v>
      </c>
      <c r="K935" s="10">
        <v>46.772300000000001</v>
      </c>
      <c r="L935" s="10">
        <v>-71.279799999999994</v>
      </c>
      <c r="M935" s="10" t="str">
        <f t="shared" si="89"/>
        <v>C11</v>
      </c>
      <c r="N935" s="10" t="str">
        <f t="shared" si="90"/>
        <v>C65</v>
      </c>
      <c r="O935" s="5">
        <f t="shared" si="91"/>
        <v>13.697276806262337</v>
      </c>
      <c r="P935" s="22">
        <f>O935/Explications!$C$8</f>
        <v>0.45657589354207789</v>
      </c>
      <c r="Q935" s="7" t="str">
        <f t="shared" si="92"/>
        <v>C65</v>
      </c>
      <c r="R935" s="7" t="str">
        <f t="shared" si="93"/>
        <v>C11</v>
      </c>
      <c r="S935" s="18">
        <f t="shared" si="94"/>
        <v>13.697276806262337</v>
      </c>
      <c r="T935" s="18">
        <f>S935/Explications!$C$8</f>
        <v>0.45657589354207789</v>
      </c>
    </row>
    <row r="936" spans="7:20">
      <c r="G936" s="10" t="s">
        <v>27</v>
      </c>
      <c r="H936" s="10" t="s">
        <v>82</v>
      </c>
      <c r="I936" s="10">
        <v>46.868299999999998</v>
      </c>
      <c r="J936" s="10">
        <v>-71.167000000000002</v>
      </c>
      <c r="K936" s="10">
        <v>46.814900000000002</v>
      </c>
      <c r="L936" s="10">
        <v>-71.225200000000001</v>
      </c>
      <c r="M936" s="10" t="str">
        <f t="shared" si="89"/>
        <v>C11</v>
      </c>
      <c r="N936" s="10" t="str">
        <f t="shared" si="90"/>
        <v>C66</v>
      </c>
      <c r="O936" s="5">
        <f t="shared" si="91"/>
        <v>7.4062681010542866</v>
      </c>
      <c r="P936" s="22">
        <f>O936/Explications!$C$8</f>
        <v>0.24687560336847622</v>
      </c>
      <c r="Q936" s="7" t="str">
        <f t="shared" si="92"/>
        <v>C66</v>
      </c>
      <c r="R936" s="7" t="str">
        <f t="shared" si="93"/>
        <v>C11</v>
      </c>
      <c r="S936" s="18">
        <f t="shared" si="94"/>
        <v>7.4062681010542866</v>
      </c>
      <c r="T936" s="18">
        <f>S936/Explications!$C$8</f>
        <v>0.24687560336847622</v>
      </c>
    </row>
    <row r="937" spans="7:20">
      <c r="G937" s="10" t="s">
        <v>27</v>
      </c>
      <c r="H937" s="10" t="s">
        <v>83</v>
      </c>
      <c r="I937" s="10">
        <v>46.868299999999998</v>
      </c>
      <c r="J937" s="10">
        <v>-71.167000000000002</v>
      </c>
      <c r="K937" s="10">
        <v>46.814700000000002</v>
      </c>
      <c r="L937" s="10">
        <v>-71.207300000000004</v>
      </c>
      <c r="M937" s="10" t="str">
        <f t="shared" si="89"/>
        <v>C11</v>
      </c>
      <c r="N937" s="10" t="str">
        <f t="shared" si="90"/>
        <v>C67</v>
      </c>
      <c r="O937" s="5">
        <f t="shared" si="91"/>
        <v>6.7020587417576838</v>
      </c>
      <c r="P937" s="22">
        <f>O937/Explications!$C$8</f>
        <v>0.22340195805858945</v>
      </c>
      <c r="Q937" s="7" t="str">
        <f t="shared" si="92"/>
        <v>C67</v>
      </c>
      <c r="R937" s="7" t="str">
        <f t="shared" si="93"/>
        <v>C11</v>
      </c>
      <c r="S937" s="18">
        <f t="shared" si="94"/>
        <v>6.7020587417576838</v>
      </c>
      <c r="T937" s="18">
        <f>S937/Explications!$C$8</f>
        <v>0.22340195805858945</v>
      </c>
    </row>
    <row r="938" spans="7:20">
      <c r="G938" s="10" t="s">
        <v>27</v>
      </c>
      <c r="H938" s="10" t="s">
        <v>84</v>
      </c>
      <c r="I938" s="10">
        <v>46.868299999999998</v>
      </c>
      <c r="J938" s="10">
        <v>-71.167000000000002</v>
      </c>
      <c r="K938" s="10">
        <v>46.815600000000003</v>
      </c>
      <c r="L938" s="10">
        <v>-71.2029</v>
      </c>
      <c r="M938" s="10" t="str">
        <f t="shared" si="89"/>
        <v>C11</v>
      </c>
      <c r="N938" s="10" t="str">
        <f t="shared" si="90"/>
        <v>C68</v>
      </c>
      <c r="O938" s="5">
        <f t="shared" si="91"/>
        <v>6.464902641747436</v>
      </c>
      <c r="P938" s="22">
        <f>O938/Explications!$C$8</f>
        <v>0.21549675472491453</v>
      </c>
      <c r="Q938" s="7" t="str">
        <f t="shared" si="92"/>
        <v>C68</v>
      </c>
      <c r="R938" s="7" t="str">
        <f t="shared" si="93"/>
        <v>C11</v>
      </c>
      <c r="S938" s="18">
        <f t="shared" si="94"/>
        <v>6.464902641747436</v>
      </c>
      <c r="T938" s="18">
        <f>S938/Explications!$C$8</f>
        <v>0.21549675472491453</v>
      </c>
    </row>
    <row r="939" spans="7:20">
      <c r="G939" s="10" t="s">
        <v>27</v>
      </c>
      <c r="H939" s="10" t="s">
        <v>85</v>
      </c>
      <c r="I939" s="10">
        <v>46.868299999999998</v>
      </c>
      <c r="J939" s="10">
        <v>-71.167000000000002</v>
      </c>
      <c r="K939" s="10">
        <v>46.821899999999999</v>
      </c>
      <c r="L939" s="10">
        <v>-71.249899999999997</v>
      </c>
      <c r="M939" s="10" t="str">
        <f t="shared" si="89"/>
        <v>C11</v>
      </c>
      <c r="N939" s="10" t="str">
        <f t="shared" si="90"/>
        <v>C69</v>
      </c>
      <c r="O939" s="5">
        <f t="shared" si="91"/>
        <v>8.1468814410223072</v>
      </c>
      <c r="P939" s="22">
        <f>O939/Explications!$C$8</f>
        <v>0.27156271470074356</v>
      </c>
      <c r="Q939" s="7" t="str">
        <f t="shared" si="92"/>
        <v>C69</v>
      </c>
      <c r="R939" s="7" t="str">
        <f t="shared" si="93"/>
        <v>C11</v>
      </c>
      <c r="S939" s="18">
        <f t="shared" si="94"/>
        <v>8.1468814410223072</v>
      </c>
      <c r="T939" s="18">
        <f>S939/Explications!$C$8</f>
        <v>0.27156271470074356</v>
      </c>
    </row>
    <row r="940" spans="7:20">
      <c r="G940" s="10" t="s">
        <v>27</v>
      </c>
      <c r="H940" s="10" t="s">
        <v>86</v>
      </c>
      <c r="I940" s="10">
        <v>46.868299999999998</v>
      </c>
      <c r="J940" s="10">
        <v>-71.167000000000002</v>
      </c>
      <c r="K940" s="10">
        <v>46.8872</v>
      </c>
      <c r="L940" s="10">
        <v>-71.27</v>
      </c>
      <c r="M940" s="10" t="str">
        <f t="shared" si="89"/>
        <v>C11</v>
      </c>
      <c r="N940" s="10" t="str">
        <f t="shared" si="90"/>
        <v>C70</v>
      </c>
      <c r="O940" s="5">
        <f t="shared" si="91"/>
        <v>8.1060034468733786</v>
      </c>
      <c r="P940" s="22">
        <f>O940/Explications!$C$8</f>
        <v>0.27020011489577928</v>
      </c>
      <c r="Q940" s="7" t="str">
        <f t="shared" si="92"/>
        <v>C70</v>
      </c>
      <c r="R940" s="7" t="str">
        <f t="shared" si="93"/>
        <v>C11</v>
      </c>
      <c r="S940" s="18">
        <f t="shared" si="94"/>
        <v>8.1060034468733786</v>
      </c>
      <c r="T940" s="18">
        <f>S940/Explications!$C$8</f>
        <v>0.27020011489577928</v>
      </c>
    </row>
    <row r="941" spans="7:20">
      <c r="G941" s="10" t="s">
        <v>27</v>
      </c>
      <c r="H941" s="10" t="s">
        <v>87</v>
      </c>
      <c r="I941" s="10">
        <v>46.868299999999998</v>
      </c>
      <c r="J941" s="10">
        <v>-71.167000000000002</v>
      </c>
      <c r="K941" s="10">
        <v>46.816299999999998</v>
      </c>
      <c r="L941" s="10">
        <v>-71.210300000000004</v>
      </c>
      <c r="M941" s="10" t="str">
        <f t="shared" si="89"/>
        <v>C11</v>
      </c>
      <c r="N941" s="10" t="str">
        <f t="shared" si="90"/>
        <v>C71</v>
      </c>
      <c r="O941" s="5">
        <f t="shared" si="91"/>
        <v>6.6542528767841871</v>
      </c>
      <c r="P941" s="22">
        <f>O941/Explications!$C$8</f>
        <v>0.22180842922613958</v>
      </c>
      <c r="Q941" s="7" t="str">
        <f t="shared" si="92"/>
        <v>C71</v>
      </c>
      <c r="R941" s="7" t="str">
        <f t="shared" si="93"/>
        <v>C11</v>
      </c>
      <c r="S941" s="18">
        <f t="shared" si="94"/>
        <v>6.6542528767841871</v>
      </c>
      <c r="T941" s="18">
        <f>S941/Explications!$C$8</f>
        <v>0.22180842922613958</v>
      </c>
    </row>
    <row r="942" spans="7:20">
      <c r="G942" s="10" t="s">
        <v>27</v>
      </c>
      <c r="H942" s="10" t="s">
        <v>88</v>
      </c>
      <c r="I942" s="10">
        <v>46.868299999999998</v>
      </c>
      <c r="J942" s="10">
        <v>-71.167000000000002</v>
      </c>
      <c r="K942" s="10">
        <v>46.807000000000002</v>
      </c>
      <c r="L942" s="10">
        <v>-71.3566</v>
      </c>
      <c r="M942" s="10" t="str">
        <f t="shared" si="89"/>
        <v>C11</v>
      </c>
      <c r="N942" s="10" t="str">
        <f t="shared" si="90"/>
        <v>C72</v>
      </c>
      <c r="O942" s="5">
        <f t="shared" si="91"/>
        <v>15.951561749335301</v>
      </c>
      <c r="P942" s="22">
        <f>O942/Explications!$C$8</f>
        <v>0.53171872497784334</v>
      </c>
      <c r="Q942" s="7" t="str">
        <f t="shared" si="92"/>
        <v>C72</v>
      </c>
      <c r="R942" s="7" t="str">
        <f t="shared" si="93"/>
        <v>C11</v>
      </c>
      <c r="S942" s="18">
        <f t="shared" si="94"/>
        <v>15.951561749335301</v>
      </c>
      <c r="T942" s="18">
        <f>S942/Explications!$C$8</f>
        <v>0.53171872497784334</v>
      </c>
    </row>
    <row r="943" spans="7:20">
      <c r="G943" s="10" t="s">
        <v>27</v>
      </c>
      <c r="H943" s="10" t="s">
        <v>89</v>
      </c>
      <c r="I943" s="10">
        <v>46.868299999999998</v>
      </c>
      <c r="J943" s="10">
        <v>-71.167000000000002</v>
      </c>
      <c r="K943" s="10">
        <v>46.822899999999997</v>
      </c>
      <c r="L943" s="10">
        <v>-71.341899999999995</v>
      </c>
      <c r="M943" s="10" t="str">
        <f t="shared" si="89"/>
        <v>C11</v>
      </c>
      <c r="N943" s="10" t="str">
        <f t="shared" si="90"/>
        <v>C73</v>
      </c>
      <c r="O943" s="5">
        <f t="shared" si="91"/>
        <v>14.227510603342351</v>
      </c>
      <c r="P943" s="22">
        <f>O943/Explications!$C$8</f>
        <v>0.47425035344474503</v>
      </c>
      <c r="Q943" s="7" t="str">
        <f t="shared" si="92"/>
        <v>C73</v>
      </c>
      <c r="R943" s="7" t="str">
        <f t="shared" si="93"/>
        <v>C11</v>
      </c>
      <c r="S943" s="18">
        <f t="shared" si="94"/>
        <v>14.227510603342351</v>
      </c>
      <c r="T943" s="18">
        <f>S943/Explications!$C$8</f>
        <v>0.47425035344474503</v>
      </c>
    </row>
    <row r="944" spans="7:20">
      <c r="G944" s="10" t="s">
        <v>27</v>
      </c>
      <c r="H944" s="10" t="s">
        <v>90</v>
      </c>
      <c r="I944" s="10">
        <v>46.868299999999998</v>
      </c>
      <c r="J944" s="10">
        <v>-71.167000000000002</v>
      </c>
      <c r="K944" s="10">
        <v>46.730699999999999</v>
      </c>
      <c r="L944" s="10">
        <v>-71.261099999999999</v>
      </c>
      <c r="M944" s="10" t="str">
        <f t="shared" si="89"/>
        <v>C11</v>
      </c>
      <c r="N944" s="10" t="str">
        <f t="shared" si="90"/>
        <v>C74</v>
      </c>
      <c r="O944" s="5">
        <f t="shared" si="91"/>
        <v>16.894031426383577</v>
      </c>
      <c r="P944" s="22">
        <f>O944/Explications!$C$8</f>
        <v>0.56313438087945256</v>
      </c>
      <c r="Q944" s="7" t="str">
        <f t="shared" si="92"/>
        <v>C74</v>
      </c>
      <c r="R944" s="7" t="str">
        <f t="shared" si="93"/>
        <v>C11</v>
      </c>
      <c r="S944" s="18">
        <f t="shared" si="94"/>
        <v>16.894031426383577</v>
      </c>
      <c r="T944" s="18">
        <f>S944/Explications!$C$8</f>
        <v>0.56313438087945256</v>
      </c>
    </row>
    <row r="945" spans="7:20">
      <c r="G945" s="10" t="s">
        <v>27</v>
      </c>
      <c r="H945" s="10" t="s">
        <v>91</v>
      </c>
      <c r="I945" s="10">
        <v>46.868299999999998</v>
      </c>
      <c r="J945" s="10">
        <v>-71.167000000000002</v>
      </c>
      <c r="K945" s="10">
        <v>46.840600000000002</v>
      </c>
      <c r="L945" s="10">
        <v>-71.289100000000005</v>
      </c>
      <c r="M945" s="10" t="str">
        <f t="shared" si="89"/>
        <v>C11</v>
      </c>
      <c r="N945" s="10" t="str">
        <f t="shared" si="90"/>
        <v>C75</v>
      </c>
      <c r="O945" s="5">
        <f t="shared" si="91"/>
        <v>9.7821839788554055</v>
      </c>
      <c r="P945" s="22">
        <f>O945/Explications!$C$8</f>
        <v>0.32607279929518018</v>
      </c>
      <c r="Q945" s="7" t="str">
        <f t="shared" si="92"/>
        <v>C75</v>
      </c>
      <c r="R945" s="7" t="str">
        <f t="shared" si="93"/>
        <v>C11</v>
      </c>
      <c r="S945" s="18">
        <f t="shared" si="94"/>
        <v>9.7821839788554055</v>
      </c>
      <c r="T945" s="18">
        <f>S945/Explications!$C$8</f>
        <v>0.32607279929518018</v>
      </c>
    </row>
    <row r="946" spans="7:20">
      <c r="G946" s="10" t="s">
        <v>27</v>
      </c>
      <c r="H946" s="10" t="s">
        <v>92</v>
      </c>
      <c r="I946" s="10">
        <v>46.868299999999998</v>
      </c>
      <c r="J946" s="10">
        <v>-71.167000000000002</v>
      </c>
      <c r="K946" s="10">
        <v>46.840600000000002</v>
      </c>
      <c r="L946" s="10">
        <v>-71.281599999999997</v>
      </c>
      <c r="M946" s="10" t="str">
        <f t="shared" si="89"/>
        <v>C11</v>
      </c>
      <c r="N946" s="10" t="str">
        <f t="shared" si="90"/>
        <v>C76</v>
      </c>
      <c r="O946" s="5">
        <f t="shared" si="91"/>
        <v>9.2426290108649098</v>
      </c>
      <c r="P946" s="22">
        <f>O946/Explications!$C$8</f>
        <v>0.30808763369549702</v>
      </c>
      <c r="Q946" s="7" t="str">
        <f t="shared" si="92"/>
        <v>C76</v>
      </c>
      <c r="R946" s="7" t="str">
        <f t="shared" si="93"/>
        <v>C11</v>
      </c>
      <c r="S946" s="18">
        <f t="shared" si="94"/>
        <v>9.2426290108649098</v>
      </c>
      <c r="T946" s="18">
        <f>S946/Explications!$C$8</f>
        <v>0.30808763369549702</v>
      </c>
    </row>
    <row r="947" spans="7:20">
      <c r="G947" s="10" t="s">
        <v>27</v>
      </c>
      <c r="H947" s="10" t="s">
        <v>93</v>
      </c>
      <c r="I947" s="10">
        <v>46.868299999999998</v>
      </c>
      <c r="J947" s="10">
        <v>-71.167000000000002</v>
      </c>
      <c r="K947" s="10">
        <v>46.839399999999998</v>
      </c>
      <c r="L947" s="10">
        <v>-71.282600000000002</v>
      </c>
      <c r="M947" s="10" t="str">
        <f t="shared" si="89"/>
        <v>C11</v>
      </c>
      <c r="N947" s="10" t="str">
        <f t="shared" si="90"/>
        <v>C77</v>
      </c>
      <c r="O947" s="5">
        <f t="shared" si="91"/>
        <v>9.3594216819811997</v>
      </c>
      <c r="P947" s="22">
        <f>O947/Explications!$C$8</f>
        <v>0.31198072273270666</v>
      </c>
      <c r="Q947" s="7" t="str">
        <f t="shared" si="92"/>
        <v>C77</v>
      </c>
      <c r="R947" s="7" t="str">
        <f t="shared" si="93"/>
        <v>C11</v>
      </c>
      <c r="S947" s="18">
        <f t="shared" si="94"/>
        <v>9.3594216819811997</v>
      </c>
      <c r="T947" s="18">
        <f>S947/Explications!$C$8</f>
        <v>0.31198072273270666</v>
      </c>
    </row>
    <row r="948" spans="7:20">
      <c r="G948" s="10" t="s">
        <v>27</v>
      </c>
      <c r="H948" s="10" t="s">
        <v>94</v>
      </c>
      <c r="I948" s="10">
        <v>46.868299999999998</v>
      </c>
      <c r="J948" s="10">
        <v>-71.167000000000002</v>
      </c>
      <c r="K948" s="10">
        <v>46.788499999999999</v>
      </c>
      <c r="L948" s="10">
        <v>-71.282399999999996</v>
      </c>
      <c r="M948" s="10" t="str">
        <f t="shared" si="89"/>
        <v>C11</v>
      </c>
      <c r="N948" s="10" t="str">
        <f t="shared" si="90"/>
        <v>C78</v>
      </c>
      <c r="O948" s="5">
        <f t="shared" si="91"/>
        <v>12.482555953912019</v>
      </c>
      <c r="P948" s="22">
        <f>O948/Explications!$C$8</f>
        <v>0.41608519846373399</v>
      </c>
      <c r="Q948" s="7" t="str">
        <f t="shared" si="92"/>
        <v>C78</v>
      </c>
      <c r="R948" s="7" t="str">
        <f t="shared" si="93"/>
        <v>C11</v>
      </c>
      <c r="S948" s="18">
        <f t="shared" si="94"/>
        <v>12.482555953912019</v>
      </c>
      <c r="T948" s="18">
        <f>S948/Explications!$C$8</f>
        <v>0.41608519846373399</v>
      </c>
    </row>
    <row r="949" spans="7:20">
      <c r="G949" s="10" t="s">
        <v>27</v>
      </c>
      <c r="H949" s="10" t="s">
        <v>95</v>
      </c>
      <c r="I949" s="10">
        <v>46.868299999999998</v>
      </c>
      <c r="J949" s="10">
        <v>-71.167000000000002</v>
      </c>
      <c r="K949" s="10">
        <v>46.840699999999998</v>
      </c>
      <c r="L949" s="10">
        <v>-71.325400000000002</v>
      </c>
      <c r="M949" s="10" t="str">
        <f t="shared" si="89"/>
        <v>C11</v>
      </c>
      <c r="N949" s="10" t="str">
        <f t="shared" si="90"/>
        <v>C79</v>
      </c>
      <c r="O949" s="5">
        <f t="shared" si="91"/>
        <v>12.429729126047519</v>
      </c>
      <c r="P949" s="22">
        <f>O949/Explications!$C$8</f>
        <v>0.41432430420158395</v>
      </c>
      <c r="Q949" s="7" t="str">
        <f t="shared" si="92"/>
        <v>C79</v>
      </c>
      <c r="R949" s="7" t="str">
        <f t="shared" si="93"/>
        <v>C11</v>
      </c>
      <c r="S949" s="18">
        <f t="shared" si="94"/>
        <v>12.429729126047519</v>
      </c>
      <c r="T949" s="18">
        <f>S949/Explications!$C$8</f>
        <v>0.41432430420158395</v>
      </c>
    </row>
    <row r="950" spans="7:20">
      <c r="G950" s="10" t="s">
        <v>27</v>
      </c>
      <c r="H950" s="10" t="s">
        <v>96</v>
      </c>
      <c r="I950" s="10">
        <v>46.868299999999998</v>
      </c>
      <c r="J950" s="10">
        <v>-71.167000000000002</v>
      </c>
      <c r="K950" s="10">
        <v>46.798400000000001</v>
      </c>
      <c r="L950" s="10">
        <v>-71.183199999999999</v>
      </c>
      <c r="M950" s="10" t="str">
        <f t="shared" si="89"/>
        <v>C11</v>
      </c>
      <c r="N950" s="10" t="str">
        <f t="shared" si="90"/>
        <v>C80</v>
      </c>
      <c r="O950" s="5">
        <f t="shared" si="91"/>
        <v>7.8696147108674053</v>
      </c>
      <c r="P950" s="22">
        <f>O950/Explications!$C$8</f>
        <v>0.26232049036224686</v>
      </c>
      <c r="Q950" s="7" t="str">
        <f t="shared" si="92"/>
        <v>C80</v>
      </c>
      <c r="R950" s="7" t="str">
        <f t="shared" si="93"/>
        <v>C11</v>
      </c>
      <c r="S950" s="18">
        <f t="shared" si="94"/>
        <v>7.8696147108674053</v>
      </c>
      <c r="T950" s="18">
        <f>S950/Explications!$C$8</f>
        <v>0.26232049036224686</v>
      </c>
    </row>
    <row r="951" spans="7:20">
      <c r="G951" s="10" t="s">
        <v>27</v>
      </c>
      <c r="H951" s="10" t="s">
        <v>97</v>
      </c>
      <c r="I951" s="10">
        <v>46.868299999999998</v>
      </c>
      <c r="J951" s="10">
        <v>-71.167000000000002</v>
      </c>
      <c r="K951" s="10">
        <v>46.724800000000002</v>
      </c>
      <c r="L951" s="10">
        <v>-71.2988</v>
      </c>
      <c r="M951" s="10" t="str">
        <f t="shared" si="89"/>
        <v>C11</v>
      </c>
      <c r="N951" s="10" t="str">
        <f t="shared" si="90"/>
        <v>C81</v>
      </c>
      <c r="O951" s="5">
        <f t="shared" si="91"/>
        <v>18.848612197371153</v>
      </c>
      <c r="P951" s="22">
        <f>O951/Explications!$C$8</f>
        <v>0.6282870732457051</v>
      </c>
      <c r="Q951" s="7" t="str">
        <f t="shared" si="92"/>
        <v>C81</v>
      </c>
      <c r="R951" s="7" t="str">
        <f t="shared" si="93"/>
        <v>C11</v>
      </c>
      <c r="S951" s="18">
        <f t="shared" si="94"/>
        <v>18.848612197371153</v>
      </c>
      <c r="T951" s="18">
        <f>S951/Explications!$C$8</f>
        <v>0.6282870732457051</v>
      </c>
    </row>
    <row r="952" spans="7:20">
      <c r="G952" s="10" t="s">
        <v>27</v>
      </c>
      <c r="H952" s="10" t="s">
        <v>98</v>
      </c>
      <c r="I952" s="10">
        <v>46.868299999999998</v>
      </c>
      <c r="J952" s="10">
        <v>-71.167000000000002</v>
      </c>
      <c r="K952" s="10">
        <v>46.795499999999997</v>
      </c>
      <c r="L952" s="10">
        <v>-71.242900000000006</v>
      </c>
      <c r="M952" s="10" t="str">
        <f t="shared" si="89"/>
        <v>C11</v>
      </c>
      <c r="N952" s="10" t="str">
        <f t="shared" si="90"/>
        <v>C82</v>
      </c>
      <c r="O952" s="5">
        <f t="shared" si="91"/>
        <v>9.9432018721689168</v>
      </c>
      <c r="P952" s="22">
        <f>O952/Explications!$C$8</f>
        <v>0.33144006240563056</v>
      </c>
      <c r="Q952" s="7" t="str">
        <f t="shared" si="92"/>
        <v>C82</v>
      </c>
      <c r="R952" s="7" t="str">
        <f t="shared" si="93"/>
        <v>C11</v>
      </c>
      <c r="S952" s="18">
        <f t="shared" si="94"/>
        <v>9.9432018721689168</v>
      </c>
      <c r="T952" s="18">
        <f>S952/Explications!$C$8</f>
        <v>0.33144006240563056</v>
      </c>
    </row>
    <row r="953" spans="7:20">
      <c r="G953" s="10" t="s">
        <v>27</v>
      </c>
      <c r="H953" s="10" t="s">
        <v>99</v>
      </c>
      <c r="I953" s="10">
        <v>46.868299999999998</v>
      </c>
      <c r="J953" s="10">
        <v>-71.167000000000002</v>
      </c>
      <c r="K953" s="10">
        <v>46.8157</v>
      </c>
      <c r="L953" s="10">
        <v>-71.201899999999995</v>
      </c>
      <c r="M953" s="10" t="str">
        <f t="shared" si="89"/>
        <v>C11</v>
      </c>
      <c r="N953" s="10" t="str">
        <f t="shared" si="90"/>
        <v>C83</v>
      </c>
      <c r="O953" s="5">
        <f t="shared" si="91"/>
        <v>6.4230197881552495</v>
      </c>
      <c r="P953" s="22">
        <f>O953/Explications!$C$8</f>
        <v>0.21410065960517499</v>
      </c>
      <c r="Q953" s="7" t="str">
        <f t="shared" si="92"/>
        <v>C83</v>
      </c>
      <c r="R953" s="7" t="str">
        <f t="shared" si="93"/>
        <v>C11</v>
      </c>
      <c r="S953" s="18">
        <f t="shared" si="94"/>
        <v>6.4230197881552495</v>
      </c>
      <c r="T953" s="18">
        <f>S953/Explications!$C$8</f>
        <v>0.21410065960517499</v>
      </c>
    </row>
    <row r="954" spans="7:20">
      <c r="G954" s="10" t="s">
        <v>27</v>
      </c>
      <c r="H954" s="10" t="s">
        <v>100</v>
      </c>
      <c r="I954" s="10">
        <v>46.868299999999998</v>
      </c>
      <c r="J954" s="10">
        <v>-71.167000000000002</v>
      </c>
      <c r="K954" s="10">
        <v>46.837600000000002</v>
      </c>
      <c r="L954" s="10">
        <v>-71.196299999999994</v>
      </c>
      <c r="M954" s="10" t="str">
        <f t="shared" si="89"/>
        <v>C11</v>
      </c>
      <c r="N954" s="10" t="str">
        <f t="shared" si="90"/>
        <v>C84</v>
      </c>
      <c r="O954" s="5">
        <f t="shared" si="91"/>
        <v>4.0764592023738579</v>
      </c>
      <c r="P954" s="22">
        <f>O954/Explications!$C$8</f>
        <v>0.13588197341246194</v>
      </c>
      <c r="Q954" s="7" t="str">
        <f t="shared" si="92"/>
        <v>C84</v>
      </c>
      <c r="R954" s="7" t="str">
        <f t="shared" si="93"/>
        <v>C11</v>
      </c>
      <c r="S954" s="18">
        <f t="shared" si="94"/>
        <v>4.0764592023738579</v>
      </c>
      <c r="T954" s="18">
        <f>S954/Explications!$C$8</f>
        <v>0.13588197341246194</v>
      </c>
    </row>
    <row r="955" spans="7:20">
      <c r="G955" s="10" t="s">
        <v>27</v>
      </c>
      <c r="H955" s="10" t="s">
        <v>101</v>
      </c>
      <c r="I955" s="10">
        <v>46.868299999999998</v>
      </c>
      <c r="J955" s="10">
        <v>-71.167000000000002</v>
      </c>
      <c r="K955" s="10">
        <v>46.7988</v>
      </c>
      <c r="L955" s="10">
        <v>-71.318200000000004</v>
      </c>
      <c r="M955" s="10" t="str">
        <f t="shared" si="89"/>
        <v>C11</v>
      </c>
      <c r="N955" s="10" t="str">
        <f t="shared" si="90"/>
        <v>C85</v>
      </c>
      <c r="O955" s="5">
        <f t="shared" si="91"/>
        <v>13.856985000276987</v>
      </c>
      <c r="P955" s="22">
        <f>O955/Explications!$C$8</f>
        <v>0.46189950000923291</v>
      </c>
      <c r="Q955" s="7" t="str">
        <f t="shared" si="92"/>
        <v>C85</v>
      </c>
      <c r="R955" s="7" t="str">
        <f t="shared" si="93"/>
        <v>C11</v>
      </c>
      <c r="S955" s="18">
        <f t="shared" si="94"/>
        <v>13.856985000276987</v>
      </c>
      <c r="T955" s="18">
        <f>S955/Explications!$C$8</f>
        <v>0.46189950000923291</v>
      </c>
    </row>
    <row r="956" spans="7:20">
      <c r="G956" s="10" t="s">
        <v>28</v>
      </c>
      <c r="H956" s="10" t="s">
        <v>29</v>
      </c>
      <c r="I956" s="10">
        <v>46.895099999999999</v>
      </c>
      <c r="J956" s="10">
        <v>-71.378600000000006</v>
      </c>
      <c r="K956" s="10">
        <v>46.8033</v>
      </c>
      <c r="L956" s="10">
        <v>-71.1691</v>
      </c>
      <c r="M956" s="10" t="str">
        <f t="shared" si="89"/>
        <v>C12</v>
      </c>
      <c r="N956" s="10" t="str">
        <f t="shared" si="90"/>
        <v>C13</v>
      </c>
      <c r="O956" s="5">
        <f t="shared" si="91"/>
        <v>18.921696473390838</v>
      </c>
      <c r="P956" s="22">
        <f>O956/Explications!$C$8</f>
        <v>0.63072321577969459</v>
      </c>
      <c r="Q956" s="7" t="str">
        <f t="shared" si="92"/>
        <v>C13</v>
      </c>
      <c r="R956" s="7" t="str">
        <f t="shared" si="93"/>
        <v>C12</v>
      </c>
      <c r="S956" s="18">
        <f t="shared" si="94"/>
        <v>18.921696473390838</v>
      </c>
      <c r="T956" s="18">
        <f>S956/Explications!$C$8</f>
        <v>0.63072321577969459</v>
      </c>
    </row>
    <row r="957" spans="7:20">
      <c r="G957" s="10" t="s">
        <v>28</v>
      </c>
      <c r="H957" s="10" t="s">
        <v>30</v>
      </c>
      <c r="I957" s="10">
        <v>46.895099999999999</v>
      </c>
      <c r="J957" s="10">
        <v>-71.378600000000006</v>
      </c>
      <c r="K957" s="10">
        <v>46.8596</v>
      </c>
      <c r="L957" s="10">
        <v>-71.267200000000003</v>
      </c>
      <c r="M957" s="10" t="str">
        <f t="shared" si="89"/>
        <v>C12</v>
      </c>
      <c r="N957" s="10" t="str">
        <f t="shared" si="90"/>
        <v>C14</v>
      </c>
      <c r="O957" s="5">
        <f t="shared" si="91"/>
        <v>9.3422898950839173</v>
      </c>
      <c r="P957" s="22">
        <f>O957/Explications!$C$8</f>
        <v>0.31140966316946389</v>
      </c>
      <c r="Q957" s="7" t="str">
        <f t="shared" si="92"/>
        <v>C14</v>
      </c>
      <c r="R957" s="7" t="str">
        <f t="shared" si="93"/>
        <v>C12</v>
      </c>
      <c r="S957" s="18">
        <f t="shared" si="94"/>
        <v>9.3422898950839173</v>
      </c>
      <c r="T957" s="18">
        <f>S957/Explications!$C$8</f>
        <v>0.31140966316946389</v>
      </c>
    </row>
    <row r="958" spans="7:20">
      <c r="G958" s="10" t="s">
        <v>28</v>
      </c>
      <c r="H958" s="10" t="s">
        <v>31</v>
      </c>
      <c r="I958" s="10">
        <v>46.895099999999999</v>
      </c>
      <c r="J958" s="10">
        <v>-71.378600000000006</v>
      </c>
      <c r="K958" s="10">
        <v>46.813499999999998</v>
      </c>
      <c r="L958" s="10">
        <v>-71.215900000000005</v>
      </c>
      <c r="M958" s="10" t="str">
        <f t="shared" si="89"/>
        <v>C12</v>
      </c>
      <c r="N958" s="10" t="str">
        <f t="shared" si="90"/>
        <v>C15</v>
      </c>
      <c r="O958" s="5">
        <f t="shared" si="91"/>
        <v>15.342515491996965</v>
      </c>
      <c r="P958" s="22">
        <f>O958/Explications!$C$8</f>
        <v>0.51141718306656547</v>
      </c>
      <c r="Q958" s="7" t="str">
        <f t="shared" si="92"/>
        <v>C15</v>
      </c>
      <c r="R958" s="7" t="str">
        <f t="shared" si="93"/>
        <v>C12</v>
      </c>
      <c r="S958" s="18">
        <f t="shared" si="94"/>
        <v>15.342515491996965</v>
      </c>
      <c r="T958" s="18">
        <f>S958/Explications!$C$8</f>
        <v>0.51141718306656547</v>
      </c>
    </row>
    <row r="959" spans="7:20">
      <c r="G959" s="10" t="s">
        <v>28</v>
      </c>
      <c r="H959" s="10" t="s">
        <v>32</v>
      </c>
      <c r="I959" s="10">
        <v>46.895099999999999</v>
      </c>
      <c r="J959" s="10">
        <v>-71.378600000000006</v>
      </c>
      <c r="K959" s="10">
        <v>46.733699999999999</v>
      </c>
      <c r="L959" s="10">
        <v>-71.270099999999999</v>
      </c>
      <c r="M959" s="10" t="str">
        <f t="shared" si="89"/>
        <v>C12</v>
      </c>
      <c r="N959" s="10" t="str">
        <f t="shared" si="90"/>
        <v>C16</v>
      </c>
      <c r="O959" s="5">
        <f t="shared" si="91"/>
        <v>19.75503049371514</v>
      </c>
      <c r="P959" s="22">
        <f>O959/Explications!$C$8</f>
        <v>0.6585010164571713</v>
      </c>
      <c r="Q959" s="7" t="str">
        <f t="shared" si="92"/>
        <v>C16</v>
      </c>
      <c r="R959" s="7" t="str">
        <f t="shared" si="93"/>
        <v>C12</v>
      </c>
      <c r="S959" s="18">
        <f t="shared" si="94"/>
        <v>19.75503049371514</v>
      </c>
      <c r="T959" s="18">
        <f>S959/Explications!$C$8</f>
        <v>0.6585010164571713</v>
      </c>
    </row>
    <row r="960" spans="7:20">
      <c r="G960" s="10" t="s">
        <v>28</v>
      </c>
      <c r="H960" s="10" t="s">
        <v>33</v>
      </c>
      <c r="I960" s="10">
        <v>46.895099999999999</v>
      </c>
      <c r="J960" s="10">
        <v>-71.378600000000006</v>
      </c>
      <c r="K960" s="10">
        <v>46.8035</v>
      </c>
      <c r="L960" s="10">
        <v>-71.3553</v>
      </c>
      <c r="M960" s="10" t="str">
        <f t="shared" si="89"/>
        <v>C12</v>
      </c>
      <c r="N960" s="10" t="str">
        <f t="shared" si="90"/>
        <v>C17</v>
      </c>
      <c r="O960" s="5">
        <f t="shared" si="91"/>
        <v>10.338434282469976</v>
      </c>
      <c r="P960" s="22">
        <f>O960/Explications!$C$8</f>
        <v>0.34461447608233253</v>
      </c>
      <c r="Q960" s="7" t="str">
        <f t="shared" si="92"/>
        <v>C17</v>
      </c>
      <c r="R960" s="7" t="str">
        <f t="shared" si="93"/>
        <v>C12</v>
      </c>
      <c r="S960" s="18">
        <f t="shared" si="94"/>
        <v>10.338434282469976</v>
      </c>
      <c r="T960" s="18">
        <f>S960/Explications!$C$8</f>
        <v>0.34461447608233253</v>
      </c>
    </row>
    <row r="961" spans="7:20">
      <c r="G961" s="10" t="s">
        <v>28</v>
      </c>
      <c r="H961" s="10" t="s">
        <v>34</v>
      </c>
      <c r="I961" s="10">
        <v>46.895099999999999</v>
      </c>
      <c r="J961" s="10">
        <v>-71.378600000000006</v>
      </c>
      <c r="K961" s="10">
        <v>46.730200000000004</v>
      </c>
      <c r="L961" s="10">
        <v>-71.274100000000004</v>
      </c>
      <c r="M961" s="10" t="str">
        <f t="shared" si="89"/>
        <v>C12</v>
      </c>
      <c r="N961" s="10" t="str">
        <f t="shared" si="90"/>
        <v>C18</v>
      </c>
      <c r="O961" s="5">
        <f t="shared" si="91"/>
        <v>19.986300085163897</v>
      </c>
      <c r="P961" s="22">
        <f>O961/Explications!$C$8</f>
        <v>0.66621000283879661</v>
      </c>
      <c r="Q961" s="7" t="str">
        <f t="shared" si="92"/>
        <v>C18</v>
      </c>
      <c r="R961" s="7" t="str">
        <f t="shared" si="93"/>
        <v>C12</v>
      </c>
      <c r="S961" s="18">
        <f t="shared" si="94"/>
        <v>19.986300085163897</v>
      </c>
      <c r="T961" s="18">
        <f>S961/Explications!$C$8</f>
        <v>0.66621000283879661</v>
      </c>
    </row>
    <row r="962" spans="7:20">
      <c r="G962" s="10" t="s">
        <v>28</v>
      </c>
      <c r="H962" s="10" t="s">
        <v>35</v>
      </c>
      <c r="I962" s="10">
        <v>46.895099999999999</v>
      </c>
      <c r="J962" s="10">
        <v>-71.378600000000006</v>
      </c>
      <c r="K962" s="10">
        <v>46.785600000000002</v>
      </c>
      <c r="L962" s="10">
        <v>-71.245500000000007</v>
      </c>
      <c r="M962" s="10" t="str">
        <f t="shared" si="89"/>
        <v>C12</v>
      </c>
      <c r="N962" s="10" t="str">
        <f t="shared" si="90"/>
        <v>C19</v>
      </c>
      <c r="O962" s="5">
        <f t="shared" si="91"/>
        <v>15.834799736876594</v>
      </c>
      <c r="P962" s="22">
        <f>O962/Explications!$C$8</f>
        <v>0.52782665789588645</v>
      </c>
      <c r="Q962" s="7" t="str">
        <f t="shared" si="92"/>
        <v>C19</v>
      </c>
      <c r="R962" s="7" t="str">
        <f t="shared" si="93"/>
        <v>C12</v>
      </c>
      <c r="S962" s="18">
        <f t="shared" si="94"/>
        <v>15.834799736876594</v>
      </c>
      <c r="T962" s="18">
        <f>S962/Explications!$C$8</f>
        <v>0.52782665789588645</v>
      </c>
    </row>
    <row r="963" spans="7:20">
      <c r="G963" s="10" t="s">
        <v>28</v>
      </c>
      <c r="H963" s="10" t="s">
        <v>36</v>
      </c>
      <c r="I963" s="10">
        <v>46.895099999999999</v>
      </c>
      <c r="J963" s="10">
        <v>-71.378600000000006</v>
      </c>
      <c r="K963" s="10">
        <v>46.8215</v>
      </c>
      <c r="L963" s="10">
        <v>-71.355400000000003</v>
      </c>
      <c r="M963" s="10" t="str">
        <f t="shared" si="89"/>
        <v>C12</v>
      </c>
      <c r="N963" s="10" t="str">
        <f t="shared" si="90"/>
        <v>C20</v>
      </c>
      <c r="O963" s="5">
        <f t="shared" si="91"/>
        <v>8.3719036898203782</v>
      </c>
      <c r="P963" s="22">
        <f>O963/Explications!$C$8</f>
        <v>0.27906345632734592</v>
      </c>
      <c r="Q963" s="7" t="str">
        <f t="shared" si="92"/>
        <v>C20</v>
      </c>
      <c r="R963" s="7" t="str">
        <f t="shared" si="93"/>
        <v>C12</v>
      </c>
      <c r="S963" s="18">
        <f t="shared" si="94"/>
        <v>8.3719036898203782</v>
      </c>
      <c r="T963" s="18">
        <f>S963/Explications!$C$8</f>
        <v>0.27906345632734592</v>
      </c>
    </row>
    <row r="964" spans="7:20">
      <c r="G964" s="10" t="s">
        <v>28</v>
      </c>
      <c r="H964" s="10" t="s">
        <v>37</v>
      </c>
      <c r="I964" s="10">
        <v>46.895099999999999</v>
      </c>
      <c r="J964" s="10">
        <v>-71.378600000000006</v>
      </c>
      <c r="K964" s="10">
        <v>46.8093</v>
      </c>
      <c r="L964" s="10">
        <v>-71.2273</v>
      </c>
      <c r="M964" s="10" t="str">
        <f t="shared" ref="M964:M1027" si="95">G964</f>
        <v>C12</v>
      </c>
      <c r="N964" s="10" t="str">
        <f t="shared" ref="N964:N1027" si="96">H964</f>
        <v>C21</v>
      </c>
      <c r="O964" s="5">
        <f t="shared" ref="O964:O1027" si="97">ACOS(SIN(RADIANS(I964))*SIN(RADIANS(K964))+COS(RADIANS(I964))*COS(RADIANS(K964))*COS(RADIANS(J964-L964)))*6371</f>
        <v>14.946504596644512</v>
      </c>
      <c r="P964" s="22">
        <f>O964/Explications!$C$8</f>
        <v>0.49821681988815042</v>
      </c>
      <c r="Q964" s="7" t="str">
        <f t="shared" ref="Q964:Q1027" si="98">N964</f>
        <v>C21</v>
      </c>
      <c r="R964" s="7" t="str">
        <f t="shared" ref="R964:R1027" si="99">M964</f>
        <v>C12</v>
      </c>
      <c r="S964" s="18">
        <f t="shared" ref="S964:S1027" si="100">O964</f>
        <v>14.946504596644512</v>
      </c>
      <c r="T964" s="18">
        <f>S964/Explications!$C$8</f>
        <v>0.49821681988815042</v>
      </c>
    </row>
    <row r="965" spans="7:20">
      <c r="G965" s="10" t="s">
        <v>28</v>
      </c>
      <c r="H965" s="10" t="s">
        <v>38</v>
      </c>
      <c r="I965" s="10">
        <v>46.895099999999999</v>
      </c>
      <c r="J965" s="10">
        <v>-71.378600000000006</v>
      </c>
      <c r="K965" s="10">
        <v>46.781300000000002</v>
      </c>
      <c r="L965" s="10">
        <v>-71.301000000000002</v>
      </c>
      <c r="M965" s="10" t="str">
        <f t="shared" si="95"/>
        <v>C12</v>
      </c>
      <c r="N965" s="10" t="str">
        <f t="shared" si="96"/>
        <v>C22</v>
      </c>
      <c r="O965" s="5">
        <f t="shared" si="97"/>
        <v>13.962937038737403</v>
      </c>
      <c r="P965" s="22">
        <f>O965/Explications!$C$8</f>
        <v>0.46543123462458008</v>
      </c>
      <c r="Q965" s="7" t="str">
        <f t="shared" si="98"/>
        <v>C22</v>
      </c>
      <c r="R965" s="7" t="str">
        <f t="shared" si="99"/>
        <v>C12</v>
      </c>
      <c r="S965" s="18">
        <f t="shared" si="100"/>
        <v>13.962937038737403</v>
      </c>
      <c r="T965" s="18">
        <f>S965/Explications!$C$8</f>
        <v>0.46543123462458008</v>
      </c>
    </row>
    <row r="966" spans="7:20">
      <c r="G966" s="10" t="s">
        <v>28</v>
      </c>
      <c r="H966" s="10" t="s">
        <v>39</v>
      </c>
      <c r="I966" s="10">
        <v>46.895099999999999</v>
      </c>
      <c r="J966" s="10">
        <v>-71.378600000000006</v>
      </c>
      <c r="K966" s="10">
        <v>46.844900000000003</v>
      </c>
      <c r="L966" s="10">
        <v>-71.251400000000004</v>
      </c>
      <c r="M966" s="10" t="str">
        <f t="shared" si="95"/>
        <v>C12</v>
      </c>
      <c r="N966" s="10" t="str">
        <f t="shared" si="96"/>
        <v>C23</v>
      </c>
      <c r="O966" s="5">
        <f t="shared" si="97"/>
        <v>11.165132953264639</v>
      </c>
      <c r="P966" s="22">
        <f>O966/Explications!$C$8</f>
        <v>0.37217109844215462</v>
      </c>
      <c r="Q966" s="7" t="str">
        <f t="shared" si="98"/>
        <v>C23</v>
      </c>
      <c r="R966" s="7" t="str">
        <f t="shared" si="99"/>
        <v>C12</v>
      </c>
      <c r="S966" s="18">
        <f t="shared" si="100"/>
        <v>11.165132953264639</v>
      </c>
      <c r="T966" s="18">
        <f>S966/Explications!$C$8</f>
        <v>0.37217109844215462</v>
      </c>
    </row>
    <row r="967" spans="7:20">
      <c r="G967" s="10" t="s">
        <v>28</v>
      </c>
      <c r="H967" s="10" t="s">
        <v>40</v>
      </c>
      <c r="I967" s="10">
        <v>46.895099999999999</v>
      </c>
      <c r="J967" s="10">
        <v>-71.378600000000006</v>
      </c>
      <c r="K967" s="10">
        <v>46.805500000000002</v>
      </c>
      <c r="L967" s="10">
        <v>-71.2196</v>
      </c>
      <c r="M967" s="10" t="str">
        <f t="shared" si="95"/>
        <v>C12</v>
      </c>
      <c r="N967" s="10" t="str">
        <f t="shared" si="96"/>
        <v>C24</v>
      </c>
      <c r="O967" s="5">
        <f t="shared" si="97"/>
        <v>15.667358293105053</v>
      </c>
      <c r="P967" s="22">
        <f>O967/Explications!$C$8</f>
        <v>0.52224527643683516</v>
      </c>
      <c r="Q967" s="7" t="str">
        <f t="shared" si="98"/>
        <v>C24</v>
      </c>
      <c r="R967" s="7" t="str">
        <f t="shared" si="99"/>
        <v>C12</v>
      </c>
      <c r="S967" s="18">
        <f t="shared" si="100"/>
        <v>15.667358293105053</v>
      </c>
      <c r="T967" s="18">
        <f>S967/Explications!$C$8</f>
        <v>0.52224527643683516</v>
      </c>
    </row>
    <row r="968" spans="7:20">
      <c r="G968" s="10" t="s">
        <v>28</v>
      </c>
      <c r="H968" s="10" t="s">
        <v>41</v>
      </c>
      <c r="I968" s="10">
        <v>46.895099999999999</v>
      </c>
      <c r="J968" s="10">
        <v>-71.378600000000006</v>
      </c>
      <c r="K968" s="10">
        <v>46.734900000000003</v>
      </c>
      <c r="L968" s="10">
        <v>-71.266199999999998</v>
      </c>
      <c r="M968" s="10" t="str">
        <f t="shared" si="95"/>
        <v>C12</v>
      </c>
      <c r="N968" s="10" t="str">
        <f t="shared" si="96"/>
        <v>C25</v>
      </c>
      <c r="O968" s="5">
        <f t="shared" si="97"/>
        <v>19.760486956262426</v>
      </c>
      <c r="P968" s="22">
        <f>O968/Explications!$C$8</f>
        <v>0.65868289854208084</v>
      </c>
      <c r="Q968" s="7" t="str">
        <f t="shared" si="98"/>
        <v>C25</v>
      </c>
      <c r="R968" s="7" t="str">
        <f t="shared" si="99"/>
        <v>C12</v>
      </c>
      <c r="S968" s="18">
        <f t="shared" si="100"/>
        <v>19.760486956262426</v>
      </c>
      <c r="T968" s="18">
        <f>S968/Explications!$C$8</f>
        <v>0.65868289854208084</v>
      </c>
    </row>
    <row r="969" spans="7:20">
      <c r="G969" s="10" t="s">
        <v>28</v>
      </c>
      <c r="H969" s="10" t="s">
        <v>42</v>
      </c>
      <c r="I969" s="10">
        <v>46.895099999999999</v>
      </c>
      <c r="J969" s="10">
        <v>-71.378600000000006</v>
      </c>
      <c r="K969" s="10">
        <v>46.817700000000002</v>
      </c>
      <c r="L969" s="10">
        <v>-71.214100000000002</v>
      </c>
      <c r="M969" s="10" t="str">
        <f t="shared" si="95"/>
        <v>C12</v>
      </c>
      <c r="N969" s="10" t="str">
        <f t="shared" si="96"/>
        <v>C26</v>
      </c>
      <c r="O969" s="5">
        <f t="shared" si="97"/>
        <v>15.183187935727416</v>
      </c>
      <c r="P969" s="22">
        <f>O969/Explications!$C$8</f>
        <v>0.50610626452424723</v>
      </c>
      <c r="Q969" s="7" t="str">
        <f t="shared" si="98"/>
        <v>C26</v>
      </c>
      <c r="R969" s="7" t="str">
        <f t="shared" si="99"/>
        <v>C12</v>
      </c>
      <c r="S969" s="18">
        <f t="shared" si="100"/>
        <v>15.183187935727416</v>
      </c>
      <c r="T969" s="18">
        <f>S969/Explications!$C$8</f>
        <v>0.50610626452424723</v>
      </c>
    </row>
    <row r="970" spans="7:20">
      <c r="G970" s="10" t="s">
        <v>28</v>
      </c>
      <c r="H970" s="10" t="s">
        <v>43</v>
      </c>
      <c r="I970" s="10">
        <v>46.895099999999999</v>
      </c>
      <c r="J970" s="10">
        <v>-71.378600000000006</v>
      </c>
      <c r="K970" s="10">
        <v>46.603000000000002</v>
      </c>
      <c r="L970" s="10">
        <v>-71.490600000000001</v>
      </c>
      <c r="M970" s="10" t="str">
        <f t="shared" si="95"/>
        <v>C12</v>
      </c>
      <c r="N970" s="10" t="str">
        <f t="shared" si="96"/>
        <v>C27</v>
      </c>
      <c r="O970" s="5">
        <f t="shared" si="97"/>
        <v>33.582278771868417</v>
      </c>
      <c r="P970" s="22">
        <f>O970/Explications!$C$8</f>
        <v>1.1194092923956138</v>
      </c>
      <c r="Q970" s="7" t="str">
        <f t="shared" si="98"/>
        <v>C27</v>
      </c>
      <c r="R970" s="7" t="str">
        <f t="shared" si="99"/>
        <v>C12</v>
      </c>
      <c r="S970" s="18">
        <f t="shared" si="100"/>
        <v>33.582278771868417</v>
      </c>
      <c r="T970" s="18">
        <f>S970/Explications!$C$8</f>
        <v>1.1194092923956138</v>
      </c>
    </row>
    <row r="971" spans="7:20">
      <c r="G971" s="10" t="s">
        <v>28</v>
      </c>
      <c r="H971" s="10" t="s">
        <v>44</v>
      </c>
      <c r="I971" s="10">
        <v>46.895099999999999</v>
      </c>
      <c r="J971" s="10">
        <v>-71.378600000000006</v>
      </c>
      <c r="K971" s="10">
        <v>47.000500000000002</v>
      </c>
      <c r="L971" s="10">
        <v>-71.388400000000004</v>
      </c>
      <c r="M971" s="10" t="str">
        <f t="shared" si="95"/>
        <v>C12</v>
      </c>
      <c r="N971" s="10" t="str">
        <f t="shared" si="96"/>
        <v>C28</v>
      </c>
      <c r="O971" s="5">
        <f t="shared" si="97"/>
        <v>11.743530692590149</v>
      </c>
      <c r="P971" s="22">
        <f>O971/Explications!$C$8</f>
        <v>0.39145102308633828</v>
      </c>
      <c r="Q971" s="7" t="str">
        <f t="shared" si="98"/>
        <v>C28</v>
      </c>
      <c r="R971" s="7" t="str">
        <f t="shared" si="99"/>
        <v>C12</v>
      </c>
      <c r="S971" s="18">
        <f t="shared" si="100"/>
        <v>11.743530692590149</v>
      </c>
      <c r="T971" s="18">
        <f>S971/Explications!$C$8</f>
        <v>0.39145102308633828</v>
      </c>
    </row>
    <row r="972" spans="7:20">
      <c r="G972" s="10" t="s">
        <v>28</v>
      </c>
      <c r="H972" s="10" t="s">
        <v>45</v>
      </c>
      <c r="I972" s="10">
        <v>46.895099999999999</v>
      </c>
      <c r="J972" s="10">
        <v>-71.378600000000006</v>
      </c>
      <c r="K972" s="10">
        <v>46.839100000000002</v>
      </c>
      <c r="L972" s="10">
        <v>-71.245699999999999</v>
      </c>
      <c r="M972" s="10" t="str">
        <f t="shared" si="95"/>
        <v>C12</v>
      </c>
      <c r="N972" s="10" t="str">
        <f t="shared" si="96"/>
        <v>C29</v>
      </c>
      <c r="O972" s="5">
        <f t="shared" si="97"/>
        <v>11.868224629944466</v>
      </c>
      <c r="P972" s="22">
        <f>O972/Explications!$C$8</f>
        <v>0.39560748766481552</v>
      </c>
      <c r="Q972" s="7" t="str">
        <f t="shared" si="98"/>
        <v>C29</v>
      </c>
      <c r="R972" s="7" t="str">
        <f t="shared" si="99"/>
        <v>C12</v>
      </c>
      <c r="S972" s="18">
        <f t="shared" si="100"/>
        <v>11.868224629944466</v>
      </c>
      <c r="T972" s="18">
        <f>S972/Explications!$C$8</f>
        <v>0.39560748766481552</v>
      </c>
    </row>
    <row r="973" spans="7:20">
      <c r="G973" s="10" t="s">
        <v>28</v>
      </c>
      <c r="H973" s="10" t="s">
        <v>46</v>
      </c>
      <c r="I973" s="10">
        <v>46.895099999999999</v>
      </c>
      <c r="J973" s="10">
        <v>-71.378600000000006</v>
      </c>
      <c r="K973" s="10">
        <v>46.865699999999997</v>
      </c>
      <c r="L973" s="10">
        <v>-71.27</v>
      </c>
      <c r="M973" s="10" t="str">
        <f t="shared" si="95"/>
        <v>C12</v>
      </c>
      <c r="N973" s="10" t="str">
        <f t="shared" si="96"/>
        <v>C30</v>
      </c>
      <c r="O973" s="5">
        <f t="shared" si="97"/>
        <v>8.8778885070395166</v>
      </c>
      <c r="P973" s="22">
        <f>O973/Explications!$C$8</f>
        <v>0.29592961690131719</v>
      </c>
      <c r="Q973" s="7" t="str">
        <f t="shared" si="98"/>
        <v>C30</v>
      </c>
      <c r="R973" s="7" t="str">
        <f t="shared" si="99"/>
        <v>C12</v>
      </c>
      <c r="S973" s="18">
        <f t="shared" si="100"/>
        <v>8.8778885070395166</v>
      </c>
      <c r="T973" s="18">
        <f>S973/Explications!$C$8</f>
        <v>0.29592961690131719</v>
      </c>
    </row>
    <row r="974" spans="7:20">
      <c r="G974" s="10" t="s">
        <v>28</v>
      </c>
      <c r="H974" s="10" t="s">
        <v>47</v>
      </c>
      <c r="I974" s="10">
        <v>46.895099999999999</v>
      </c>
      <c r="J974" s="10">
        <v>-71.378600000000006</v>
      </c>
      <c r="K974" s="10">
        <v>46.805500000000002</v>
      </c>
      <c r="L974" s="10">
        <v>-71.217299999999994</v>
      </c>
      <c r="M974" s="10" t="str">
        <f t="shared" si="95"/>
        <v>C12</v>
      </c>
      <c r="N974" s="10" t="str">
        <f t="shared" si="96"/>
        <v>C31</v>
      </c>
      <c r="O974" s="5">
        <f t="shared" si="97"/>
        <v>15.80273686204035</v>
      </c>
      <c r="P974" s="22">
        <f>O974/Explications!$C$8</f>
        <v>0.52675789540134499</v>
      </c>
      <c r="Q974" s="7" t="str">
        <f t="shared" si="98"/>
        <v>C31</v>
      </c>
      <c r="R974" s="7" t="str">
        <f t="shared" si="99"/>
        <v>C12</v>
      </c>
      <c r="S974" s="18">
        <f t="shared" si="100"/>
        <v>15.80273686204035</v>
      </c>
      <c r="T974" s="18">
        <f>S974/Explications!$C$8</f>
        <v>0.52675789540134499</v>
      </c>
    </row>
    <row r="975" spans="7:20">
      <c r="G975" s="10" t="s">
        <v>28</v>
      </c>
      <c r="H975" s="10" t="s">
        <v>48</v>
      </c>
      <c r="I975" s="10">
        <v>46.895099999999999</v>
      </c>
      <c r="J975" s="10">
        <v>-71.378600000000006</v>
      </c>
      <c r="K975" s="10">
        <v>46.792299999999997</v>
      </c>
      <c r="L975" s="10">
        <v>-71.172899999999998</v>
      </c>
      <c r="M975" s="10" t="str">
        <f t="shared" si="95"/>
        <v>C12</v>
      </c>
      <c r="N975" s="10" t="str">
        <f t="shared" si="96"/>
        <v>C32</v>
      </c>
      <c r="O975" s="5">
        <f t="shared" si="97"/>
        <v>19.37583378836279</v>
      </c>
      <c r="P975" s="22">
        <f>O975/Explications!$C$8</f>
        <v>0.64586112627875969</v>
      </c>
      <c r="Q975" s="7" t="str">
        <f t="shared" si="98"/>
        <v>C32</v>
      </c>
      <c r="R975" s="7" t="str">
        <f t="shared" si="99"/>
        <v>C12</v>
      </c>
      <c r="S975" s="18">
        <f t="shared" si="100"/>
        <v>19.37583378836279</v>
      </c>
      <c r="T975" s="18">
        <f>S975/Explications!$C$8</f>
        <v>0.64586112627875969</v>
      </c>
    </row>
    <row r="976" spans="7:20">
      <c r="G976" s="10" t="s">
        <v>28</v>
      </c>
      <c r="H976" s="10" t="s">
        <v>49</v>
      </c>
      <c r="I976" s="10">
        <v>46.895099999999999</v>
      </c>
      <c r="J976" s="10">
        <v>-71.378600000000006</v>
      </c>
      <c r="K976" s="10">
        <v>46.7883</v>
      </c>
      <c r="L976" s="10">
        <v>-71.131200000000007</v>
      </c>
      <c r="M976" s="10" t="str">
        <f t="shared" si="95"/>
        <v>C12</v>
      </c>
      <c r="N976" s="10" t="str">
        <f t="shared" si="96"/>
        <v>C33</v>
      </c>
      <c r="O976" s="5">
        <f t="shared" si="97"/>
        <v>22.251074809515995</v>
      </c>
      <c r="P976" s="22">
        <f>O976/Explications!$C$8</f>
        <v>0.7417024936505332</v>
      </c>
      <c r="Q976" s="7" t="str">
        <f t="shared" si="98"/>
        <v>C33</v>
      </c>
      <c r="R976" s="7" t="str">
        <f t="shared" si="99"/>
        <v>C12</v>
      </c>
      <c r="S976" s="18">
        <f t="shared" si="100"/>
        <v>22.251074809515995</v>
      </c>
      <c r="T976" s="18">
        <f>S976/Explications!$C$8</f>
        <v>0.7417024936505332</v>
      </c>
    </row>
    <row r="977" spans="7:20">
      <c r="G977" s="10" t="s">
        <v>28</v>
      </c>
      <c r="H977" s="10" t="s">
        <v>50</v>
      </c>
      <c r="I977" s="10">
        <v>46.895099999999999</v>
      </c>
      <c r="J977" s="10">
        <v>-71.378600000000006</v>
      </c>
      <c r="K977" s="10">
        <v>46.8611</v>
      </c>
      <c r="L977" s="10">
        <v>-71.268799999999999</v>
      </c>
      <c r="M977" s="10" t="str">
        <f t="shared" si="95"/>
        <v>C12</v>
      </c>
      <c r="N977" s="10" t="str">
        <f t="shared" si="96"/>
        <v>C34</v>
      </c>
      <c r="O977" s="5">
        <f t="shared" si="97"/>
        <v>9.1620274781487296</v>
      </c>
      <c r="P977" s="22">
        <f>O977/Explications!$C$8</f>
        <v>0.305400915938291</v>
      </c>
      <c r="Q977" s="7" t="str">
        <f t="shared" si="98"/>
        <v>C34</v>
      </c>
      <c r="R977" s="7" t="str">
        <f t="shared" si="99"/>
        <v>C12</v>
      </c>
      <c r="S977" s="18">
        <f t="shared" si="100"/>
        <v>9.1620274781487296</v>
      </c>
      <c r="T977" s="18">
        <f>S977/Explications!$C$8</f>
        <v>0.305400915938291</v>
      </c>
    </row>
    <row r="978" spans="7:20">
      <c r="G978" s="10" t="s">
        <v>28</v>
      </c>
      <c r="H978" s="10" t="s">
        <v>51</v>
      </c>
      <c r="I978" s="10">
        <v>46.895099999999999</v>
      </c>
      <c r="J978" s="10">
        <v>-71.378600000000006</v>
      </c>
      <c r="K978" s="10">
        <v>46.869700000000002</v>
      </c>
      <c r="L978" s="10">
        <v>-71.205200000000005</v>
      </c>
      <c r="M978" s="10" t="str">
        <f t="shared" si="95"/>
        <v>C12</v>
      </c>
      <c r="N978" s="10" t="str">
        <f t="shared" si="96"/>
        <v>C35</v>
      </c>
      <c r="O978" s="5">
        <f t="shared" si="97"/>
        <v>13.47790857647637</v>
      </c>
      <c r="P978" s="22">
        <f>O978/Explications!$C$8</f>
        <v>0.44926361921587898</v>
      </c>
      <c r="Q978" s="7" t="str">
        <f t="shared" si="98"/>
        <v>C35</v>
      </c>
      <c r="R978" s="7" t="str">
        <f t="shared" si="99"/>
        <v>C12</v>
      </c>
      <c r="S978" s="18">
        <f t="shared" si="100"/>
        <v>13.47790857647637</v>
      </c>
      <c r="T978" s="18">
        <f>S978/Explications!$C$8</f>
        <v>0.44926361921587898</v>
      </c>
    </row>
    <row r="979" spans="7:20">
      <c r="G979" s="10" t="s">
        <v>28</v>
      </c>
      <c r="H979" s="10" t="s">
        <v>52</v>
      </c>
      <c r="I979" s="10">
        <v>46.895099999999999</v>
      </c>
      <c r="J979" s="10">
        <v>-71.378600000000006</v>
      </c>
      <c r="K979" s="10">
        <v>46.774099999999997</v>
      </c>
      <c r="L979" s="10">
        <v>-71.174000000000007</v>
      </c>
      <c r="M979" s="10" t="str">
        <f t="shared" si="95"/>
        <v>C12</v>
      </c>
      <c r="N979" s="10" t="str">
        <f t="shared" si="96"/>
        <v>C36</v>
      </c>
      <c r="O979" s="5">
        <f t="shared" si="97"/>
        <v>20.573184958633199</v>
      </c>
      <c r="P979" s="22">
        <f>O979/Explications!$C$8</f>
        <v>0.68577283195443994</v>
      </c>
      <c r="Q979" s="7" t="str">
        <f t="shared" si="98"/>
        <v>C36</v>
      </c>
      <c r="R979" s="7" t="str">
        <f t="shared" si="99"/>
        <v>C12</v>
      </c>
      <c r="S979" s="18">
        <f t="shared" si="100"/>
        <v>20.573184958633199</v>
      </c>
      <c r="T979" s="18">
        <f>S979/Explications!$C$8</f>
        <v>0.68577283195443994</v>
      </c>
    </row>
    <row r="980" spans="7:20">
      <c r="G980" s="10" t="s">
        <v>28</v>
      </c>
      <c r="H980" s="10" t="s">
        <v>53</v>
      </c>
      <c r="I980" s="10">
        <v>46.895099999999999</v>
      </c>
      <c r="J980" s="10">
        <v>-71.378600000000006</v>
      </c>
      <c r="K980" s="10">
        <v>46.808500000000002</v>
      </c>
      <c r="L980" s="10">
        <v>-71.326599999999999</v>
      </c>
      <c r="M980" s="10" t="str">
        <f t="shared" si="95"/>
        <v>C12</v>
      </c>
      <c r="N980" s="10" t="str">
        <f t="shared" si="96"/>
        <v>C37</v>
      </c>
      <c r="O980" s="5">
        <f t="shared" si="97"/>
        <v>10.409785184662352</v>
      </c>
      <c r="P980" s="22">
        <f>O980/Explications!$C$8</f>
        <v>0.3469928394887451</v>
      </c>
      <c r="Q980" s="7" t="str">
        <f t="shared" si="98"/>
        <v>C37</v>
      </c>
      <c r="R980" s="7" t="str">
        <f t="shared" si="99"/>
        <v>C12</v>
      </c>
      <c r="S980" s="18">
        <f t="shared" si="100"/>
        <v>10.409785184662352</v>
      </c>
      <c r="T980" s="18">
        <f>S980/Explications!$C$8</f>
        <v>0.3469928394887451</v>
      </c>
    </row>
    <row r="981" spans="7:20">
      <c r="G981" s="10" t="s">
        <v>28</v>
      </c>
      <c r="H981" s="10" t="s">
        <v>54</v>
      </c>
      <c r="I981" s="10">
        <v>46.895099999999999</v>
      </c>
      <c r="J981" s="10">
        <v>-71.378600000000006</v>
      </c>
      <c r="K981" s="10">
        <v>46.797499999999999</v>
      </c>
      <c r="L981" s="10">
        <v>-71.306100000000001</v>
      </c>
      <c r="M981" s="10" t="str">
        <f t="shared" si="95"/>
        <v>C12</v>
      </c>
      <c r="N981" s="10" t="str">
        <f t="shared" si="96"/>
        <v>C38</v>
      </c>
      <c r="O981" s="5">
        <f t="shared" si="97"/>
        <v>12.172986552748029</v>
      </c>
      <c r="P981" s="22">
        <f>O981/Explications!$C$8</f>
        <v>0.40576621842493427</v>
      </c>
      <c r="Q981" s="7" t="str">
        <f t="shared" si="98"/>
        <v>C38</v>
      </c>
      <c r="R981" s="7" t="str">
        <f t="shared" si="99"/>
        <v>C12</v>
      </c>
      <c r="S981" s="18">
        <f t="shared" si="100"/>
        <v>12.172986552748029</v>
      </c>
      <c r="T981" s="18">
        <f>S981/Explications!$C$8</f>
        <v>0.40576621842493427</v>
      </c>
    </row>
    <row r="982" spans="7:20">
      <c r="G982" s="10" t="s">
        <v>28</v>
      </c>
      <c r="H982" s="10" t="s">
        <v>55</v>
      </c>
      <c r="I982" s="10">
        <v>46.895099999999999</v>
      </c>
      <c r="J982" s="10">
        <v>-71.378600000000006</v>
      </c>
      <c r="K982" s="10">
        <v>46.8155</v>
      </c>
      <c r="L982" s="10">
        <v>-71.268199999999993</v>
      </c>
      <c r="M982" s="10" t="str">
        <f t="shared" si="95"/>
        <v>C12</v>
      </c>
      <c r="N982" s="10" t="str">
        <f t="shared" si="96"/>
        <v>C39</v>
      </c>
      <c r="O982" s="5">
        <f t="shared" si="97"/>
        <v>12.198972820954577</v>
      </c>
      <c r="P982" s="22">
        <f>O982/Explications!$C$8</f>
        <v>0.40663242736515254</v>
      </c>
      <c r="Q982" s="7" t="str">
        <f t="shared" si="98"/>
        <v>C39</v>
      </c>
      <c r="R982" s="7" t="str">
        <f t="shared" si="99"/>
        <v>C12</v>
      </c>
      <c r="S982" s="18">
        <f t="shared" si="100"/>
        <v>12.198972820954577</v>
      </c>
      <c r="T982" s="18">
        <f>S982/Explications!$C$8</f>
        <v>0.40663242736515254</v>
      </c>
    </row>
    <row r="983" spans="7:20">
      <c r="G983" s="10" t="s">
        <v>28</v>
      </c>
      <c r="H983" s="10" t="s">
        <v>56</v>
      </c>
      <c r="I983" s="10">
        <v>46.895099999999999</v>
      </c>
      <c r="J983" s="10">
        <v>-71.378600000000006</v>
      </c>
      <c r="K983" s="10">
        <v>46.866700000000002</v>
      </c>
      <c r="L983" s="10">
        <v>-71.215900000000005</v>
      </c>
      <c r="M983" s="10" t="str">
        <f t="shared" si="95"/>
        <v>C12</v>
      </c>
      <c r="N983" s="10" t="str">
        <f t="shared" si="96"/>
        <v>C40</v>
      </c>
      <c r="O983" s="5">
        <f t="shared" si="97"/>
        <v>12.762652603792992</v>
      </c>
      <c r="P983" s="22">
        <f>O983/Explications!$C$8</f>
        <v>0.42542175345976641</v>
      </c>
      <c r="Q983" s="7" t="str">
        <f t="shared" si="98"/>
        <v>C40</v>
      </c>
      <c r="R983" s="7" t="str">
        <f t="shared" si="99"/>
        <v>C12</v>
      </c>
      <c r="S983" s="18">
        <f t="shared" si="100"/>
        <v>12.762652603792992</v>
      </c>
      <c r="T983" s="18">
        <f>S983/Explications!$C$8</f>
        <v>0.42542175345976641</v>
      </c>
    </row>
    <row r="984" spans="7:20">
      <c r="G984" s="10" t="s">
        <v>28</v>
      </c>
      <c r="H984" s="10" t="s">
        <v>57</v>
      </c>
      <c r="I984" s="10">
        <v>46.895099999999999</v>
      </c>
      <c r="J984" s="10">
        <v>-71.378600000000006</v>
      </c>
      <c r="K984" s="10">
        <v>46.762099999999997</v>
      </c>
      <c r="L984" s="10">
        <v>-71.235399999999998</v>
      </c>
      <c r="M984" s="10" t="str">
        <f t="shared" si="95"/>
        <v>C12</v>
      </c>
      <c r="N984" s="10" t="str">
        <f t="shared" si="96"/>
        <v>C41</v>
      </c>
      <c r="O984" s="5">
        <f t="shared" si="97"/>
        <v>18.368407073459295</v>
      </c>
      <c r="P984" s="22">
        <f>O984/Explications!$C$8</f>
        <v>0.61228023578197655</v>
      </c>
      <c r="Q984" s="7" t="str">
        <f t="shared" si="98"/>
        <v>C41</v>
      </c>
      <c r="R984" s="7" t="str">
        <f t="shared" si="99"/>
        <v>C12</v>
      </c>
      <c r="S984" s="18">
        <f t="shared" si="100"/>
        <v>18.368407073459295</v>
      </c>
      <c r="T984" s="18">
        <f>S984/Explications!$C$8</f>
        <v>0.61228023578197655</v>
      </c>
    </row>
    <row r="985" spans="7:20">
      <c r="G985" s="10" t="s">
        <v>28</v>
      </c>
      <c r="H985" s="10" t="s">
        <v>58</v>
      </c>
      <c r="I985" s="10">
        <v>46.895099999999999</v>
      </c>
      <c r="J985" s="10">
        <v>-71.378600000000006</v>
      </c>
      <c r="K985" s="10">
        <v>46.8157</v>
      </c>
      <c r="L985" s="10">
        <v>-71.2042</v>
      </c>
      <c r="M985" s="10" t="str">
        <f t="shared" si="95"/>
        <v>C12</v>
      </c>
      <c r="N985" s="10" t="str">
        <f t="shared" si="96"/>
        <v>C42</v>
      </c>
      <c r="O985" s="5">
        <f t="shared" si="97"/>
        <v>15.931472981830556</v>
      </c>
      <c r="P985" s="22">
        <f>O985/Explications!$C$8</f>
        <v>0.53104909939435185</v>
      </c>
      <c r="Q985" s="7" t="str">
        <f t="shared" si="98"/>
        <v>C42</v>
      </c>
      <c r="R985" s="7" t="str">
        <f t="shared" si="99"/>
        <v>C12</v>
      </c>
      <c r="S985" s="18">
        <f t="shared" si="100"/>
        <v>15.931472981830556</v>
      </c>
      <c r="T985" s="18">
        <f>S985/Explications!$C$8</f>
        <v>0.53104909939435185</v>
      </c>
    </row>
    <row r="986" spans="7:20">
      <c r="G986" s="10" t="s">
        <v>28</v>
      </c>
      <c r="H986" s="10" t="s">
        <v>59</v>
      </c>
      <c r="I986" s="10">
        <v>46.895099999999999</v>
      </c>
      <c r="J986" s="10">
        <v>-71.378600000000006</v>
      </c>
      <c r="K986" s="10">
        <v>46.707000000000001</v>
      </c>
      <c r="L986" s="10">
        <v>-71.217100000000002</v>
      </c>
      <c r="M986" s="10" t="str">
        <f t="shared" si="95"/>
        <v>C12</v>
      </c>
      <c r="N986" s="10" t="str">
        <f t="shared" si="96"/>
        <v>C43</v>
      </c>
      <c r="O986" s="5">
        <f t="shared" si="97"/>
        <v>24.260721597968832</v>
      </c>
      <c r="P986" s="22">
        <f>O986/Explications!$C$8</f>
        <v>0.80869071993229436</v>
      </c>
      <c r="Q986" s="7" t="str">
        <f t="shared" si="98"/>
        <v>C43</v>
      </c>
      <c r="R986" s="7" t="str">
        <f t="shared" si="99"/>
        <v>C12</v>
      </c>
      <c r="S986" s="18">
        <f t="shared" si="100"/>
        <v>24.260721597968832</v>
      </c>
      <c r="T986" s="18">
        <f>S986/Explications!$C$8</f>
        <v>0.80869071993229436</v>
      </c>
    </row>
    <row r="987" spans="7:20">
      <c r="G987" s="10" t="s">
        <v>28</v>
      </c>
      <c r="H987" s="10" t="s">
        <v>60</v>
      </c>
      <c r="I987" s="10">
        <v>46.895099999999999</v>
      </c>
      <c r="J987" s="10">
        <v>-71.378600000000006</v>
      </c>
      <c r="K987" s="10">
        <v>46.802900000000001</v>
      </c>
      <c r="L987" s="10">
        <v>-71.228899999999996</v>
      </c>
      <c r="M987" s="10" t="str">
        <f t="shared" si="95"/>
        <v>C12</v>
      </c>
      <c r="N987" s="10" t="str">
        <f t="shared" si="96"/>
        <v>C44</v>
      </c>
      <c r="O987" s="5">
        <f t="shared" si="97"/>
        <v>15.320374987170972</v>
      </c>
      <c r="P987" s="22">
        <f>O987/Explications!$C$8</f>
        <v>0.51067916623903242</v>
      </c>
      <c r="Q987" s="7" t="str">
        <f t="shared" si="98"/>
        <v>C44</v>
      </c>
      <c r="R987" s="7" t="str">
        <f t="shared" si="99"/>
        <v>C12</v>
      </c>
      <c r="S987" s="18">
        <f t="shared" si="100"/>
        <v>15.320374987170972</v>
      </c>
      <c r="T987" s="18">
        <f>S987/Explications!$C$8</f>
        <v>0.51067916623903242</v>
      </c>
    </row>
    <row r="988" spans="7:20">
      <c r="G988" s="10" t="s">
        <v>28</v>
      </c>
      <c r="H988" s="10" t="s">
        <v>61</v>
      </c>
      <c r="I988" s="10">
        <v>46.895099999999999</v>
      </c>
      <c r="J988" s="10">
        <v>-71.378600000000006</v>
      </c>
      <c r="K988" s="10">
        <v>46.796900000000001</v>
      </c>
      <c r="L988" s="10">
        <v>-71.3078</v>
      </c>
      <c r="M988" s="10" t="str">
        <f t="shared" si="95"/>
        <v>C12</v>
      </c>
      <c r="N988" s="10" t="str">
        <f t="shared" si="96"/>
        <v>C45</v>
      </c>
      <c r="O988" s="5">
        <f t="shared" si="97"/>
        <v>12.174787264511464</v>
      </c>
      <c r="P988" s="22">
        <f>O988/Explications!$C$8</f>
        <v>0.4058262421503821</v>
      </c>
      <c r="Q988" s="7" t="str">
        <f t="shared" si="98"/>
        <v>C45</v>
      </c>
      <c r="R988" s="7" t="str">
        <f t="shared" si="99"/>
        <v>C12</v>
      </c>
      <c r="S988" s="18">
        <f t="shared" si="100"/>
        <v>12.174787264511464</v>
      </c>
      <c r="T988" s="18">
        <f>S988/Explications!$C$8</f>
        <v>0.4058262421503821</v>
      </c>
    </row>
    <row r="989" spans="7:20">
      <c r="G989" s="10" t="s">
        <v>28</v>
      </c>
      <c r="H989" s="10" t="s">
        <v>62</v>
      </c>
      <c r="I989" s="10">
        <v>46.895099999999999</v>
      </c>
      <c r="J989" s="10">
        <v>-71.378600000000006</v>
      </c>
      <c r="K989" s="10">
        <v>46.803600000000003</v>
      </c>
      <c r="L989" s="10">
        <v>-71.231099999999998</v>
      </c>
      <c r="M989" s="10" t="str">
        <f t="shared" si="95"/>
        <v>C12</v>
      </c>
      <c r="N989" s="10" t="str">
        <f t="shared" si="96"/>
        <v>C46</v>
      </c>
      <c r="O989" s="5">
        <f t="shared" si="97"/>
        <v>15.144005343819675</v>
      </c>
      <c r="P989" s="22">
        <f>O989/Explications!$C$8</f>
        <v>0.50480017812732247</v>
      </c>
      <c r="Q989" s="7" t="str">
        <f t="shared" si="98"/>
        <v>C46</v>
      </c>
      <c r="R989" s="7" t="str">
        <f t="shared" si="99"/>
        <v>C12</v>
      </c>
      <c r="S989" s="18">
        <f t="shared" si="100"/>
        <v>15.144005343819675</v>
      </c>
      <c r="T989" s="18">
        <f>S989/Explications!$C$8</f>
        <v>0.50480017812732247</v>
      </c>
    </row>
    <row r="990" spans="7:20">
      <c r="G990" s="10" t="s">
        <v>28</v>
      </c>
      <c r="H990" s="10" t="s">
        <v>63</v>
      </c>
      <c r="I990" s="10">
        <v>46.895099999999999</v>
      </c>
      <c r="J990" s="10">
        <v>-71.378600000000006</v>
      </c>
      <c r="K990" s="10">
        <v>46.802399999999999</v>
      </c>
      <c r="L990" s="10">
        <v>-71.269800000000004</v>
      </c>
      <c r="M990" s="10" t="str">
        <f t="shared" si="95"/>
        <v>C12</v>
      </c>
      <c r="N990" s="10" t="str">
        <f t="shared" si="96"/>
        <v>C47</v>
      </c>
      <c r="O990" s="5">
        <f t="shared" si="97"/>
        <v>13.217851280021092</v>
      </c>
      <c r="P990" s="22">
        <f>O990/Explications!$C$8</f>
        <v>0.44059504266736976</v>
      </c>
      <c r="Q990" s="7" t="str">
        <f t="shared" si="98"/>
        <v>C47</v>
      </c>
      <c r="R990" s="7" t="str">
        <f t="shared" si="99"/>
        <v>C12</v>
      </c>
      <c r="S990" s="18">
        <f t="shared" si="100"/>
        <v>13.217851280021092</v>
      </c>
      <c r="T990" s="18">
        <f>S990/Explications!$C$8</f>
        <v>0.44059504266736976</v>
      </c>
    </row>
    <row r="991" spans="7:20">
      <c r="G991" s="10" t="s">
        <v>28</v>
      </c>
      <c r="H991" s="10" t="s">
        <v>64</v>
      </c>
      <c r="I991" s="10">
        <v>46.895099999999999</v>
      </c>
      <c r="J991" s="10">
        <v>-71.378600000000006</v>
      </c>
      <c r="K991" s="10">
        <v>46.826799999999999</v>
      </c>
      <c r="L991" s="10">
        <v>-71.224199999999996</v>
      </c>
      <c r="M991" s="10" t="str">
        <f t="shared" si="95"/>
        <v>C12</v>
      </c>
      <c r="N991" s="10" t="str">
        <f t="shared" si="96"/>
        <v>C48</v>
      </c>
      <c r="O991" s="5">
        <f t="shared" si="97"/>
        <v>13.981765941753668</v>
      </c>
      <c r="P991" s="22">
        <f>O991/Explications!$C$8</f>
        <v>0.46605886472512226</v>
      </c>
      <c r="Q991" s="7" t="str">
        <f t="shared" si="98"/>
        <v>C48</v>
      </c>
      <c r="R991" s="7" t="str">
        <f t="shared" si="99"/>
        <v>C12</v>
      </c>
      <c r="S991" s="18">
        <f t="shared" si="100"/>
        <v>13.981765941753668</v>
      </c>
      <c r="T991" s="18">
        <f>S991/Explications!$C$8</f>
        <v>0.46605886472512226</v>
      </c>
    </row>
    <row r="992" spans="7:20">
      <c r="G992" s="10" t="s">
        <v>28</v>
      </c>
      <c r="H992" s="10" t="s">
        <v>65</v>
      </c>
      <c r="I992" s="10">
        <v>46.895099999999999</v>
      </c>
      <c r="J992" s="10">
        <v>-71.378600000000006</v>
      </c>
      <c r="K992" s="10">
        <v>46.864100000000001</v>
      </c>
      <c r="L992" s="10">
        <v>-71.255499999999998</v>
      </c>
      <c r="M992" s="10" t="str">
        <f t="shared" si="95"/>
        <v>C12</v>
      </c>
      <c r="N992" s="10" t="str">
        <f t="shared" si="96"/>
        <v>C49</v>
      </c>
      <c r="O992" s="5">
        <f t="shared" si="97"/>
        <v>9.9710556188154378</v>
      </c>
      <c r="P992" s="22">
        <f>O992/Explications!$C$8</f>
        <v>0.33236852062718125</v>
      </c>
      <c r="Q992" s="7" t="str">
        <f t="shared" si="98"/>
        <v>C49</v>
      </c>
      <c r="R992" s="7" t="str">
        <f t="shared" si="99"/>
        <v>C12</v>
      </c>
      <c r="S992" s="18">
        <f t="shared" si="100"/>
        <v>9.9710556188154378</v>
      </c>
      <c r="T992" s="18">
        <f>S992/Explications!$C$8</f>
        <v>0.33236852062718125</v>
      </c>
    </row>
    <row r="993" spans="7:20">
      <c r="G993" s="10" t="s">
        <v>28</v>
      </c>
      <c r="H993" s="10" t="s">
        <v>66</v>
      </c>
      <c r="I993" s="10">
        <v>46.895099999999999</v>
      </c>
      <c r="J993" s="10">
        <v>-71.378600000000006</v>
      </c>
      <c r="K993" s="10">
        <v>46.843800000000002</v>
      </c>
      <c r="L993" s="10">
        <v>-71.247299999999996</v>
      </c>
      <c r="M993" s="10" t="str">
        <f t="shared" si="95"/>
        <v>C12</v>
      </c>
      <c r="N993" s="10" t="str">
        <f t="shared" si="96"/>
        <v>C50</v>
      </c>
      <c r="O993" s="5">
        <f t="shared" si="97"/>
        <v>11.496411296579868</v>
      </c>
      <c r="P993" s="22">
        <f>O993/Explications!$C$8</f>
        <v>0.38321370988599562</v>
      </c>
      <c r="Q993" s="7" t="str">
        <f t="shared" si="98"/>
        <v>C50</v>
      </c>
      <c r="R993" s="7" t="str">
        <f t="shared" si="99"/>
        <v>C12</v>
      </c>
      <c r="S993" s="18">
        <f t="shared" si="100"/>
        <v>11.496411296579868</v>
      </c>
      <c r="T993" s="18">
        <f>S993/Explications!$C$8</f>
        <v>0.38321370988599562</v>
      </c>
    </row>
    <row r="994" spans="7:20">
      <c r="G994" s="10" t="s">
        <v>28</v>
      </c>
      <c r="H994" s="10" t="s">
        <v>67</v>
      </c>
      <c r="I994" s="10">
        <v>46.895099999999999</v>
      </c>
      <c r="J994" s="10">
        <v>-71.378600000000006</v>
      </c>
      <c r="K994" s="10">
        <v>46.765599999999999</v>
      </c>
      <c r="L994" s="10">
        <v>-71.312100000000001</v>
      </c>
      <c r="M994" s="10" t="str">
        <f t="shared" si="95"/>
        <v>C12</v>
      </c>
      <c r="N994" s="10" t="str">
        <f t="shared" si="96"/>
        <v>C51</v>
      </c>
      <c r="O994" s="5">
        <f t="shared" si="97"/>
        <v>15.262570227390281</v>
      </c>
      <c r="P994" s="22">
        <f>O994/Explications!$C$8</f>
        <v>0.50875234091300936</v>
      </c>
      <c r="Q994" s="7" t="str">
        <f t="shared" si="98"/>
        <v>C51</v>
      </c>
      <c r="R994" s="7" t="str">
        <f t="shared" si="99"/>
        <v>C12</v>
      </c>
      <c r="S994" s="18">
        <f t="shared" si="100"/>
        <v>15.262570227390281</v>
      </c>
      <c r="T994" s="18">
        <f>S994/Explications!$C$8</f>
        <v>0.50875234091300936</v>
      </c>
    </row>
    <row r="995" spans="7:20">
      <c r="G995" s="10" t="s">
        <v>28</v>
      </c>
      <c r="H995" s="10" t="s">
        <v>68</v>
      </c>
      <c r="I995" s="10">
        <v>46.895099999999999</v>
      </c>
      <c r="J995" s="10">
        <v>-71.378600000000006</v>
      </c>
      <c r="K995" s="10">
        <v>46.787599999999998</v>
      </c>
      <c r="L995" s="10">
        <v>-71.288600000000002</v>
      </c>
      <c r="M995" s="10" t="str">
        <f t="shared" si="95"/>
        <v>C12</v>
      </c>
      <c r="N995" s="10" t="str">
        <f t="shared" si="96"/>
        <v>C52</v>
      </c>
      <c r="O995" s="5">
        <f t="shared" si="97"/>
        <v>13.774762328736745</v>
      </c>
      <c r="P995" s="22">
        <f>O995/Explications!$C$8</f>
        <v>0.45915874429122483</v>
      </c>
      <c r="Q995" s="7" t="str">
        <f t="shared" si="98"/>
        <v>C52</v>
      </c>
      <c r="R995" s="7" t="str">
        <f t="shared" si="99"/>
        <v>C12</v>
      </c>
      <c r="S995" s="18">
        <f t="shared" si="100"/>
        <v>13.774762328736745</v>
      </c>
      <c r="T995" s="18">
        <f>S995/Explications!$C$8</f>
        <v>0.45915874429122483</v>
      </c>
    </row>
    <row r="996" spans="7:20">
      <c r="G996" s="10" t="s">
        <v>28</v>
      </c>
      <c r="H996" s="10" t="s">
        <v>69</v>
      </c>
      <c r="I996" s="10">
        <v>46.895099999999999</v>
      </c>
      <c r="J996" s="10">
        <v>-71.378600000000006</v>
      </c>
      <c r="K996" s="10">
        <v>46.764600000000002</v>
      </c>
      <c r="L996" s="10">
        <v>-71.308300000000003</v>
      </c>
      <c r="M996" s="10" t="str">
        <f t="shared" si="95"/>
        <v>C12</v>
      </c>
      <c r="N996" s="10" t="str">
        <f t="shared" si="96"/>
        <v>C53</v>
      </c>
      <c r="O996" s="5">
        <f t="shared" si="97"/>
        <v>15.465116826073588</v>
      </c>
      <c r="P996" s="22">
        <f>O996/Explications!$C$8</f>
        <v>0.51550389420245291</v>
      </c>
      <c r="Q996" s="7" t="str">
        <f t="shared" si="98"/>
        <v>C53</v>
      </c>
      <c r="R996" s="7" t="str">
        <f t="shared" si="99"/>
        <v>C12</v>
      </c>
      <c r="S996" s="18">
        <f t="shared" si="100"/>
        <v>15.465116826073588</v>
      </c>
      <c r="T996" s="18">
        <f>S996/Explications!$C$8</f>
        <v>0.51550389420245291</v>
      </c>
    </row>
    <row r="997" spans="7:20">
      <c r="G997" s="10" t="s">
        <v>28</v>
      </c>
      <c r="H997" s="10" t="s">
        <v>70</v>
      </c>
      <c r="I997" s="10">
        <v>46.895099999999999</v>
      </c>
      <c r="J997" s="10">
        <v>-71.378600000000006</v>
      </c>
      <c r="K997" s="10">
        <v>46.849699999999999</v>
      </c>
      <c r="L997" s="10">
        <v>-71.097399999999993</v>
      </c>
      <c r="M997" s="10" t="str">
        <f t="shared" si="95"/>
        <v>C12</v>
      </c>
      <c r="N997" s="10" t="str">
        <f t="shared" si="96"/>
        <v>C54</v>
      </c>
      <c r="O997" s="5">
        <f t="shared" si="97"/>
        <v>21.963626363504851</v>
      </c>
      <c r="P997" s="22">
        <f>O997/Explications!$C$8</f>
        <v>0.73212087878349508</v>
      </c>
      <c r="Q997" s="7" t="str">
        <f t="shared" si="98"/>
        <v>C54</v>
      </c>
      <c r="R997" s="7" t="str">
        <f t="shared" si="99"/>
        <v>C12</v>
      </c>
      <c r="S997" s="18">
        <f t="shared" si="100"/>
        <v>21.963626363504851</v>
      </c>
      <c r="T997" s="18">
        <f>S997/Explications!$C$8</f>
        <v>0.73212087878349508</v>
      </c>
    </row>
    <row r="998" spans="7:20">
      <c r="G998" s="10" t="s">
        <v>28</v>
      </c>
      <c r="H998" s="10" t="s">
        <v>71</v>
      </c>
      <c r="I998" s="10">
        <v>46.895099999999999</v>
      </c>
      <c r="J998" s="10">
        <v>-71.378600000000006</v>
      </c>
      <c r="K998" s="10">
        <v>46.788899999999998</v>
      </c>
      <c r="L998" s="10">
        <v>-71.321399999999997</v>
      </c>
      <c r="M998" s="10" t="str">
        <f t="shared" si="95"/>
        <v>C12</v>
      </c>
      <c r="N998" s="10" t="str">
        <f t="shared" si="96"/>
        <v>C55</v>
      </c>
      <c r="O998" s="5">
        <f t="shared" si="97"/>
        <v>12.584811797309868</v>
      </c>
      <c r="P998" s="22">
        <f>O998/Explications!$C$8</f>
        <v>0.41949372657699563</v>
      </c>
      <c r="Q998" s="7" t="str">
        <f t="shared" si="98"/>
        <v>C55</v>
      </c>
      <c r="R998" s="7" t="str">
        <f t="shared" si="99"/>
        <v>C12</v>
      </c>
      <c r="S998" s="18">
        <f t="shared" si="100"/>
        <v>12.584811797309868</v>
      </c>
      <c r="T998" s="18">
        <f>S998/Explications!$C$8</f>
        <v>0.41949372657699563</v>
      </c>
    </row>
    <row r="999" spans="7:20">
      <c r="G999" s="10" t="s">
        <v>28</v>
      </c>
      <c r="H999" s="10" t="s">
        <v>72</v>
      </c>
      <c r="I999" s="10">
        <v>46.895099999999999</v>
      </c>
      <c r="J999" s="10">
        <v>-71.378600000000006</v>
      </c>
      <c r="K999" s="10">
        <v>46.795400000000001</v>
      </c>
      <c r="L999" s="10">
        <v>-71.232600000000005</v>
      </c>
      <c r="M999" s="10" t="str">
        <f t="shared" si="95"/>
        <v>C12</v>
      </c>
      <c r="N999" s="10" t="str">
        <f t="shared" si="96"/>
        <v>C56</v>
      </c>
      <c r="O999" s="5">
        <f t="shared" si="97"/>
        <v>15.690724795674022</v>
      </c>
      <c r="P999" s="22">
        <f>O999/Explications!$C$8</f>
        <v>0.52302415985580075</v>
      </c>
      <c r="Q999" s="7" t="str">
        <f t="shared" si="98"/>
        <v>C56</v>
      </c>
      <c r="R999" s="7" t="str">
        <f t="shared" si="99"/>
        <v>C12</v>
      </c>
      <c r="S999" s="18">
        <f t="shared" si="100"/>
        <v>15.690724795674022</v>
      </c>
      <c r="T999" s="18">
        <f>S999/Explications!$C$8</f>
        <v>0.52302415985580075</v>
      </c>
    </row>
    <row r="1000" spans="7:20">
      <c r="G1000" s="10" t="s">
        <v>28</v>
      </c>
      <c r="H1000" s="10" t="s">
        <v>73</v>
      </c>
      <c r="I1000" s="10">
        <v>46.895099999999999</v>
      </c>
      <c r="J1000" s="10">
        <v>-71.378600000000006</v>
      </c>
      <c r="K1000" s="10">
        <v>46.801200000000001</v>
      </c>
      <c r="L1000" s="10">
        <v>-71.224999999999994</v>
      </c>
      <c r="M1000" s="10" t="str">
        <f t="shared" si="95"/>
        <v>C12</v>
      </c>
      <c r="N1000" s="10" t="str">
        <f t="shared" si="96"/>
        <v>C57</v>
      </c>
      <c r="O1000" s="5">
        <f t="shared" si="97"/>
        <v>15.667511829531033</v>
      </c>
      <c r="P1000" s="22">
        <f>O1000/Explications!$C$8</f>
        <v>0.52225039431770115</v>
      </c>
      <c r="Q1000" s="7" t="str">
        <f t="shared" si="98"/>
        <v>C57</v>
      </c>
      <c r="R1000" s="7" t="str">
        <f t="shared" si="99"/>
        <v>C12</v>
      </c>
      <c r="S1000" s="18">
        <f t="shared" si="100"/>
        <v>15.667511829531033</v>
      </c>
      <c r="T1000" s="18">
        <f>S1000/Explications!$C$8</f>
        <v>0.52225039431770115</v>
      </c>
    </row>
    <row r="1001" spans="7:20">
      <c r="G1001" s="10" t="s">
        <v>28</v>
      </c>
      <c r="H1001" s="10" t="s">
        <v>74</v>
      </c>
      <c r="I1001" s="10">
        <v>46.895099999999999</v>
      </c>
      <c r="J1001" s="10">
        <v>-71.378600000000006</v>
      </c>
      <c r="K1001" s="10">
        <v>46.773200000000003</v>
      </c>
      <c r="L1001" s="10">
        <v>-71.275899999999993</v>
      </c>
      <c r="M1001" s="10" t="str">
        <f t="shared" si="95"/>
        <v>C12</v>
      </c>
      <c r="N1001" s="10" t="str">
        <f t="shared" si="96"/>
        <v>C58</v>
      </c>
      <c r="O1001" s="5">
        <f t="shared" si="97"/>
        <v>15.644868269755069</v>
      </c>
      <c r="P1001" s="22">
        <f>O1001/Explications!$C$8</f>
        <v>0.52149560899183567</v>
      </c>
      <c r="Q1001" s="7" t="str">
        <f t="shared" si="98"/>
        <v>C58</v>
      </c>
      <c r="R1001" s="7" t="str">
        <f t="shared" si="99"/>
        <v>C12</v>
      </c>
      <c r="S1001" s="18">
        <f t="shared" si="100"/>
        <v>15.644868269755069</v>
      </c>
      <c r="T1001" s="18">
        <f>S1001/Explications!$C$8</f>
        <v>0.52149560899183567</v>
      </c>
    </row>
    <row r="1002" spans="7:20">
      <c r="G1002" s="10" t="s">
        <v>28</v>
      </c>
      <c r="H1002" s="10" t="s">
        <v>75</v>
      </c>
      <c r="I1002" s="10">
        <v>46.895099999999999</v>
      </c>
      <c r="J1002" s="10">
        <v>-71.378600000000006</v>
      </c>
      <c r="K1002" s="10">
        <v>46.814399999999999</v>
      </c>
      <c r="L1002" s="10">
        <v>-71.225700000000003</v>
      </c>
      <c r="M1002" s="10" t="str">
        <f t="shared" si="95"/>
        <v>C12</v>
      </c>
      <c r="N1002" s="10" t="str">
        <f t="shared" si="96"/>
        <v>C59</v>
      </c>
      <c r="O1002" s="5">
        <f t="shared" si="97"/>
        <v>14.686748694548168</v>
      </c>
      <c r="P1002" s="22">
        <f>O1002/Explications!$C$8</f>
        <v>0.48955828981827226</v>
      </c>
      <c r="Q1002" s="7" t="str">
        <f t="shared" si="98"/>
        <v>C59</v>
      </c>
      <c r="R1002" s="7" t="str">
        <f t="shared" si="99"/>
        <v>C12</v>
      </c>
      <c r="S1002" s="18">
        <f t="shared" si="100"/>
        <v>14.686748694548168</v>
      </c>
      <c r="T1002" s="18">
        <f>S1002/Explications!$C$8</f>
        <v>0.48955828981827226</v>
      </c>
    </row>
    <row r="1003" spans="7:20">
      <c r="G1003" s="10" t="s">
        <v>28</v>
      </c>
      <c r="H1003" s="10" t="s">
        <v>76</v>
      </c>
      <c r="I1003" s="10">
        <v>46.895099999999999</v>
      </c>
      <c r="J1003" s="10">
        <v>-71.378600000000006</v>
      </c>
      <c r="K1003" s="10">
        <v>46.772500000000001</v>
      </c>
      <c r="L1003" s="10">
        <v>-71.276300000000006</v>
      </c>
      <c r="M1003" s="10" t="str">
        <f t="shared" si="95"/>
        <v>C12</v>
      </c>
      <c r="N1003" s="10" t="str">
        <f t="shared" si="96"/>
        <v>C60</v>
      </c>
      <c r="O1003" s="5">
        <f t="shared" si="97"/>
        <v>15.697271764143924</v>
      </c>
      <c r="P1003" s="22">
        <f>O1003/Explications!$C$8</f>
        <v>0.52324239213813084</v>
      </c>
      <c r="Q1003" s="7" t="str">
        <f t="shared" si="98"/>
        <v>C60</v>
      </c>
      <c r="R1003" s="7" t="str">
        <f t="shared" si="99"/>
        <v>C12</v>
      </c>
      <c r="S1003" s="18">
        <f t="shared" si="100"/>
        <v>15.697271764143924</v>
      </c>
      <c r="T1003" s="18">
        <f>S1003/Explications!$C$8</f>
        <v>0.52324239213813084</v>
      </c>
    </row>
    <row r="1004" spans="7:20">
      <c r="G1004" s="10" t="s">
        <v>28</v>
      </c>
      <c r="H1004" s="10" t="s">
        <v>77</v>
      </c>
      <c r="I1004" s="10">
        <v>46.895099999999999</v>
      </c>
      <c r="J1004" s="10">
        <v>-71.378600000000006</v>
      </c>
      <c r="K1004" s="10">
        <v>46.810899999999997</v>
      </c>
      <c r="L1004" s="10">
        <v>-71.215599999999995</v>
      </c>
      <c r="M1004" s="10" t="str">
        <f t="shared" si="95"/>
        <v>C12</v>
      </c>
      <c r="N1004" s="10" t="str">
        <f t="shared" si="96"/>
        <v>C61</v>
      </c>
      <c r="O1004" s="5">
        <f t="shared" si="97"/>
        <v>15.533679717147157</v>
      </c>
      <c r="P1004" s="22">
        <f>O1004/Explications!$C$8</f>
        <v>0.51778932390490529</v>
      </c>
      <c r="Q1004" s="7" t="str">
        <f t="shared" si="98"/>
        <v>C61</v>
      </c>
      <c r="R1004" s="7" t="str">
        <f t="shared" si="99"/>
        <v>C12</v>
      </c>
      <c r="S1004" s="18">
        <f t="shared" si="100"/>
        <v>15.533679717147157</v>
      </c>
      <c r="T1004" s="18">
        <f>S1004/Explications!$C$8</f>
        <v>0.51778932390490529</v>
      </c>
    </row>
    <row r="1005" spans="7:20">
      <c r="G1005" s="10" t="s">
        <v>28</v>
      </c>
      <c r="H1005" s="10" t="s">
        <v>78</v>
      </c>
      <c r="I1005" s="10">
        <v>46.895099999999999</v>
      </c>
      <c r="J1005" s="10">
        <v>-71.378600000000006</v>
      </c>
      <c r="K1005" s="10">
        <v>46.795200000000001</v>
      </c>
      <c r="L1005" s="10">
        <v>-71.245099999999994</v>
      </c>
      <c r="M1005" s="10" t="str">
        <f t="shared" si="95"/>
        <v>C12</v>
      </c>
      <c r="N1005" s="10" t="str">
        <f t="shared" si="96"/>
        <v>C62</v>
      </c>
      <c r="O1005" s="5">
        <f t="shared" si="97"/>
        <v>15.049391714655675</v>
      </c>
      <c r="P1005" s="22">
        <f>O1005/Explications!$C$8</f>
        <v>0.50164639048852255</v>
      </c>
      <c r="Q1005" s="7" t="str">
        <f t="shared" si="98"/>
        <v>C62</v>
      </c>
      <c r="R1005" s="7" t="str">
        <f t="shared" si="99"/>
        <v>C12</v>
      </c>
      <c r="S1005" s="18">
        <f t="shared" si="100"/>
        <v>15.049391714655675</v>
      </c>
      <c r="T1005" s="18">
        <f>S1005/Explications!$C$8</f>
        <v>0.50164639048852255</v>
      </c>
    </row>
    <row r="1006" spans="7:20">
      <c r="G1006" s="10" t="s">
        <v>28</v>
      </c>
      <c r="H1006" s="10" t="s">
        <v>79</v>
      </c>
      <c r="I1006" s="10">
        <v>46.895099999999999</v>
      </c>
      <c r="J1006" s="10">
        <v>-71.378600000000006</v>
      </c>
      <c r="K1006" s="10">
        <v>46.822000000000003</v>
      </c>
      <c r="L1006" s="10">
        <v>-71.345699999999994</v>
      </c>
      <c r="M1006" s="10" t="str">
        <f t="shared" si="95"/>
        <v>C12</v>
      </c>
      <c r="N1006" s="10" t="str">
        <f t="shared" si="96"/>
        <v>C63</v>
      </c>
      <c r="O1006" s="5">
        <f t="shared" si="97"/>
        <v>8.5045790065120386</v>
      </c>
      <c r="P1006" s="22">
        <f>O1006/Explications!$C$8</f>
        <v>0.28348596688373462</v>
      </c>
      <c r="Q1006" s="7" t="str">
        <f t="shared" si="98"/>
        <v>C63</v>
      </c>
      <c r="R1006" s="7" t="str">
        <f t="shared" si="99"/>
        <v>C12</v>
      </c>
      <c r="S1006" s="18">
        <f t="shared" si="100"/>
        <v>8.5045790065120386</v>
      </c>
      <c r="T1006" s="18">
        <f>S1006/Explications!$C$8</f>
        <v>0.28348596688373462</v>
      </c>
    </row>
    <row r="1007" spans="7:20">
      <c r="G1007" s="10" t="s">
        <v>28</v>
      </c>
      <c r="H1007" s="10" t="s">
        <v>80</v>
      </c>
      <c r="I1007" s="10">
        <v>46.895099999999999</v>
      </c>
      <c r="J1007" s="10">
        <v>-71.378600000000006</v>
      </c>
      <c r="K1007" s="10">
        <v>46.779400000000003</v>
      </c>
      <c r="L1007" s="10">
        <v>-71.350399999999993</v>
      </c>
      <c r="M1007" s="10" t="str">
        <f t="shared" si="95"/>
        <v>C12</v>
      </c>
      <c r="N1007" s="10" t="str">
        <f t="shared" si="96"/>
        <v>C64</v>
      </c>
      <c r="O1007" s="5">
        <f t="shared" si="97"/>
        <v>13.042850502997585</v>
      </c>
      <c r="P1007" s="22">
        <f>O1007/Explications!$C$8</f>
        <v>0.43476168343325283</v>
      </c>
      <c r="Q1007" s="7" t="str">
        <f t="shared" si="98"/>
        <v>C64</v>
      </c>
      <c r="R1007" s="7" t="str">
        <f t="shared" si="99"/>
        <v>C12</v>
      </c>
      <c r="S1007" s="18">
        <f t="shared" si="100"/>
        <v>13.042850502997585</v>
      </c>
      <c r="T1007" s="18">
        <f>S1007/Explications!$C$8</f>
        <v>0.43476168343325283</v>
      </c>
    </row>
    <row r="1008" spans="7:20">
      <c r="G1008" s="10" t="s">
        <v>28</v>
      </c>
      <c r="H1008" s="10" t="s">
        <v>81</v>
      </c>
      <c r="I1008" s="10">
        <v>46.895099999999999</v>
      </c>
      <c r="J1008" s="10">
        <v>-71.378600000000006</v>
      </c>
      <c r="K1008" s="10">
        <v>46.772300000000001</v>
      </c>
      <c r="L1008" s="10">
        <v>-71.279799999999994</v>
      </c>
      <c r="M1008" s="10" t="str">
        <f t="shared" si="95"/>
        <v>C12</v>
      </c>
      <c r="N1008" s="10" t="str">
        <f t="shared" si="96"/>
        <v>C65</v>
      </c>
      <c r="O1008" s="5">
        <f t="shared" si="97"/>
        <v>15.586482390489781</v>
      </c>
      <c r="P1008" s="22">
        <f>O1008/Explications!$C$8</f>
        <v>0.51954941301632607</v>
      </c>
      <c r="Q1008" s="7" t="str">
        <f t="shared" si="98"/>
        <v>C65</v>
      </c>
      <c r="R1008" s="7" t="str">
        <f t="shared" si="99"/>
        <v>C12</v>
      </c>
      <c r="S1008" s="18">
        <f t="shared" si="100"/>
        <v>15.586482390489781</v>
      </c>
      <c r="T1008" s="18">
        <f>S1008/Explications!$C$8</f>
        <v>0.51954941301632607</v>
      </c>
    </row>
    <row r="1009" spans="7:20">
      <c r="G1009" s="10" t="s">
        <v>28</v>
      </c>
      <c r="H1009" s="10" t="s">
        <v>82</v>
      </c>
      <c r="I1009" s="10">
        <v>46.895099999999999</v>
      </c>
      <c r="J1009" s="10">
        <v>-71.378600000000006</v>
      </c>
      <c r="K1009" s="10">
        <v>46.814900000000002</v>
      </c>
      <c r="L1009" s="10">
        <v>-71.225200000000001</v>
      </c>
      <c r="M1009" s="10" t="str">
        <f t="shared" si="95"/>
        <v>C12</v>
      </c>
      <c r="N1009" s="10" t="str">
        <f t="shared" si="96"/>
        <v>C66</v>
      </c>
      <c r="O1009" s="5">
        <f t="shared" si="97"/>
        <v>14.682988558931198</v>
      </c>
      <c r="P1009" s="22">
        <f>O1009/Explications!$C$8</f>
        <v>0.48943295196437325</v>
      </c>
      <c r="Q1009" s="7" t="str">
        <f t="shared" si="98"/>
        <v>C66</v>
      </c>
      <c r="R1009" s="7" t="str">
        <f t="shared" si="99"/>
        <v>C12</v>
      </c>
      <c r="S1009" s="18">
        <f t="shared" si="100"/>
        <v>14.682988558931198</v>
      </c>
      <c r="T1009" s="18">
        <f>S1009/Explications!$C$8</f>
        <v>0.48943295196437325</v>
      </c>
    </row>
    <row r="1010" spans="7:20">
      <c r="G1010" s="10" t="s">
        <v>28</v>
      </c>
      <c r="H1010" s="10" t="s">
        <v>83</v>
      </c>
      <c r="I1010" s="10">
        <v>46.895099999999999</v>
      </c>
      <c r="J1010" s="10">
        <v>-71.378600000000006</v>
      </c>
      <c r="K1010" s="10">
        <v>46.814700000000002</v>
      </c>
      <c r="L1010" s="10">
        <v>-71.207300000000004</v>
      </c>
      <c r="M1010" s="10" t="str">
        <f t="shared" si="95"/>
        <v>C12</v>
      </c>
      <c r="N1010" s="10" t="str">
        <f t="shared" si="96"/>
        <v>C67</v>
      </c>
      <c r="O1010" s="5">
        <f t="shared" si="97"/>
        <v>15.798555976363271</v>
      </c>
      <c r="P1010" s="22">
        <f>O1010/Explications!$C$8</f>
        <v>0.52661853254544233</v>
      </c>
      <c r="Q1010" s="7" t="str">
        <f t="shared" si="98"/>
        <v>C67</v>
      </c>
      <c r="R1010" s="7" t="str">
        <f t="shared" si="99"/>
        <v>C12</v>
      </c>
      <c r="S1010" s="18">
        <f t="shared" si="100"/>
        <v>15.798555976363271</v>
      </c>
      <c r="T1010" s="18">
        <f>S1010/Explications!$C$8</f>
        <v>0.52661853254544233</v>
      </c>
    </row>
    <row r="1011" spans="7:20">
      <c r="G1011" s="10" t="s">
        <v>28</v>
      </c>
      <c r="H1011" s="10" t="s">
        <v>84</v>
      </c>
      <c r="I1011" s="10">
        <v>46.895099999999999</v>
      </c>
      <c r="J1011" s="10">
        <v>-71.378600000000006</v>
      </c>
      <c r="K1011" s="10">
        <v>46.815600000000003</v>
      </c>
      <c r="L1011" s="10">
        <v>-71.2029</v>
      </c>
      <c r="M1011" s="10" t="str">
        <f t="shared" si="95"/>
        <v>C12</v>
      </c>
      <c r="N1011" s="10" t="str">
        <f t="shared" si="96"/>
        <v>C68</v>
      </c>
      <c r="O1011" s="5">
        <f t="shared" si="97"/>
        <v>16.019994073213756</v>
      </c>
      <c r="P1011" s="22">
        <f>O1011/Explications!$C$8</f>
        <v>0.53399980244045853</v>
      </c>
      <c r="Q1011" s="7" t="str">
        <f t="shared" si="98"/>
        <v>C68</v>
      </c>
      <c r="R1011" s="7" t="str">
        <f t="shared" si="99"/>
        <v>C12</v>
      </c>
      <c r="S1011" s="18">
        <f t="shared" si="100"/>
        <v>16.019994073213756</v>
      </c>
      <c r="T1011" s="18">
        <f>S1011/Explications!$C$8</f>
        <v>0.53399980244045853</v>
      </c>
    </row>
    <row r="1012" spans="7:20">
      <c r="G1012" s="10" t="s">
        <v>28</v>
      </c>
      <c r="H1012" s="10" t="s">
        <v>85</v>
      </c>
      <c r="I1012" s="10">
        <v>46.895099999999999</v>
      </c>
      <c r="J1012" s="10">
        <v>-71.378600000000006</v>
      </c>
      <c r="K1012" s="10">
        <v>46.821899999999999</v>
      </c>
      <c r="L1012" s="10">
        <v>-71.249899999999997</v>
      </c>
      <c r="M1012" s="10" t="str">
        <f t="shared" si="95"/>
        <v>C12</v>
      </c>
      <c r="N1012" s="10" t="str">
        <f t="shared" si="96"/>
        <v>C69</v>
      </c>
      <c r="O1012" s="5">
        <f t="shared" si="97"/>
        <v>12.72838563410491</v>
      </c>
      <c r="P1012" s="22">
        <f>O1012/Explications!$C$8</f>
        <v>0.42427952113683032</v>
      </c>
      <c r="Q1012" s="7" t="str">
        <f t="shared" si="98"/>
        <v>C69</v>
      </c>
      <c r="R1012" s="7" t="str">
        <f t="shared" si="99"/>
        <v>C12</v>
      </c>
      <c r="S1012" s="18">
        <f t="shared" si="100"/>
        <v>12.72838563410491</v>
      </c>
      <c r="T1012" s="18">
        <f>S1012/Explications!$C$8</f>
        <v>0.42427952113683032</v>
      </c>
    </row>
    <row r="1013" spans="7:20">
      <c r="G1013" s="10" t="s">
        <v>28</v>
      </c>
      <c r="H1013" s="10" t="s">
        <v>86</v>
      </c>
      <c r="I1013" s="10">
        <v>46.895099999999999</v>
      </c>
      <c r="J1013" s="10">
        <v>-71.378600000000006</v>
      </c>
      <c r="K1013" s="10">
        <v>46.8872</v>
      </c>
      <c r="L1013" s="10">
        <v>-71.27</v>
      </c>
      <c r="M1013" s="10" t="str">
        <f t="shared" si="95"/>
        <v>C12</v>
      </c>
      <c r="N1013" s="10" t="str">
        <f t="shared" si="96"/>
        <v>C70</v>
      </c>
      <c r="O1013" s="5">
        <f t="shared" si="97"/>
        <v>8.2990391007965076</v>
      </c>
      <c r="P1013" s="22">
        <f>O1013/Explications!$C$8</f>
        <v>0.27663463669321692</v>
      </c>
      <c r="Q1013" s="7" t="str">
        <f t="shared" si="98"/>
        <v>C70</v>
      </c>
      <c r="R1013" s="7" t="str">
        <f t="shared" si="99"/>
        <v>C12</v>
      </c>
      <c r="S1013" s="18">
        <f t="shared" si="100"/>
        <v>8.2990391007965076</v>
      </c>
      <c r="T1013" s="18">
        <f>S1013/Explications!$C$8</f>
        <v>0.27663463669321692</v>
      </c>
    </row>
    <row r="1014" spans="7:20">
      <c r="G1014" s="10" t="s">
        <v>28</v>
      </c>
      <c r="H1014" s="10" t="s">
        <v>87</v>
      </c>
      <c r="I1014" s="10">
        <v>46.895099999999999</v>
      </c>
      <c r="J1014" s="10">
        <v>-71.378600000000006</v>
      </c>
      <c r="K1014" s="10">
        <v>46.816299999999998</v>
      </c>
      <c r="L1014" s="10">
        <v>-71.210300000000004</v>
      </c>
      <c r="M1014" s="10" t="str">
        <f t="shared" si="95"/>
        <v>C12</v>
      </c>
      <c r="N1014" s="10" t="str">
        <f t="shared" si="96"/>
        <v>C71</v>
      </c>
      <c r="O1014" s="5">
        <f t="shared" si="97"/>
        <v>15.509648963287868</v>
      </c>
      <c r="P1014" s="22">
        <f>O1014/Explications!$C$8</f>
        <v>0.51698829877626229</v>
      </c>
      <c r="Q1014" s="7" t="str">
        <f t="shared" si="98"/>
        <v>C71</v>
      </c>
      <c r="R1014" s="7" t="str">
        <f t="shared" si="99"/>
        <v>C12</v>
      </c>
      <c r="S1014" s="18">
        <f t="shared" si="100"/>
        <v>15.509648963287868</v>
      </c>
      <c r="T1014" s="18">
        <f>S1014/Explications!$C$8</f>
        <v>0.51698829877626229</v>
      </c>
    </row>
    <row r="1015" spans="7:20">
      <c r="G1015" s="10" t="s">
        <v>28</v>
      </c>
      <c r="H1015" s="10" t="s">
        <v>88</v>
      </c>
      <c r="I1015" s="10">
        <v>46.895099999999999</v>
      </c>
      <c r="J1015" s="10">
        <v>-71.378600000000006</v>
      </c>
      <c r="K1015" s="10">
        <v>46.807000000000002</v>
      </c>
      <c r="L1015" s="10">
        <v>-71.3566</v>
      </c>
      <c r="M1015" s="10" t="str">
        <f t="shared" si="95"/>
        <v>C12</v>
      </c>
      <c r="N1015" s="10" t="str">
        <f t="shared" si="96"/>
        <v>C72</v>
      </c>
      <c r="O1015" s="5">
        <f t="shared" si="97"/>
        <v>9.9381047364718178</v>
      </c>
      <c r="P1015" s="22">
        <f>O1015/Explications!$C$8</f>
        <v>0.33127015788239395</v>
      </c>
      <c r="Q1015" s="7" t="str">
        <f t="shared" si="98"/>
        <v>C72</v>
      </c>
      <c r="R1015" s="7" t="str">
        <f t="shared" si="99"/>
        <v>C12</v>
      </c>
      <c r="S1015" s="18">
        <f t="shared" si="100"/>
        <v>9.9381047364718178</v>
      </c>
      <c r="T1015" s="18">
        <f>S1015/Explications!$C$8</f>
        <v>0.33127015788239395</v>
      </c>
    </row>
    <row r="1016" spans="7:20">
      <c r="G1016" s="10" t="s">
        <v>28</v>
      </c>
      <c r="H1016" s="10" t="s">
        <v>89</v>
      </c>
      <c r="I1016" s="10">
        <v>46.895099999999999</v>
      </c>
      <c r="J1016" s="10">
        <v>-71.378600000000006</v>
      </c>
      <c r="K1016" s="10">
        <v>46.822899999999997</v>
      </c>
      <c r="L1016" s="10">
        <v>-71.341899999999995</v>
      </c>
      <c r="M1016" s="10" t="str">
        <f t="shared" si="95"/>
        <v>C12</v>
      </c>
      <c r="N1016" s="10" t="str">
        <f t="shared" si="96"/>
        <v>C73</v>
      </c>
      <c r="O1016" s="5">
        <f t="shared" si="97"/>
        <v>8.4994062923130187</v>
      </c>
      <c r="P1016" s="22">
        <f>O1016/Explications!$C$8</f>
        <v>0.2833135430771006</v>
      </c>
      <c r="Q1016" s="7" t="str">
        <f t="shared" si="98"/>
        <v>C73</v>
      </c>
      <c r="R1016" s="7" t="str">
        <f t="shared" si="99"/>
        <v>C12</v>
      </c>
      <c r="S1016" s="18">
        <f t="shared" si="100"/>
        <v>8.4994062923130187</v>
      </c>
      <c r="T1016" s="18">
        <f>S1016/Explications!$C$8</f>
        <v>0.2833135430771006</v>
      </c>
    </row>
    <row r="1017" spans="7:20">
      <c r="G1017" s="10" t="s">
        <v>28</v>
      </c>
      <c r="H1017" s="10" t="s">
        <v>90</v>
      </c>
      <c r="I1017" s="10">
        <v>46.895099999999999</v>
      </c>
      <c r="J1017" s="10">
        <v>-71.378600000000006</v>
      </c>
      <c r="K1017" s="10">
        <v>46.730699999999999</v>
      </c>
      <c r="L1017" s="10">
        <v>-71.261099999999999</v>
      </c>
      <c r="M1017" s="10" t="str">
        <f t="shared" si="95"/>
        <v>C12</v>
      </c>
      <c r="N1017" s="10" t="str">
        <f t="shared" si="96"/>
        <v>C74</v>
      </c>
      <c r="O1017" s="5">
        <f t="shared" si="97"/>
        <v>20.350163593570159</v>
      </c>
      <c r="P1017" s="22">
        <f>O1017/Explications!$C$8</f>
        <v>0.67833878645233858</v>
      </c>
      <c r="Q1017" s="7" t="str">
        <f t="shared" si="98"/>
        <v>C74</v>
      </c>
      <c r="R1017" s="7" t="str">
        <f t="shared" si="99"/>
        <v>C12</v>
      </c>
      <c r="S1017" s="18">
        <f t="shared" si="100"/>
        <v>20.350163593570159</v>
      </c>
      <c r="T1017" s="18">
        <f>S1017/Explications!$C$8</f>
        <v>0.67833878645233858</v>
      </c>
    </row>
    <row r="1018" spans="7:20">
      <c r="G1018" s="10" t="s">
        <v>28</v>
      </c>
      <c r="H1018" s="10" t="s">
        <v>91</v>
      </c>
      <c r="I1018" s="10">
        <v>46.895099999999999</v>
      </c>
      <c r="J1018" s="10">
        <v>-71.378600000000006</v>
      </c>
      <c r="K1018" s="10">
        <v>46.840600000000002</v>
      </c>
      <c r="L1018" s="10">
        <v>-71.289100000000005</v>
      </c>
      <c r="M1018" s="10" t="str">
        <f t="shared" si="95"/>
        <v>C12</v>
      </c>
      <c r="N1018" s="10" t="str">
        <f t="shared" si="96"/>
        <v>C75</v>
      </c>
      <c r="O1018" s="5">
        <f t="shared" si="97"/>
        <v>9.111488371888294</v>
      </c>
      <c r="P1018" s="22">
        <f>O1018/Explications!$C$8</f>
        <v>0.30371627906294313</v>
      </c>
      <c r="Q1018" s="7" t="str">
        <f t="shared" si="98"/>
        <v>C75</v>
      </c>
      <c r="R1018" s="7" t="str">
        <f t="shared" si="99"/>
        <v>C12</v>
      </c>
      <c r="S1018" s="18">
        <f t="shared" si="100"/>
        <v>9.111488371888294</v>
      </c>
      <c r="T1018" s="18">
        <f>S1018/Explications!$C$8</f>
        <v>0.30371627906294313</v>
      </c>
    </row>
    <row r="1019" spans="7:20">
      <c r="G1019" s="10" t="s">
        <v>28</v>
      </c>
      <c r="H1019" s="10" t="s">
        <v>92</v>
      </c>
      <c r="I1019" s="10">
        <v>46.895099999999999</v>
      </c>
      <c r="J1019" s="10">
        <v>-71.378600000000006</v>
      </c>
      <c r="K1019" s="10">
        <v>46.840600000000002</v>
      </c>
      <c r="L1019" s="10">
        <v>-71.281599999999997</v>
      </c>
      <c r="M1019" s="10" t="str">
        <f t="shared" si="95"/>
        <v>C12</v>
      </c>
      <c r="N1019" s="10" t="str">
        <f t="shared" si="96"/>
        <v>C76</v>
      </c>
      <c r="O1019" s="5">
        <f t="shared" si="97"/>
        <v>9.5447943932419861</v>
      </c>
      <c r="P1019" s="22">
        <f>O1019/Explications!$C$8</f>
        <v>0.31815981310806618</v>
      </c>
      <c r="Q1019" s="7" t="str">
        <f t="shared" si="98"/>
        <v>C76</v>
      </c>
      <c r="R1019" s="7" t="str">
        <f t="shared" si="99"/>
        <v>C12</v>
      </c>
      <c r="S1019" s="18">
        <f t="shared" si="100"/>
        <v>9.5447943932419861</v>
      </c>
      <c r="T1019" s="18">
        <f>S1019/Explications!$C$8</f>
        <v>0.31815981310806618</v>
      </c>
    </row>
    <row r="1020" spans="7:20">
      <c r="G1020" s="10" t="s">
        <v>28</v>
      </c>
      <c r="H1020" s="10" t="s">
        <v>93</v>
      </c>
      <c r="I1020" s="10">
        <v>46.895099999999999</v>
      </c>
      <c r="J1020" s="10">
        <v>-71.378600000000006</v>
      </c>
      <c r="K1020" s="10">
        <v>46.839399999999998</v>
      </c>
      <c r="L1020" s="10">
        <v>-71.282600000000002</v>
      </c>
      <c r="M1020" s="10" t="str">
        <f t="shared" si="95"/>
        <v>C12</v>
      </c>
      <c r="N1020" s="10" t="str">
        <f t="shared" si="96"/>
        <v>C77</v>
      </c>
      <c r="O1020" s="5">
        <f t="shared" si="97"/>
        <v>9.5720389728677073</v>
      </c>
      <c r="P1020" s="22">
        <f>O1020/Explications!$C$8</f>
        <v>0.31906796576225693</v>
      </c>
      <c r="Q1020" s="7" t="str">
        <f t="shared" si="98"/>
        <v>C77</v>
      </c>
      <c r="R1020" s="7" t="str">
        <f t="shared" si="99"/>
        <v>C12</v>
      </c>
      <c r="S1020" s="18">
        <f t="shared" si="100"/>
        <v>9.5720389728677073</v>
      </c>
      <c r="T1020" s="18">
        <f>S1020/Explications!$C$8</f>
        <v>0.31906796576225693</v>
      </c>
    </row>
    <row r="1021" spans="7:20">
      <c r="G1021" s="10" t="s">
        <v>28</v>
      </c>
      <c r="H1021" s="10" t="s">
        <v>94</v>
      </c>
      <c r="I1021" s="10">
        <v>46.895099999999999</v>
      </c>
      <c r="J1021" s="10">
        <v>-71.378600000000006</v>
      </c>
      <c r="K1021" s="10">
        <v>46.788499999999999</v>
      </c>
      <c r="L1021" s="10">
        <v>-71.282399999999996</v>
      </c>
      <c r="M1021" s="10" t="str">
        <f t="shared" si="95"/>
        <v>C12</v>
      </c>
      <c r="N1021" s="10" t="str">
        <f t="shared" si="96"/>
        <v>C78</v>
      </c>
      <c r="O1021" s="5">
        <f t="shared" si="97"/>
        <v>13.929795695978102</v>
      </c>
      <c r="P1021" s="22">
        <f>O1021/Explications!$C$8</f>
        <v>0.46432652319927009</v>
      </c>
      <c r="Q1021" s="7" t="str">
        <f t="shared" si="98"/>
        <v>C78</v>
      </c>
      <c r="R1021" s="7" t="str">
        <f t="shared" si="99"/>
        <v>C12</v>
      </c>
      <c r="S1021" s="18">
        <f t="shared" si="100"/>
        <v>13.929795695978102</v>
      </c>
      <c r="T1021" s="18">
        <f>S1021/Explications!$C$8</f>
        <v>0.46432652319927009</v>
      </c>
    </row>
    <row r="1022" spans="7:20">
      <c r="G1022" s="10" t="s">
        <v>28</v>
      </c>
      <c r="H1022" s="10" t="s">
        <v>95</v>
      </c>
      <c r="I1022" s="10">
        <v>46.895099999999999</v>
      </c>
      <c r="J1022" s="10">
        <v>-71.378600000000006</v>
      </c>
      <c r="K1022" s="10">
        <v>46.840699999999998</v>
      </c>
      <c r="L1022" s="10">
        <v>-71.325400000000002</v>
      </c>
      <c r="M1022" s="10" t="str">
        <f t="shared" si="95"/>
        <v>C12</v>
      </c>
      <c r="N1022" s="10" t="str">
        <f t="shared" si="96"/>
        <v>C79</v>
      </c>
      <c r="O1022" s="5">
        <f t="shared" si="97"/>
        <v>7.2764962605646879</v>
      </c>
      <c r="P1022" s="22">
        <f>O1022/Explications!$C$8</f>
        <v>0.24254987535215627</v>
      </c>
      <c r="Q1022" s="7" t="str">
        <f t="shared" si="98"/>
        <v>C79</v>
      </c>
      <c r="R1022" s="7" t="str">
        <f t="shared" si="99"/>
        <v>C12</v>
      </c>
      <c r="S1022" s="18">
        <f t="shared" si="100"/>
        <v>7.2764962605646879</v>
      </c>
      <c r="T1022" s="18">
        <f>S1022/Explications!$C$8</f>
        <v>0.24254987535215627</v>
      </c>
    </row>
    <row r="1023" spans="7:20">
      <c r="G1023" s="10" t="s">
        <v>28</v>
      </c>
      <c r="H1023" s="10" t="s">
        <v>96</v>
      </c>
      <c r="I1023" s="10">
        <v>46.895099999999999</v>
      </c>
      <c r="J1023" s="10">
        <v>-71.378600000000006</v>
      </c>
      <c r="K1023" s="10">
        <v>46.798400000000001</v>
      </c>
      <c r="L1023" s="10">
        <v>-71.183199999999999</v>
      </c>
      <c r="M1023" s="10" t="str">
        <f t="shared" si="95"/>
        <v>C12</v>
      </c>
      <c r="N1023" s="10" t="str">
        <f t="shared" si="96"/>
        <v>C80</v>
      </c>
      <c r="O1023" s="5">
        <f t="shared" si="97"/>
        <v>18.34266202785577</v>
      </c>
      <c r="P1023" s="22">
        <f>O1023/Explications!$C$8</f>
        <v>0.61142206759519235</v>
      </c>
      <c r="Q1023" s="7" t="str">
        <f t="shared" si="98"/>
        <v>C80</v>
      </c>
      <c r="R1023" s="7" t="str">
        <f t="shared" si="99"/>
        <v>C12</v>
      </c>
      <c r="S1023" s="18">
        <f t="shared" si="100"/>
        <v>18.34266202785577</v>
      </c>
      <c r="T1023" s="18">
        <f>S1023/Explications!$C$8</f>
        <v>0.61142206759519235</v>
      </c>
    </row>
    <row r="1024" spans="7:20">
      <c r="G1024" s="10" t="s">
        <v>28</v>
      </c>
      <c r="H1024" s="10" t="s">
        <v>97</v>
      </c>
      <c r="I1024" s="10">
        <v>46.895099999999999</v>
      </c>
      <c r="J1024" s="10">
        <v>-71.378600000000006</v>
      </c>
      <c r="K1024" s="10">
        <v>46.724800000000002</v>
      </c>
      <c r="L1024" s="10">
        <v>-71.2988</v>
      </c>
      <c r="M1024" s="10" t="str">
        <f t="shared" si="95"/>
        <v>C12</v>
      </c>
      <c r="N1024" s="10" t="str">
        <f t="shared" si="96"/>
        <v>C81</v>
      </c>
      <c r="O1024" s="5">
        <f t="shared" si="97"/>
        <v>19.886512441316647</v>
      </c>
      <c r="P1024" s="22">
        <f>O1024/Explications!$C$8</f>
        <v>0.66288374804388828</v>
      </c>
      <c r="Q1024" s="7" t="str">
        <f t="shared" si="98"/>
        <v>C81</v>
      </c>
      <c r="R1024" s="7" t="str">
        <f t="shared" si="99"/>
        <v>C12</v>
      </c>
      <c r="S1024" s="18">
        <f t="shared" si="100"/>
        <v>19.886512441316647</v>
      </c>
      <c r="T1024" s="18">
        <f>S1024/Explications!$C$8</f>
        <v>0.66288374804388828</v>
      </c>
    </row>
    <row r="1025" spans="7:20">
      <c r="G1025" s="10" t="s">
        <v>28</v>
      </c>
      <c r="H1025" s="10" t="s">
        <v>98</v>
      </c>
      <c r="I1025" s="10">
        <v>46.895099999999999</v>
      </c>
      <c r="J1025" s="10">
        <v>-71.378600000000006</v>
      </c>
      <c r="K1025" s="10">
        <v>46.795499999999997</v>
      </c>
      <c r="L1025" s="10">
        <v>-71.242900000000006</v>
      </c>
      <c r="M1025" s="10" t="str">
        <f t="shared" si="95"/>
        <v>C12</v>
      </c>
      <c r="N1025" s="10" t="str">
        <f t="shared" si="96"/>
        <v>C82</v>
      </c>
      <c r="O1025" s="5">
        <f t="shared" si="97"/>
        <v>15.138337174186733</v>
      </c>
      <c r="P1025" s="22">
        <f>O1025/Explications!$C$8</f>
        <v>0.50461123913955774</v>
      </c>
      <c r="Q1025" s="7" t="str">
        <f t="shared" si="98"/>
        <v>C82</v>
      </c>
      <c r="R1025" s="7" t="str">
        <f t="shared" si="99"/>
        <v>C12</v>
      </c>
      <c r="S1025" s="18">
        <f t="shared" si="100"/>
        <v>15.138337174186733</v>
      </c>
      <c r="T1025" s="18">
        <f>S1025/Explications!$C$8</f>
        <v>0.50461123913955774</v>
      </c>
    </row>
    <row r="1026" spans="7:20">
      <c r="G1026" s="10" t="s">
        <v>28</v>
      </c>
      <c r="H1026" s="10" t="s">
        <v>99</v>
      </c>
      <c r="I1026" s="10">
        <v>46.895099999999999</v>
      </c>
      <c r="J1026" s="10">
        <v>-71.378600000000006</v>
      </c>
      <c r="K1026" s="10">
        <v>46.8157</v>
      </c>
      <c r="L1026" s="10">
        <v>-71.201899999999995</v>
      </c>
      <c r="M1026" s="10" t="str">
        <f t="shared" si="95"/>
        <v>C12</v>
      </c>
      <c r="N1026" s="10" t="str">
        <f t="shared" si="96"/>
        <v>C83</v>
      </c>
      <c r="O1026" s="5">
        <f t="shared" si="97"/>
        <v>16.077344256282736</v>
      </c>
      <c r="P1026" s="22">
        <f>O1026/Explications!$C$8</f>
        <v>0.5359114752094245</v>
      </c>
      <c r="Q1026" s="7" t="str">
        <f t="shared" si="98"/>
        <v>C83</v>
      </c>
      <c r="R1026" s="7" t="str">
        <f t="shared" si="99"/>
        <v>C12</v>
      </c>
      <c r="S1026" s="18">
        <f t="shared" si="100"/>
        <v>16.077344256282736</v>
      </c>
      <c r="T1026" s="18">
        <f>S1026/Explications!$C$8</f>
        <v>0.5359114752094245</v>
      </c>
    </row>
    <row r="1027" spans="7:20">
      <c r="G1027" s="10" t="s">
        <v>28</v>
      </c>
      <c r="H1027" s="10" t="s">
        <v>100</v>
      </c>
      <c r="I1027" s="10">
        <v>46.895099999999999</v>
      </c>
      <c r="J1027" s="10">
        <v>-71.378600000000006</v>
      </c>
      <c r="K1027" s="10">
        <v>46.837600000000002</v>
      </c>
      <c r="L1027" s="10">
        <v>-71.196299999999994</v>
      </c>
      <c r="M1027" s="10" t="str">
        <f t="shared" si="95"/>
        <v>C12</v>
      </c>
      <c r="N1027" s="10" t="str">
        <f t="shared" si="96"/>
        <v>C84</v>
      </c>
      <c r="O1027" s="5">
        <f t="shared" si="97"/>
        <v>15.262939932557325</v>
      </c>
      <c r="P1027" s="22">
        <f>O1027/Explications!$C$8</f>
        <v>0.50876466441857748</v>
      </c>
      <c r="Q1027" s="7" t="str">
        <f t="shared" si="98"/>
        <v>C84</v>
      </c>
      <c r="R1027" s="7" t="str">
        <f t="shared" si="99"/>
        <v>C12</v>
      </c>
      <c r="S1027" s="18">
        <f t="shared" si="100"/>
        <v>15.262939932557325</v>
      </c>
      <c r="T1027" s="18">
        <f>S1027/Explications!$C$8</f>
        <v>0.50876466441857748</v>
      </c>
    </row>
    <row r="1028" spans="7:20">
      <c r="G1028" s="10" t="s">
        <v>28</v>
      </c>
      <c r="H1028" s="10" t="s">
        <v>101</v>
      </c>
      <c r="I1028" s="10">
        <v>46.895099999999999</v>
      </c>
      <c r="J1028" s="10">
        <v>-71.378600000000006</v>
      </c>
      <c r="K1028" s="10">
        <v>46.7988</v>
      </c>
      <c r="L1028" s="10">
        <v>-71.318200000000004</v>
      </c>
      <c r="M1028" s="10" t="str">
        <f t="shared" ref="M1028:M1091" si="101">G1028</f>
        <v>C12</v>
      </c>
      <c r="N1028" s="10" t="str">
        <f t="shared" ref="N1028:N1091" si="102">H1028</f>
        <v>C85</v>
      </c>
      <c r="O1028" s="5">
        <f t="shared" ref="O1028:O1091" si="103">ACOS(SIN(RADIANS(I1028))*SIN(RADIANS(K1028))+COS(RADIANS(I1028))*COS(RADIANS(K1028))*COS(RADIANS(J1028-L1028)))*6371</f>
        <v>11.651748013525326</v>
      </c>
      <c r="P1028" s="22">
        <f>O1028/Explications!$C$8</f>
        <v>0.3883916004508442</v>
      </c>
      <c r="Q1028" s="7" t="str">
        <f t="shared" ref="Q1028:Q1091" si="104">N1028</f>
        <v>C85</v>
      </c>
      <c r="R1028" s="7" t="str">
        <f t="shared" ref="R1028:R1091" si="105">M1028</f>
        <v>C12</v>
      </c>
      <c r="S1028" s="18">
        <f t="shared" ref="S1028:S1091" si="106">O1028</f>
        <v>11.651748013525326</v>
      </c>
      <c r="T1028" s="18">
        <f>S1028/Explications!$C$8</f>
        <v>0.3883916004508442</v>
      </c>
    </row>
    <row r="1029" spans="7:20">
      <c r="G1029" s="10" t="s">
        <v>29</v>
      </c>
      <c r="H1029" s="10" t="s">
        <v>30</v>
      </c>
      <c r="I1029" s="10">
        <v>46.8033</v>
      </c>
      <c r="J1029" s="10">
        <v>-71.1691</v>
      </c>
      <c r="K1029" s="10">
        <v>46.8596</v>
      </c>
      <c r="L1029" s="10">
        <v>-71.267200000000003</v>
      </c>
      <c r="M1029" s="10" t="str">
        <f t="shared" si="101"/>
        <v>C13</v>
      </c>
      <c r="N1029" s="10" t="str">
        <f t="shared" si="102"/>
        <v>C14</v>
      </c>
      <c r="O1029" s="5">
        <f t="shared" si="103"/>
        <v>9.7408819869214778</v>
      </c>
      <c r="P1029" s="22">
        <f>O1029/Explications!$C$8</f>
        <v>0.32469606623071595</v>
      </c>
      <c r="Q1029" s="7" t="str">
        <f t="shared" si="104"/>
        <v>C14</v>
      </c>
      <c r="R1029" s="7" t="str">
        <f t="shared" si="105"/>
        <v>C13</v>
      </c>
      <c r="S1029" s="18">
        <f t="shared" si="106"/>
        <v>9.7408819869214778</v>
      </c>
      <c r="T1029" s="18">
        <f>S1029/Explications!$C$8</f>
        <v>0.32469606623071595</v>
      </c>
    </row>
    <row r="1030" spans="7:20">
      <c r="G1030" s="10" t="s">
        <v>29</v>
      </c>
      <c r="H1030" s="10" t="s">
        <v>31</v>
      </c>
      <c r="I1030" s="10">
        <v>46.8033</v>
      </c>
      <c r="J1030" s="10">
        <v>-71.1691</v>
      </c>
      <c r="K1030" s="10">
        <v>46.813499999999998</v>
      </c>
      <c r="L1030" s="10">
        <v>-71.215900000000005</v>
      </c>
      <c r="M1030" s="10" t="str">
        <f t="shared" si="101"/>
        <v>C13</v>
      </c>
      <c r="N1030" s="10" t="str">
        <f t="shared" si="102"/>
        <v>C15</v>
      </c>
      <c r="O1030" s="5">
        <f t="shared" si="103"/>
        <v>3.7379962624669849</v>
      </c>
      <c r="P1030" s="22">
        <f>O1030/Explications!$C$8</f>
        <v>0.12459987541556616</v>
      </c>
      <c r="Q1030" s="7" t="str">
        <f t="shared" si="104"/>
        <v>C15</v>
      </c>
      <c r="R1030" s="7" t="str">
        <f t="shared" si="105"/>
        <v>C13</v>
      </c>
      <c r="S1030" s="18">
        <f t="shared" si="106"/>
        <v>3.7379962624669849</v>
      </c>
      <c r="T1030" s="18">
        <f>S1030/Explications!$C$8</f>
        <v>0.12459987541556616</v>
      </c>
    </row>
    <row r="1031" spans="7:20">
      <c r="G1031" s="10" t="s">
        <v>29</v>
      </c>
      <c r="H1031" s="10" t="s">
        <v>32</v>
      </c>
      <c r="I1031" s="10">
        <v>46.8033</v>
      </c>
      <c r="J1031" s="10">
        <v>-71.1691</v>
      </c>
      <c r="K1031" s="10">
        <v>46.733699999999999</v>
      </c>
      <c r="L1031" s="10">
        <v>-71.270099999999999</v>
      </c>
      <c r="M1031" s="10" t="str">
        <f t="shared" si="101"/>
        <v>C13</v>
      </c>
      <c r="N1031" s="10" t="str">
        <f t="shared" si="102"/>
        <v>C16</v>
      </c>
      <c r="O1031" s="5">
        <f t="shared" si="103"/>
        <v>10.911838163669549</v>
      </c>
      <c r="P1031" s="22">
        <f>O1031/Explications!$C$8</f>
        <v>0.36372793878898496</v>
      </c>
      <c r="Q1031" s="7" t="str">
        <f t="shared" si="104"/>
        <v>C16</v>
      </c>
      <c r="R1031" s="7" t="str">
        <f t="shared" si="105"/>
        <v>C13</v>
      </c>
      <c r="S1031" s="18">
        <f t="shared" si="106"/>
        <v>10.911838163669549</v>
      </c>
      <c r="T1031" s="18">
        <f>S1031/Explications!$C$8</f>
        <v>0.36372793878898496</v>
      </c>
    </row>
    <row r="1032" spans="7:20">
      <c r="G1032" s="10" t="s">
        <v>29</v>
      </c>
      <c r="H1032" s="10" t="s">
        <v>33</v>
      </c>
      <c r="I1032" s="10">
        <v>46.8033</v>
      </c>
      <c r="J1032" s="10">
        <v>-71.1691</v>
      </c>
      <c r="K1032" s="10">
        <v>46.8035</v>
      </c>
      <c r="L1032" s="10">
        <v>-71.3553</v>
      </c>
      <c r="M1032" s="10" t="str">
        <f t="shared" si="101"/>
        <v>C13</v>
      </c>
      <c r="N1032" s="10" t="str">
        <f t="shared" si="102"/>
        <v>C17</v>
      </c>
      <c r="O1032" s="5">
        <f t="shared" si="103"/>
        <v>14.17232084219811</v>
      </c>
      <c r="P1032" s="22">
        <f>O1032/Explications!$C$8</f>
        <v>0.47241069473993696</v>
      </c>
      <c r="Q1032" s="7" t="str">
        <f t="shared" si="104"/>
        <v>C17</v>
      </c>
      <c r="R1032" s="7" t="str">
        <f t="shared" si="105"/>
        <v>C13</v>
      </c>
      <c r="S1032" s="18">
        <f t="shared" si="106"/>
        <v>14.17232084219811</v>
      </c>
      <c r="T1032" s="18">
        <f>S1032/Explications!$C$8</f>
        <v>0.47241069473993696</v>
      </c>
    </row>
    <row r="1033" spans="7:20">
      <c r="G1033" s="7" t="s">
        <v>29</v>
      </c>
      <c r="H1033" s="7" t="s">
        <v>34</v>
      </c>
      <c r="I1033" s="7">
        <v>46.8033</v>
      </c>
      <c r="J1033" s="7">
        <v>-71.1691</v>
      </c>
      <c r="K1033" s="7">
        <v>46.730200000000004</v>
      </c>
      <c r="L1033" s="7">
        <v>-71.274100000000004</v>
      </c>
      <c r="M1033" s="10" t="str">
        <f t="shared" si="101"/>
        <v>C13</v>
      </c>
      <c r="N1033" s="10" t="str">
        <f t="shared" si="102"/>
        <v>C18</v>
      </c>
      <c r="O1033" s="5">
        <f t="shared" si="103"/>
        <v>11.402961964361394</v>
      </c>
      <c r="P1033" s="22">
        <f>O1033/Explications!$C$8</f>
        <v>0.38009873214537981</v>
      </c>
      <c r="Q1033" s="7" t="str">
        <f t="shared" si="104"/>
        <v>C18</v>
      </c>
      <c r="R1033" s="7" t="str">
        <f t="shared" si="105"/>
        <v>C13</v>
      </c>
      <c r="S1033" s="18">
        <f t="shared" si="106"/>
        <v>11.402961964361394</v>
      </c>
      <c r="T1033" s="18">
        <f>S1033/Explications!$C$8</f>
        <v>0.38009873214537981</v>
      </c>
    </row>
    <row r="1034" spans="7:20">
      <c r="G1034" s="7" t="s">
        <v>29</v>
      </c>
      <c r="H1034" s="7" t="s">
        <v>35</v>
      </c>
      <c r="I1034" s="7">
        <v>46.8033</v>
      </c>
      <c r="J1034" s="7">
        <v>-71.1691</v>
      </c>
      <c r="K1034" s="7">
        <v>46.785600000000002</v>
      </c>
      <c r="L1034" s="7">
        <v>-71.245500000000007</v>
      </c>
      <c r="M1034" s="10" t="str">
        <f t="shared" si="101"/>
        <v>C13</v>
      </c>
      <c r="N1034" s="10" t="str">
        <f t="shared" si="102"/>
        <v>C19</v>
      </c>
      <c r="O1034" s="5">
        <f t="shared" si="103"/>
        <v>6.1400154063128962</v>
      </c>
      <c r="P1034" s="22">
        <f>O1034/Explications!$C$8</f>
        <v>0.20466718021042987</v>
      </c>
      <c r="Q1034" s="7" t="str">
        <f t="shared" si="104"/>
        <v>C19</v>
      </c>
      <c r="R1034" s="7" t="str">
        <f t="shared" si="105"/>
        <v>C13</v>
      </c>
      <c r="S1034" s="18">
        <f t="shared" si="106"/>
        <v>6.1400154063128962</v>
      </c>
      <c r="T1034" s="18">
        <f>S1034/Explications!$C$8</f>
        <v>0.20466718021042987</v>
      </c>
    </row>
    <row r="1035" spans="7:20">
      <c r="G1035" s="7" t="s">
        <v>29</v>
      </c>
      <c r="H1035" s="7" t="s">
        <v>36</v>
      </c>
      <c r="I1035" s="7">
        <v>46.8033</v>
      </c>
      <c r="J1035" s="7">
        <v>-71.1691</v>
      </c>
      <c r="K1035" s="7">
        <v>46.8215</v>
      </c>
      <c r="L1035" s="7">
        <v>-71.355400000000003</v>
      </c>
      <c r="M1035" s="10" t="str">
        <f t="shared" si="101"/>
        <v>C13</v>
      </c>
      <c r="N1035" s="10" t="str">
        <f t="shared" si="102"/>
        <v>C20</v>
      </c>
      <c r="O1035" s="5">
        <f t="shared" si="103"/>
        <v>14.321251841283789</v>
      </c>
      <c r="P1035" s="22">
        <f>O1035/Explications!$C$8</f>
        <v>0.47737506137612634</v>
      </c>
      <c r="Q1035" s="7" t="str">
        <f t="shared" si="104"/>
        <v>C20</v>
      </c>
      <c r="R1035" s="7" t="str">
        <f t="shared" si="105"/>
        <v>C13</v>
      </c>
      <c r="S1035" s="18">
        <f t="shared" si="106"/>
        <v>14.321251841283789</v>
      </c>
      <c r="T1035" s="18">
        <f>S1035/Explications!$C$8</f>
        <v>0.47737506137612634</v>
      </c>
    </row>
    <row r="1036" spans="7:20">
      <c r="G1036" s="7" t="s">
        <v>29</v>
      </c>
      <c r="H1036" s="7" t="s">
        <v>37</v>
      </c>
      <c r="I1036" s="7">
        <v>46.8033</v>
      </c>
      <c r="J1036" s="7">
        <v>-71.1691</v>
      </c>
      <c r="K1036" s="7">
        <v>46.8093</v>
      </c>
      <c r="L1036" s="7">
        <v>-71.2273</v>
      </c>
      <c r="M1036" s="10" t="str">
        <f t="shared" si="101"/>
        <v>C13</v>
      </c>
      <c r="N1036" s="10" t="str">
        <f t="shared" si="102"/>
        <v>C21</v>
      </c>
      <c r="O1036" s="5">
        <f t="shared" si="103"/>
        <v>4.4795203391516472</v>
      </c>
      <c r="P1036" s="22">
        <f>O1036/Explications!$C$8</f>
        <v>0.14931734463838825</v>
      </c>
      <c r="Q1036" s="7" t="str">
        <f t="shared" si="104"/>
        <v>C21</v>
      </c>
      <c r="R1036" s="7" t="str">
        <f t="shared" si="105"/>
        <v>C13</v>
      </c>
      <c r="S1036" s="18">
        <f t="shared" si="106"/>
        <v>4.4795203391516472</v>
      </c>
      <c r="T1036" s="18">
        <f>S1036/Explications!$C$8</f>
        <v>0.14931734463838825</v>
      </c>
    </row>
    <row r="1037" spans="7:20">
      <c r="G1037" s="7" t="s">
        <v>29</v>
      </c>
      <c r="H1037" s="7" t="s">
        <v>38</v>
      </c>
      <c r="I1037" s="7">
        <v>46.8033</v>
      </c>
      <c r="J1037" s="7">
        <v>-71.1691</v>
      </c>
      <c r="K1037" s="7">
        <v>46.781300000000002</v>
      </c>
      <c r="L1037" s="7">
        <v>-71.301000000000002</v>
      </c>
      <c r="M1037" s="10" t="str">
        <f t="shared" si="101"/>
        <v>C13</v>
      </c>
      <c r="N1037" s="10" t="str">
        <f t="shared" si="102"/>
        <v>C22</v>
      </c>
      <c r="O1037" s="5">
        <f t="shared" si="103"/>
        <v>10.3351085311301</v>
      </c>
      <c r="P1037" s="22">
        <f>O1037/Explications!$C$8</f>
        <v>0.34450361770433668</v>
      </c>
      <c r="Q1037" s="7" t="str">
        <f t="shared" si="104"/>
        <v>C22</v>
      </c>
      <c r="R1037" s="7" t="str">
        <f t="shared" si="105"/>
        <v>C13</v>
      </c>
      <c r="S1037" s="18">
        <f t="shared" si="106"/>
        <v>10.3351085311301</v>
      </c>
      <c r="T1037" s="18">
        <f>S1037/Explications!$C$8</f>
        <v>0.34450361770433668</v>
      </c>
    </row>
    <row r="1038" spans="7:20">
      <c r="G1038" s="7" t="s">
        <v>29</v>
      </c>
      <c r="H1038" s="7" t="s">
        <v>39</v>
      </c>
      <c r="I1038" s="7">
        <v>46.8033</v>
      </c>
      <c r="J1038" s="7">
        <v>-71.1691</v>
      </c>
      <c r="K1038" s="7">
        <v>46.844900000000003</v>
      </c>
      <c r="L1038" s="7">
        <v>-71.251400000000004</v>
      </c>
      <c r="M1038" s="10" t="str">
        <f t="shared" si="101"/>
        <v>C13</v>
      </c>
      <c r="N1038" s="10" t="str">
        <f t="shared" si="102"/>
        <v>C23</v>
      </c>
      <c r="O1038" s="5">
        <f t="shared" si="103"/>
        <v>7.785004171824915</v>
      </c>
      <c r="P1038" s="22">
        <f>O1038/Explications!$C$8</f>
        <v>0.25950013906083053</v>
      </c>
      <c r="Q1038" s="7" t="str">
        <f t="shared" si="104"/>
        <v>C23</v>
      </c>
      <c r="R1038" s="7" t="str">
        <f t="shared" si="105"/>
        <v>C13</v>
      </c>
      <c r="S1038" s="18">
        <f t="shared" si="106"/>
        <v>7.785004171824915</v>
      </c>
      <c r="T1038" s="18">
        <f>S1038/Explications!$C$8</f>
        <v>0.25950013906083053</v>
      </c>
    </row>
    <row r="1039" spans="7:20">
      <c r="G1039" s="7" t="s">
        <v>29</v>
      </c>
      <c r="H1039" s="7" t="s">
        <v>40</v>
      </c>
      <c r="I1039" s="7">
        <v>46.8033</v>
      </c>
      <c r="J1039" s="7">
        <v>-71.1691</v>
      </c>
      <c r="K1039" s="7">
        <v>46.805500000000002</v>
      </c>
      <c r="L1039" s="7">
        <v>-71.2196</v>
      </c>
      <c r="M1039" s="10" t="str">
        <f t="shared" si="101"/>
        <v>C13</v>
      </c>
      <c r="N1039" s="10" t="str">
        <f t="shared" si="102"/>
        <v>C24</v>
      </c>
      <c r="O1039" s="5">
        <f t="shared" si="103"/>
        <v>3.8514297335909173</v>
      </c>
      <c r="P1039" s="22">
        <f>O1039/Explications!$C$8</f>
        <v>0.12838099111969725</v>
      </c>
      <c r="Q1039" s="7" t="str">
        <f t="shared" si="104"/>
        <v>C24</v>
      </c>
      <c r="R1039" s="7" t="str">
        <f t="shared" si="105"/>
        <v>C13</v>
      </c>
      <c r="S1039" s="18">
        <f t="shared" si="106"/>
        <v>3.8514297335909173</v>
      </c>
      <c r="T1039" s="18">
        <f>S1039/Explications!$C$8</f>
        <v>0.12838099111969725</v>
      </c>
    </row>
    <row r="1040" spans="7:20">
      <c r="G1040" s="7" t="s">
        <v>29</v>
      </c>
      <c r="H1040" s="7" t="s">
        <v>41</v>
      </c>
      <c r="I1040" s="7">
        <v>46.8033</v>
      </c>
      <c r="J1040" s="7">
        <v>-71.1691</v>
      </c>
      <c r="K1040" s="7">
        <v>46.734900000000003</v>
      </c>
      <c r="L1040" s="7">
        <v>-71.266199999999998</v>
      </c>
      <c r="M1040" s="10" t="str">
        <f t="shared" si="101"/>
        <v>C13</v>
      </c>
      <c r="N1040" s="10" t="str">
        <f t="shared" si="102"/>
        <v>C25</v>
      </c>
      <c r="O1040" s="5">
        <f t="shared" si="103"/>
        <v>10.608386278928753</v>
      </c>
      <c r="P1040" s="22">
        <f>O1040/Explications!$C$8</f>
        <v>0.35361287596429175</v>
      </c>
      <c r="Q1040" s="7" t="str">
        <f t="shared" si="104"/>
        <v>C25</v>
      </c>
      <c r="R1040" s="7" t="str">
        <f t="shared" si="105"/>
        <v>C13</v>
      </c>
      <c r="S1040" s="18">
        <f t="shared" si="106"/>
        <v>10.608386278928753</v>
      </c>
      <c r="T1040" s="18">
        <f>S1040/Explications!$C$8</f>
        <v>0.35361287596429175</v>
      </c>
    </row>
    <row r="1041" spans="7:20">
      <c r="G1041" s="7" t="s">
        <v>29</v>
      </c>
      <c r="H1041" s="7" t="s">
        <v>42</v>
      </c>
      <c r="I1041" s="7">
        <v>46.8033</v>
      </c>
      <c r="J1041" s="7">
        <v>-71.1691</v>
      </c>
      <c r="K1041" s="7">
        <v>46.817700000000002</v>
      </c>
      <c r="L1041" s="7">
        <v>-71.214100000000002</v>
      </c>
      <c r="M1041" s="10" t="str">
        <f t="shared" si="101"/>
        <v>C13</v>
      </c>
      <c r="N1041" s="10" t="str">
        <f t="shared" si="102"/>
        <v>C26</v>
      </c>
      <c r="O1041" s="5">
        <f t="shared" si="103"/>
        <v>3.7804871812474303</v>
      </c>
      <c r="P1041" s="22">
        <f>O1041/Explications!$C$8</f>
        <v>0.12601623937491435</v>
      </c>
      <c r="Q1041" s="7" t="str">
        <f t="shared" si="104"/>
        <v>C26</v>
      </c>
      <c r="R1041" s="7" t="str">
        <f t="shared" si="105"/>
        <v>C13</v>
      </c>
      <c r="S1041" s="18">
        <f t="shared" si="106"/>
        <v>3.7804871812474303</v>
      </c>
      <c r="T1041" s="18">
        <f>S1041/Explications!$C$8</f>
        <v>0.12601623937491435</v>
      </c>
    </row>
    <row r="1042" spans="7:20">
      <c r="G1042" s="7" t="s">
        <v>29</v>
      </c>
      <c r="H1042" s="7" t="s">
        <v>43</v>
      </c>
      <c r="I1042" s="7">
        <v>46.8033</v>
      </c>
      <c r="J1042" s="7">
        <v>-71.1691</v>
      </c>
      <c r="K1042" s="7">
        <v>46.603000000000002</v>
      </c>
      <c r="L1042" s="7">
        <v>-71.490600000000001</v>
      </c>
      <c r="M1042" s="10" t="str">
        <f t="shared" si="101"/>
        <v>C13</v>
      </c>
      <c r="N1042" s="10" t="str">
        <f t="shared" si="102"/>
        <v>C27</v>
      </c>
      <c r="O1042" s="5">
        <f t="shared" si="103"/>
        <v>33.122323589151748</v>
      </c>
      <c r="P1042" s="22">
        <f>O1042/Explications!$C$8</f>
        <v>1.104077452971725</v>
      </c>
      <c r="Q1042" s="7" t="str">
        <f t="shared" si="104"/>
        <v>C27</v>
      </c>
      <c r="R1042" s="7" t="str">
        <f t="shared" si="105"/>
        <v>C13</v>
      </c>
      <c r="S1042" s="18">
        <f t="shared" si="106"/>
        <v>33.122323589151748</v>
      </c>
      <c r="T1042" s="18">
        <f>S1042/Explications!$C$8</f>
        <v>1.104077452971725</v>
      </c>
    </row>
    <row r="1043" spans="7:20">
      <c r="G1043" s="7" t="s">
        <v>29</v>
      </c>
      <c r="H1043" s="7" t="s">
        <v>44</v>
      </c>
      <c r="I1043" s="7">
        <v>46.8033</v>
      </c>
      <c r="J1043" s="7">
        <v>-71.1691</v>
      </c>
      <c r="K1043" s="7">
        <v>47.000500000000002</v>
      </c>
      <c r="L1043" s="7">
        <v>-71.388400000000004</v>
      </c>
      <c r="M1043" s="10" t="str">
        <f t="shared" si="101"/>
        <v>C13</v>
      </c>
      <c r="N1043" s="10" t="str">
        <f t="shared" si="102"/>
        <v>C28</v>
      </c>
      <c r="O1043" s="5">
        <f t="shared" si="103"/>
        <v>27.539268922870253</v>
      </c>
      <c r="P1043" s="22">
        <f>O1043/Explications!$C$8</f>
        <v>0.91797563076234179</v>
      </c>
      <c r="Q1043" s="7" t="str">
        <f t="shared" si="104"/>
        <v>C28</v>
      </c>
      <c r="R1043" s="7" t="str">
        <f t="shared" si="105"/>
        <v>C13</v>
      </c>
      <c r="S1043" s="18">
        <f t="shared" si="106"/>
        <v>27.539268922870253</v>
      </c>
      <c r="T1043" s="18">
        <f>S1043/Explications!$C$8</f>
        <v>0.91797563076234179</v>
      </c>
    </row>
    <row r="1044" spans="7:20">
      <c r="G1044" s="7" t="s">
        <v>29</v>
      </c>
      <c r="H1044" s="7" t="s">
        <v>45</v>
      </c>
      <c r="I1044" s="7">
        <v>46.8033</v>
      </c>
      <c r="J1044" s="7">
        <v>-71.1691</v>
      </c>
      <c r="K1044" s="7">
        <v>46.839100000000002</v>
      </c>
      <c r="L1044" s="7">
        <v>-71.245699999999999</v>
      </c>
      <c r="M1044" s="10" t="str">
        <f t="shared" si="101"/>
        <v>C13</v>
      </c>
      <c r="N1044" s="10" t="str">
        <f t="shared" si="102"/>
        <v>C29</v>
      </c>
      <c r="O1044" s="5">
        <f t="shared" si="103"/>
        <v>7.0580659746878824</v>
      </c>
      <c r="P1044" s="22">
        <f>O1044/Explications!$C$8</f>
        <v>0.23526886582292941</v>
      </c>
      <c r="Q1044" s="7" t="str">
        <f t="shared" si="104"/>
        <v>C29</v>
      </c>
      <c r="R1044" s="7" t="str">
        <f t="shared" si="105"/>
        <v>C13</v>
      </c>
      <c r="S1044" s="18">
        <f t="shared" si="106"/>
        <v>7.0580659746878824</v>
      </c>
      <c r="T1044" s="18">
        <f>S1044/Explications!$C$8</f>
        <v>0.23526886582292941</v>
      </c>
    </row>
    <row r="1045" spans="7:20">
      <c r="G1045" s="7" t="s">
        <v>29</v>
      </c>
      <c r="H1045" s="7" t="s">
        <v>46</v>
      </c>
      <c r="I1045" s="7">
        <v>46.8033</v>
      </c>
      <c r="J1045" s="7">
        <v>-71.1691</v>
      </c>
      <c r="K1045" s="7">
        <v>46.865699999999997</v>
      </c>
      <c r="L1045" s="7">
        <v>-71.27</v>
      </c>
      <c r="M1045" s="10" t="str">
        <f t="shared" si="101"/>
        <v>C13</v>
      </c>
      <c r="N1045" s="10" t="str">
        <f t="shared" si="102"/>
        <v>C30</v>
      </c>
      <c r="O1045" s="5">
        <f t="shared" si="103"/>
        <v>10.346755241206923</v>
      </c>
      <c r="P1045" s="22">
        <f>O1045/Explications!$C$8</f>
        <v>0.3448918413735641</v>
      </c>
      <c r="Q1045" s="7" t="str">
        <f t="shared" si="104"/>
        <v>C30</v>
      </c>
      <c r="R1045" s="7" t="str">
        <f t="shared" si="105"/>
        <v>C13</v>
      </c>
      <c r="S1045" s="18">
        <f t="shared" si="106"/>
        <v>10.346755241206923</v>
      </c>
      <c r="T1045" s="18">
        <f>S1045/Explications!$C$8</f>
        <v>0.3448918413735641</v>
      </c>
    </row>
    <row r="1046" spans="7:20">
      <c r="G1046" s="7" t="s">
        <v>29</v>
      </c>
      <c r="H1046" s="7" t="s">
        <v>47</v>
      </c>
      <c r="I1046" s="7">
        <v>46.8033</v>
      </c>
      <c r="J1046" s="7">
        <v>-71.1691</v>
      </c>
      <c r="K1046" s="7">
        <v>46.805500000000002</v>
      </c>
      <c r="L1046" s="7">
        <v>-71.217299999999994</v>
      </c>
      <c r="M1046" s="10" t="str">
        <f t="shared" si="101"/>
        <v>C13</v>
      </c>
      <c r="N1046" s="10" t="str">
        <f t="shared" si="102"/>
        <v>C31</v>
      </c>
      <c r="O1046" s="5">
        <f t="shared" si="103"/>
        <v>3.6767425691235287</v>
      </c>
      <c r="P1046" s="22">
        <f>O1046/Explications!$C$8</f>
        <v>0.12255808563745095</v>
      </c>
      <c r="Q1046" s="7" t="str">
        <f t="shared" si="104"/>
        <v>C31</v>
      </c>
      <c r="R1046" s="7" t="str">
        <f t="shared" si="105"/>
        <v>C13</v>
      </c>
      <c r="S1046" s="18">
        <f t="shared" si="106"/>
        <v>3.6767425691235287</v>
      </c>
      <c r="T1046" s="18">
        <f>S1046/Explications!$C$8</f>
        <v>0.12255808563745095</v>
      </c>
    </row>
    <row r="1047" spans="7:20">
      <c r="G1047" s="7" t="s">
        <v>29</v>
      </c>
      <c r="H1047" s="7" t="s">
        <v>48</v>
      </c>
      <c r="I1047" s="7">
        <v>46.8033</v>
      </c>
      <c r="J1047" s="7">
        <v>-71.1691</v>
      </c>
      <c r="K1047" s="7">
        <v>46.792299999999997</v>
      </c>
      <c r="L1047" s="7">
        <v>-71.172899999999998</v>
      </c>
      <c r="M1047" s="10" t="str">
        <f t="shared" si="101"/>
        <v>C13</v>
      </c>
      <c r="N1047" s="10" t="str">
        <f t="shared" si="102"/>
        <v>C32</v>
      </c>
      <c r="O1047" s="5">
        <f t="shared" si="103"/>
        <v>1.256882480205251</v>
      </c>
      <c r="P1047" s="22">
        <f>O1047/Explications!$C$8</f>
        <v>4.1896082673508368E-2</v>
      </c>
      <c r="Q1047" s="7" t="str">
        <f t="shared" si="104"/>
        <v>C32</v>
      </c>
      <c r="R1047" s="7" t="str">
        <f t="shared" si="105"/>
        <v>C13</v>
      </c>
      <c r="S1047" s="18">
        <f t="shared" si="106"/>
        <v>1.256882480205251</v>
      </c>
      <c r="T1047" s="18">
        <f>S1047/Explications!$C$8</f>
        <v>4.1896082673508368E-2</v>
      </c>
    </row>
    <row r="1048" spans="7:20">
      <c r="G1048" s="7" t="s">
        <v>29</v>
      </c>
      <c r="H1048" s="7" t="s">
        <v>49</v>
      </c>
      <c r="I1048" s="7">
        <v>46.8033</v>
      </c>
      <c r="J1048" s="7">
        <v>-71.1691</v>
      </c>
      <c r="K1048" s="7">
        <v>46.7883</v>
      </c>
      <c r="L1048" s="7">
        <v>-71.131200000000007</v>
      </c>
      <c r="M1048" s="10" t="str">
        <f t="shared" si="101"/>
        <v>C13</v>
      </c>
      <c r="N1048" s="10" t="str">
        <f t="shared" si="102"/>
        <v>C33</v>
      </c>
      <c r="O1048" s="5">
        <f t="shared" si="103"/>
        <v>3.332535497746631</v>
      </c>
      <c r="P1048" s="22">
        <f>O1048/Explications!$C$8</f>
        <v>0.11108451659155437</v>
      </c>
      <c r="Q1048" s="7" t="str">
        <f t="shared" si="104"/>
        <v>C33</v>
      </c>
      <c r="R1048" s="7" t="str">
        <f t="shared" si="105"/>
        <v>C13</v>
      </c>
      <c r="S1048" s="18">
        <f t="shared" si="106"/>
        <v>3.332535497746631</v>
      </c>
      <c r="T1048" s="18">
        <f>S1048/Explications!$C$8</f>
        <v>0.11108451659155437</v>
      </c>
    </row>
    <row r="1049" spans="7:20">
      <c r="G1049" s="7" t="s">
        <v>29</v>
      </c>
      <c r="H1049" s="7" t="s">
        <v>50</v>
      </c>
      <c r="I1049" s="7">
        <v>46.8033</v>
      </c>
      <c r="J1049" s="7">
        <v>-71.1691</v>
      </c>
      <c r="K1049" s="7">
        <v>46.8611</v>
      </c>
      <c r="L1049" s="7">
        <v>-71.268799999999999</v>
      </c>
      <c r="M1049" s="10" t="str">
        <f t="shared" si="101"/>
        <v>C13</v>
      </c>
      <c r="N1049" s="10" t="str">
        <f t="shared" si="102"/>
        <v>C34</v>
      </c>
      <c r="O1049" s="5">
        <f t="shared" si="103"/>
        <v>9.9413711200755959</v>
      </c>
      <c r="P1049" s="22">
        <f>O1049/Explications!$C$8</f>
        <v>0.33137903733585322</v>
      </c>
      <c r="Q1049" s="7" t="str">
        <f t="shared" si="104"/>
        <v>C34</v>
      </c>
      <c r="R1049" s="7" t="str">
        <f t="shared" si="105"/>
        <v>C13</v>
      </c>
      <c r="S1049" s="18">
        <f t="shared" si="106"/>
        <v>9.9413711200755959</v>
      </c>
      <c r="T1049" s="18">
        <f>S1049/Explications!$C$8</f>
        <v>0.33137903733585322</v>
      </c>
    </row>
    <row r="1050" spans="7:20">
      <c r="G1050" s="7" t="s">
        <v>29</v>
      </c>
      <c r="H1050" s="7" t="s">
        <v>51</v>
      </c>
      <c r="I1050" s="7">
        <v>46.8033</v>
      </c>
      <c r="J1050" s="7">
        <v>-71.1691</v>
      </c>
      <c r="K1050" s="7">
        <v>46.869700000000002</v>
      </c>
      <c r="L1050" s="7">
        <v>-71.205200000000005</v>
      </c>
      <c r="M1050" s="10" t="str">
        <f t="shared" si="101"/>
        <v>C13</v>
      </c>
      <c r="N1050" s="10" t="str">
        <f t="shared" si="102"/>
        <v>C35</v>
      </c>
      <c r="O1050" s="5">
        <f t="shared" si="103"/>
        <v>7.8774535188866119</v>
      </c>
      <c r="P1050" s="22">
        <f>O1050/Explications!$C$8</f>
        <v>0.26258178396288706</v>
      </c>
      <c r="Q1050" s="7" t="str">
        <f t="shared" si="104"/>
        <v>C35</v>
      </c>
      <c r="R1050" s="7" t="str">
        <f t="shared" si="105"/>
        <v>C13</v>
      </c>
      <c r="S1050" s="18">
        <f t="shared" si="106"/>
        <v>7.8774535188866119</v>
      </c>
      <c r="T1050" s="18">
        <f>S1050/Explications!$C$8</f>
        <v>0.26258178396288706</v>
      </c>
    </row>
    <row r="1051" spans="7:20">
      <c r="G1051" s="7" t="s">
        <v>29</v>
      </c>
      <c r="H1051" s="7" t="s">
        <v>52</v>
      </c>
      <c r="I1051" s="7">
        <v>46.8033</v>
      </c>
      <c r="J1051" s="7">
        <v>-71.1691</v>
      </c>
      <c r="K1051" s="7">
        <v>46.774099999999997</v>
      </c>
      <c r="L1051" s="7">
        <v>-71.174000000000007</v>
      </c>
      <c r="M1051" s="10" t="str">
        <f t="shared" si="101"/>
        <v>C13</v>
      </c>
      <c r="N1051" s="10" t="str">
        <f t="shared" si="102"/>
        <v>C36</v>
      </c>
      <c r="O1051" s="5">
        <f t="shared" si="103"/>
        <v>3.2682531268367558</v>
      </c>
      <c r="P1051" s="22">
        <f>O1051/Explications!$C$8</f>
        <v>0.10894177089455853</v>
      </c>
      <c r="Q1051" s="7" t="str">
        <f t="shared" si="104"/>
        <v>C36</v>
      </c>
      <c r="R1051" s="7" t="str">
        <f t="shared" si="105"/>
        <v>C13</v>
      </c>
      <c r="S1051" s="18">
        <f t="shared" si="106"/>
        <v>3.2682531268367558</v>
      </c>
      <c r="T1051" s="18">
        <f>S1051/Explications!$C$8</f>
        <v>0.10894177089455853</v>
      </c>
    </row>
    <row r="1052" spans="7:20">
      <c r="G1052" s="7" t="s">
        <v>29</v>
      </c>
      <c r="H1052" s="7" t="s">
        <v>53</v>
      </c>
      <c r="I1052" s="7">
        <v>46.8033</v>
      </c>
      <c r="J1052" s="7">
        <v>-71.1691</v>
      </c>
      <c r="K1052" s="7">
        <v>46.808500000000002</v>
      </c>
      <c r="L1052" s="7">
        <v>-71.326599999999999</v>
      </c>
      <c r="M1052" s="10" t="str">
        <f t="shared" si="101"/>
        <v>C13</v>
      </c>
      <c r="N1052" s="10" t="str">
        <f t="shared" si="102"/>
        <v>C37</v>
      </c>
      <c r="O1052" s="5">
        <f t="shared" si="103"/>
        <v>12.00123142617489</v>
      </c>
      <c r="P1052" s="22">
        <f>O1052/Explications!$C$8</f>
        <v>0.40004104753916297</v>
      </c>
      <c r="Q1052" s="7" t="str">
        <f t="shared" si="104"/>
        <v>C37</v>
      </c>
      <c r="R1052" s="7" t="str">
        <f t="shared" si="105"/>
        <v>C13</v>
      </c>
      <c r="S1052" s="18">
        <f t="shared" si="106"/>
        <v>12.00123142617489</v>
      </c>
      <c r="T1052" s="18">
        <f>S1052/Explications!$C$8</f>
        <v>0.40004104753916297</v>
      </c>
    </row>
    <row r="1053" spans="7:20">
      <c r="G1053" s="7" t="s">
        <v>29</v>
      </c>
      <c r="H1053" s="7" t="s">
        <v>54</v>
      </c>
      <c r="I1053" s="7">
        <v>46.8033</v>
      </c>
      <c r="J1053" s="7">
        <v>-71.1691</v>
      </c>
      <c r="K1053" s="7">
        <v>46.797499999999999</v>
      </c>
      <c r="L1053" s="7">
        <v>-71.306100000000001</v>
      </c>
      <c r="M1053" s="10" t="str">
        <f t="shared" si="101"/>
        <v>C13</v>
      </c>
      <c r="N1053" s="10" t="str">
        <f t="shared" si="102"/>
        <v>C38</v>
      </c>
      <c r="O1053" s="5">
        <f t="shared" si="103"/>
        <v>10.448033729310902</v>
      </c>
      <c r="P1053" s="22">
        <f>O1053/Explications!$C$8</f>
        <v>0.34826779097703009</v>
      </c>
      <c r="Q1053" s="7" t="str">
        <f t="shared" si="104"/>
        <v>C38</v>
      </c>
      <c r="R1053" s="7" t="str">
        <f t="shared" si="105"/>
        <v>C13</v>
      </c>
      <c r="S1053" s="18">
        <f t="shared" si="106"/>
        <v>10.448033729310902</v>
      </c>
      <c r="T1053" s="18">
        <f>S1053/Explications!$C$8</f>
        <v>0.34826779097703009</v>
      </c>
    </row>
    <row r="1054" spans="7:20">
      <c r="G1054" s="7" t="s">
        <v>29</v>
      </c>
      <c r="H1054" s="7" t="s">
        <v>55</v>
      </c>
      <c r="I1054" s="7">
        <v>46.8033</v>
      </c>
      <c r="J1054" s="7">
        <v>-71.1691</v>
      </c>
      <c r="K1054" s="7">
        <v>46.8155</v>
      </c>
      <c r="L1054" s="7">
        <v>-71.268199999999993</v>
      </c>
      <c r="M1054" s="10" t="str">
        <f t="shared" si="101"/>
        <v>C13</v>
      </c>
      <c r="N1054" s="10" t="str">
        <f t="shared" si="102"/>
        <v>C39</v>
      </c>
      <c r="O1054" s="5">
        <f t="shared" si="103"/>
        <v>7.6630243408940126</v>
      </c>
      <c r="P1054" s="22">
        <f>O1054/Explications!$C$8</f>
        <v>0.25543414469646708</v>
      </c>
      <c r="Q1054" s="7" t="str">
        <f t="shared" si="104"/>
        <v>C39</v>
      </c>
      <c r="R1054" s="7" t="str">
        <f t="shared" si="105"/>
        <v>C13</v>
      </c>
      <c r="S1054" s="18">
        <f t="shared" si="106"/>
        <v>7.6630243408940126</v>
      </c>
      <c r="T1054" s="18">
        <f>S1054/Explications!$C$8</f>
        <v>0.25543414469646708</v>
      </c>
    </row>
    <row r="1055" spans="7:20">
      <c r="G1055" s="7" t="s">
        <v>29</v>
      </c>
      <c r="H1055" s="7" t="s">
        <v>56</v>
      </c>
      <c r="I1055" s="7">
        <v>46.8033</v>
      </c>
      <c r="J1055" s="7">
        <v>-71.1691</v>
      </c>
      <c r="K1055" s="7">
        <v>46.866700000000002</v>
      </c>
      <c r="L1055" s="7">
        <v>-71.215900000000005</v>
      </c>
      <c r="M1055" s="10" t="str">
        <f t="shared" si="101"/>
        <v>C13</v>
      </c>
      <c r="N1055" s="10" t="str">
        <f t="shared" si="102"/>
        <v>C40</v>
      </c>
      <c r="O1055" s="5">
        <f t="shared" si="103"/>
        <v>7.8976435243157557</v>
      </c>
      <c r="P1055" s="22">
        <f>O1055/Explications!$C$8</f>
        <v>0.2632547841438585</v>
      </c>
      <c r="Q1055" s="7" t="str">
        <f t="shared" si="104"/>
        <v>C40</v>
      </c>
      <c r="R1055" s="7" t="str">
        <f t="shared" si="105"/>
        <v>C13</v>
      </c>
      <c r="S1055" s="18">
        <f t="shared" si="106"/>
        <v>7.8976435243157557</v>
      </c>
      <c r="T1055" s="18">
        <f>S1055/Explications!$C$8</f>
        <v>0.2632547841438585</v>
      </c>
    </row>
    <row r="1056" spans="7:20">
      <c r="G1056" s="7" t="s">
        <v>29</v>
      </c>
      <c r="H1056" s="7" t="s">
        <v>57</v>
      </c>
      <c r="I1056" s="7">
        <v>46.8033</v>
      </c>
      <c r="J1056" s="7">
        <v>-71.1691</v>
      </c>
      <c r="K1056" s="7">
        <v>46.762099999999997</v>
      </c>
      <c r="L1056" s="7">
        <v>-71.235399999999998</v>
      </c>
      <c r="M1056" s="10" t="str">
        <f t="shared" si="101"/>
        <v>C13</v>
      </c>
      <c r="N1056" s="10" t="str">
        <f t="shared" si="102"/>
        <v>C41</v>
      </c>
      <c r="O1056" s="5">
        <f t="shared" si="103"/>
        <v>6.8170791123706653</v>
      </c>
      <c r="P1056" s="22">
        <f>O1056/Explications!$C$8</f>
        <v>0.22723597041235552</v>
      </c>
      <c r="Q1056" s="7" t="str">
        <f t="shared" si="104"/>
        <v>C41</v>
      </c>
      <c r="R1056" s="7" t="str">
        <f t="shared" si="105"/>
        <v>C13</v>
      </c>
      <c r="S1056" s="18">
        <f t="shared" si="106"/>
        <v>6.8170791123706653</v>
      </c>
      <c r="T1056" s="18">
        <f>S1056/Explications!$C$8</f>
        <v>0.22723597041235552</v>
      </c>
    </row>
    <row r="1057" spans="7:20">
      <c r="G1057" s="7" t="s">
        <v>29</v>
      </c>
      <c r="H1057" s="7" t="s">
        <v>58</v>
      </c>
      <c r="I1057" s="7">
        <v>46.8033</v>
      </c>
      <c r="J1057" s="7">
        <v>-71.1691</v>
      </c>
      <c r="K1057" s="7">
        <v>46.8157</v>
      </c>
      <c r="L1057" s="7">
        <v>-71.2042</v>
      </c>
      <c r="M1057" s="10" t="str">
        <f t="shared" si="101"/>
        <v>C13</v>
      </c>
      <c r="N1057" s="10" t="str">
        <f t="shared" si="102"/>
        <v>C42</v>
      </c>
      <c r="O1057" s="5">
        <f t="shared" si="103"/>
        <v>3.0061355366180891</v>
      </c>
      <c r="P1057" s="22">
        <f>O1057/Explications!$C$8</f>
        <v>0.10020451788726964</v>
      </c>
      <c r="Q1057" s="7" t="str">
        <f t="shared" si="104"/>
        <v>C42</v>
      </c>
      <c r="R1057" s="7" t="str">
        <f t="shared" si="105"/>
        <v>C13</v>
      </c>
      <c r="S1057" s="18">
        <f t="shared" si="106"/>
        <v>3.0061355366180891</v>
      </c>
      <c r="T1057" s="18">
        <f>S1057/Explications!$C$8</f>
        <v>0.10020451788726964</v>
      </c>
    </row>
    <row r="1058" spans="7:20">
      <c r="G1058" s="7" t="s">
        <v>29</v>
      </c>
      <c r="H1058" s="7" t="s">
        <v>59</v>
      </c>
      <c r="I1058" s="7">
        <v>46.8033</v>
      </c>
      <c r="J1058" s="7">
        <v>-71.1691</v>
      </c>
      <c r="K1058" s="7">
        <v>46.707000000000001</v>
      </c>
      <c r="L1058" s="7">
        <v>-71.217100000000002</v>
      </c>
      <c r="M1058" s="10" t="str">
        <f t="shared" si="101"/>
        <v>C13</v>
      </c>
      <c r="N1058" s="10" t="str">
        <f t="shared" si="102"/>
        <v>C43</v>
      </c>
      <c r="O1058" s="5">
        <f t="shared" si="103"/>
        <v>11.315226673080097</v>
      </c>
      <c r="P1058" s="22">
        <f>O1058/Explications!$C$8</f>
        <v>0.37717422243600324</v>
      </c>
      <c r="Q1058" s="7" t="str">
        <f t="shared" si="104"/>
        <v>C43</v>
      </c>
      <c r="R1058" s="7" t="str">
        <f t="shared" si="105"/>
        <v>C13</v>
      </c>
      <c r="S1058" s="18">
        <f t="shared" si="106"/>
        <v>11.315226673080097</v>
      </c>
      <c r="T1058" s="18">
        <f>S1058/Explications!$C$8</f>
        <v>0.37717422243600324</v>
      </c>
    </row>
    <row r="1059" spans="7:20">
      <c r="G1059" s="7" t="s">
        <v>29</v>
      </c>
      <c r="H1059" s="7" t="s">
        <v>60</v>
      </c>
      <c r="I1059" s="7">
        <v>46.8033</v>
      </c>
      <c r="J1059" s="7">
        <v>-71.1691</v>
      </c>
      <c r="K1059" s="7">
        <v>46.802900000000001</v>
      </c>
      <c r="L1059" s="7">
        <v>-71.228899999999996</v>
      </c>
      <c r="M1059" s="10" t="str">
        <f t="shared" si="101"/>
        <v>C13</v>
      </c>
      <c r="N1059" s="10" t="str">
        <f t="shared" si="102"/>
        <v>C44</v>
      </c>
      <c r="O1059" s="5">
        <f t="shared" si="103"/>
        <v>4.5518212154226738</v>
      </c>
      <c r="P1059" s="22">
        <f>O1059/Explications!$C$8</f>
        <v>0.15172737384742246</v>
      </c>
      <c r="Q1059" s="7" t="str">
        <f t="shared" si="104"/>
        <v>C44</v>
      </c>
      <c r="R1059" s="7" t="str">
        <f t="shared" si="105"/>
        <v>C13</v>
      </c>
      <c r="S1059" s="18">
        <f t="shared" si="106"/>
        <v>4.5518212154226738</v>
      </c>
      <c r="T1059" s="18">
        <f>S1059/Explications!$C$8</f>
        <v>0.15172737384742246</v>
      </c>
    </row>
    <row r="1060" spans="7:20">
      <c r="G1060" s="7" t="s">
        <v>29</v>
      </c>
      <c r="H1060" s="7" t="s">
        <v>61</v>
      </c>
      <c r="I1060" s="7">
        <v>46.8033</v>
      </c>
      <c r="J1060" s="7">
        <v>-71.1691</v>
      </c>
      <c r="K1060" s="7">
        <v>46.796900000000001</v>
      </c>
      <c r="L1060" s="7">
        <v>-71.3078</v>
      </c>
      <c r="M1060" s="10" t="str">
        <f t="shared" si="101"/>
        <v>C13</v>
      </c>
      <c r="N1060" s="10" t="str">
        <f t="shared" si="102"/>
        <v>C45</v>
      </c>
      <c r="O1060" s="5">
        <f t="shared" si="103"/>
        <v>10.581526112390778</v>
      </c>
      <c r="P1060" s="22">
        <f>O1060/Explications!$C$8</f>
        <v>0.35271753707969261</v>
      </c>
      <c r="Q1060" s="7" t="str">
        <f t="shared" si="104"/>
        <v>C45</v>
      </c>
      <c r="R1060" s="7" t="str">
        <f t="shared" si="105"/>
        <v>C13</v>
      </c>
      <c r="S1060" s="18">
        <f t="shared" si="106"/>
        <v>10.581526112390778</v>
      </c>
      <c r="T1060" s="18">
        <f>S1060/Explications!$C$8</f>
        <v>0.35271753707969261</v>
      </c>
    </row>
    <row r="1061" spans="7:20">
      <c r="G1061" s="7" t="s">
        <v>29</v>
      </c>
      <c r="H1061" s="7" t="s">
        <v>62</v>
      </c>
      <c r="I1061" s="7">
        <v>46.8033</v>
      </c>
      <c r="J1061" s="7">
        <v>-71.1691</v>
      </c>
      <c r="K1061" s="7">
        <v>46.803600000000003</v>
      </c>
      <c r="L1061" s="7">
        <v>-71.231099999999998</v>
      </c>
      <c r="M1061" s="10" t="str">
        <f t="shared" si="101"/>
        <v>C13</v>
      </c>
      <c r="N1061" s="10" t="str">
        <f t="shared" si="102"/>
        <v>C46</v>
      </c>
      <c r="O1061" s="5">
        <f t="shared" si="103"/>
        <v>4.7191414079605281</v>
      </c>
      <c r="P1061" s="22">
        <f>O1061/Explications!$C$8</f>
        <v>0.15730471359868428</v>
      </c>
      <c r="Q1061" s="7" t="str">
        <f t="shared" si="104"/>
        <v>C46</v>
      </c>
      <c r="R1061" s="7" t="str">
        <f t="shared" si="105"/>
        <v>C13</v>
      </c>
      <c r="S1061" s="18">
        <f t="shared" si="106"/>
        <v>4.7191414079605281</v>
      </c>
      <c r="T1061" s="18">
        <f>S1061/Explications!$C$8</f>
        <v>0.15730471359868428</v>
      </c>
    </row>
    <row r="1062" spans="7:20">
      <c r="G1062" s="7" t="s">
        <v>29</v>
      </c>
      <c r="H1062" s="7" t="s">
        <v>63</v>
      </c>
      <c r="I1062" s="7">
        <v>46.8033</v>
      </c>
      <c r="J1062" s="7">
        <v>-71.1691</v>
      </c>
      <c r="K1062" s="7">
        <v>46.802399999999999</v>
      </c>
      <c r="L1062" s="7">
        <v>-71.269800000000004</v>
      </c>
      <c r="M1062" s="10" t="str">
        <f t="shared" si="101"/>
        <v>C13</v>
      </c>
      <c r="N1062" s="10" t="str">
        <f t="shared" si="102"/>
        <v>C47</v>
      </c>
      <c r="O1062" s="5">
        <f t="shared" si="103"/>
        <v>7.6653459844784386</v>
      </c>
      <c r="P1062" s="22">
        <f>O1062/Explications!$C$8</f>
        <v>0.25551153281594796</v>
      </c>
      <c r="Q1062" s="7" t="str">
        <f t="shared" si="104"/>
        <v>C47</v>
      </c>
      <c r="R1062" s="7" t="str">
        <f t="shared" si="105"/>
        <v>C13</v>
      </c>
      <c r="S1062" s="18">
        <f t="shared" si="106"/>
        <v>7.6653459844784386</v>
      </c>
      <c r="T1062" s="18">
        <f>S1062/Explications!$C$8</f>
        <v>0.25551153281594796</v>
      </c>
    </row>
    <row r="1063" spans="7:20">
      <c r="G1063" s="7" t="s">
        <v>29</v>
      </c>
      <c r="H1063" s="7" t="s">
        <v>64</v>
      </c>
      <c r="I1063" s="7">
        <v>46.8033</v>
      </c>
      <c r="J1063" s="7">
        <v>-71.1691</v>
      </c>
      <c r="K1063" s="7">
        <v>46.826799999999999</v>
      </c>
      <c r="L1063" s="7">
        <v>-71.224199999999996</v>
      </c>
      <c r="M1063" s="10" t="str">
        <f t="shared" si="101"/>
        <v>C13</v>
      </c>
      <c r="N1063" s="10" t="str">
        <f t="shared" si="102"/>
        <v>C48</v>
      </c>
      <c r="O1063" s="5">
        <f t="shared" si="103"/>
        <v>4.9405379264967531</v>
      </c>
      <c r="P1063" s="22">
        <f>O1063/Explications!$C$8</f>
        <v>0.16468459754989176</v>
      </c>
      <c r="Q1063" s="7" t="str">
        <f t="shared" si="104"/>
        <v>C48</v>
      </c>
      <c r="R1063" s="7" t="str">
        <f t="shared" si="105"/>
        <v>C13</v>
      </c>
      <c r="S1063" s="18">
        <f t="shared" si="106"/>
        <v>4.9405379264967531</v>
      </c>
      <c r="T1063" s="18">
        <f>S1063/Explications!$C$8</f>
        <v>0.16468459754989176</v>
      </c>
    </row>
    <row r="1064" spans="7:20">
      <c r="G1064" s="7" t="s">
        <v>29</v>
      </c>
      <c r="H1064" s="7" t="s">
        <v>65</v>
      </c>
      <c r="I1064" s="7">
        <v>46.8033</v>
      </c>
      <c r="J1064" s="7">
        <v>-71.1691</v>
      </c>
      <c r="K1064" s="7">
        <v>46.864100000000001</v>
      </c>
      <c r="L1064" s="7">
        <v>-71.255499999999998</v>
      </c>
      <c r="M1064" s="10" t="str">
        <f t="shared" si="101"/>
        <v>C13</v>
      </c>
      <c r="N1064" s="10" t="str">
        <f t="shared" si="102"/>
        <v>C49</v>
      </c>
      <c r="O1064" s="5">
        <f t="shared" si="103"/>
        <v>9.4288917826482415</v>
      </c>
      <c r="P1064" s="22">
        <f>O1064/Explications!$C$8</f>
        <v>0.31429639275494137</v>
      </c>
      <c r="Q1064" s="7" t="str">
        <f t="shared" si="104"/>
        <v>C49</v>
      </c>
      <c r="R1064" s="7" t="str">
        <f t="shared" si="105"/>
        <v>C13</v>
      </c>
      <c r="S1064" s="18">
        <f t="shared" si="106"/>
        <v>9.4288917826482415</v>
      </c>
      <c r="T1064" s="18">
        <f>S1064/Explications!$C$8</f>
        <v>0.31429639275494137</v>
      </c>
    </row>
    <row r="1065" spans="7:20">
      <c r="G1065" s="7" t="s">
        <v>29</v>
      </c>
      <c r="H1065" s="7" t="s">
        <v>66</v>
      </c>
      <c r="I1065" s="7">
        <v>46.8033</v>
      </c>
      <c r="J1065" s="7">
        <v>-71.1691</v>
      </c>
      <c r="K1065" s="7">
        <v>46.843800000000002</v>
      </c>
      <c r="L1065" s="7">
        <v>-71.247299999999996</v>
      </c>
      <c r="M1065" s="10" t="str">
        <f t="shared" si="101"/>
        <v>C13</v>
      </c>
      <c r="N1065" s="10" t="str">
        <f t="shared" si="102"/>
        <v>C50</v>
      </c>
      <c r="O1065" s="5">
        <f t="shared" si="103"/>
        <v>7.461975961292401</v>
      </c>
      <c r="P1065" s="22">
        <f>O1065/Explications!$C$8</f>
        <v>0.24873253204308005</v>
      </c>
      <c r="Q1065" s="7" t="str">
        <f t="shared" si="104"/>
        <v>C50</v>
      </c>
      <c r="R1065" s="7" t="str">
        <f t="shared" si="105"/>
        <v>C13</v>
      </c>
      <c r="S1065" s="18">
        <f t="shared" si="106"/>
        <v>7.461975961292401</v>
      </c>
      <c r="T1065" s="18">
        <f>S1065/Explications!$C$8</f>
        <v>0.24873253204308005</v>
      </c>
    </row>
    <row r="1066" spans="7:20">
      <c r="G1066" s="7" t="s">
        <v>29</v>
      </c>
      <c r="H1066" s="7" t="s">
        <v>67</v>
      </c>
      <c r="I1066" s="7">
        <v>46.8033</v>
      </c>
      <c r="J1066" s="7">
        <v>-71.1691</v>
      </c>
      <c r="K1066" s="7">
        <v>46.765599999999999</v>
      </c>
      <c r="L1066" s="7">
        <v>-71.312100000000001</v>
      </c>
      <c r="M1066" s="10" t="str">
        <f t="shared" si="101"/>
        <v>C13</v>
      </c>
      <c r="N1066" s="10" t="str">
        <f t="shared" si="102"/>
        <v>C51</v>
      </c>
      <c r="O1066" s="5">
        <f t="shared" si="103"/>
        <v>11.667163454600807</v>
      </c>
      <c r="P1066" s="22">
        <f>O1066/Explications!$C$8</f>
        <v>0.38890544848669356</v>
      </c>
      <c r="Q1066" s="7" t="str">
        <f t="shared" si="104"/>
        <v>C51</v>
      </c>
      <c r="R1066" s="7" t="str">
        <f t="shared" si="105"/>
        <v>C13</v>
      </c>
      <c r="S1066" s="18">
        <f t="shared" si="106"/>
        <v>11.667163454600807</v>
      </c>
      <c r="T1066" s="18">
        <f>S1066/Explications!$C$8</f>
        <v>0.38890544848669356</v>
      </c>
    </row>
    <row r="1067" spans="7:20">
      <c r="G1067" s="7" t="s">
        <v>29</v>
      </c>
      <c r="H1067" s="7" t="s">
        <v>68</v>
      </c>
      <c r="I1067" s="7">
        <v>46.8033</v>
      </c>
      <c r="J1067" s="7">
        <v>-71.1691</v>
      </c>
      <c r="K1067" s="7">
        <v>46.787599999999998</v>
      </c>
      <c r="L1067" s="7">
        <v>-71.288600000000002</v>
      </c>
      <c r="M1067" s="10" t="str">
        <f t="shared" si="101"/>
        <v>C13</v>
      </c>
      <c r="N1067" s="10" t="str">
        <f t="shared" si="102"/>
        <v>C52</v>
      </c>
      <c r="O1067" s="5">
        <f t="shared" si="103"/>
        <v>9.2628865640024038</v>
      </c>
      <c r="P1067" s="22">
        <f>O1067/Explications!$C$8</f>
        <v>0.30876288546674679</v>
      </c>
      <c r="Q1067" s="7" t="str">
        <f t="shared" si="104"/>
        <v>C52</v>
      </c>
      <c r="R1067" s="7" t="str">
        <f t="shared" si="105"/>
        <v>C13</v>
      </c>
      <c r="S1067" s="18">
        <f t="shared" si="106"/>
        <v>9.2628865640024038</v>
      </c>
      <c r="T1067" s="18">
        <f>S1067/Explications!$C$8</f>
        <v>0.30876288546674679</v>
      </c>
    </row>
    <row r="1068" spans="7:20">
      <c r="G1068" s="7" t="s">
        <v>29</v>
      </c>
      <c r="H1068" s="7" t="s">
        <v>69</v>
      </c>
      <c r="I1068" s="7">
        <v>46.8033</v>
      </c>
      <c r="J1068" s="7">
        <v>-71.1691</v>
      </c>
      <c r="K1068" s="7">
        <v>46.764600000000002</v>
      </c>
      <c r="L1068" s="7">
        <v>-71.308300000000003</v>
      </c>
      <c r="M1068" s="10" t="str">
        <f t="shared" si="101"/>
        <v>C13</v>
      </c>
      <c r="N1068" s="10" t="str">
        <f t="shared" si="102"/>
        <v>C53</v>
      </c>
      <c r="O1068" s="5">
        <f t="shared" si="103"/>
        <v>11.439082479859925</v>
      </c>
      <c r="P1068" s="22">
        <f>O1068/Explications!$C$8</f>
        <v>0.38130274932866415</v>
      </c>
      <c r="Q1068" s="7" t="str">
        <f t="shared" si="104"/>
        <v>C53</v>
      </c>
      <c r="R1068" s="7" t="str">
        <f t="shared" si="105"/>
        <v>C13</v>
      </c>
      <c r="S1068" s="18">
        <f t="shared" si="106"/>
        <v>11.439082479859925</v>
      </c>
      <c r="T1068" s="18">
        <f>S1068/Explications!$C$8</f>
        <v>0.38130274932866415</v>
      </c>
    </row>
    <row r="1069" spans="7:20">
      <c r="G1069" s="7" t="s">
        <v>29</v>
      </c>
      <c r="H1069" s="7" t="s">
        <v>70</v>
      </c>
      <c r="I1069" s="7">
        <v>46.8033</v>
      </c>
      <c r="J1069" s="7">
        <v>-71.1691</v>
      </c>
      <c r="K1069" s="7">
        <v>46.849699999999999</v>
      </c>
      <c r="L1069" s="7">
        <v>-71.097399999999993</v>
      </c>
      <c r="M1069" s="10" t="str">
        <f t="shared" si="101"/>
        <v>C13</v>
      </c>
      <c r="N1069" s="10" t="str">
        <f t="shared" si="102"/>
        <v>C54</v>
      </c>
      <c r="O1069" s="5">
        <f t="shared" si="103"/>
        <v>7.5084424347278187</v>
      </c>
      <c r="P1069" s="22">
        <f>O1069/Explications!$C$8</f>
        <v>0.25028141449092728</v>
      </c>
      <c r="Q1069" s="7" t="str">
        <f t="shared" si="104"/>
        <v>C54</v>
      </c>
      <c r="R1069" s="7" t="str">
        <f t="shared" si="105"/>
        <v>C13</v>
      </c>
      <c r="S1069" s="18">
        <f t="shared" si="106"/>
        <v>7.5084424347278187</v>
      </c>
      <c r="T1069" s="18">
        <f>S1069/Explications!$C$8</f>
        <v>0.25028141449092728</v>
      </c>
    </row>
    <row r="1070" spans="7:20">
      <c r="G1070" s="7" t="s">
        <v>29</v>
      </c>
      <c r="H1070" s="7" t="s">
        <v>71</v>
      </c>
      <c r="I1070" s="7">
        <v>46.8033</v>
      </c>
      <c r="J1070" s="7">
        <v>-71.1691</v>
      </c>
      <c r="K1070" s="7">
        <v>46.788899999999998</v>
      </c>
      <c r="L1070" s="7">
        <v>-71.321399999999997</v>
      </c>
      <c r="M1070" s="10" t="str">
        <f t="shared" si="101"/>
        <v>C13</v>
      </c>
      <c r="N1070" s="10" t="str">
        <f t="shared" si="102"/>
        <v>C55</v>
      </c>
      <c r="O1070" s="5">
        <f t="shared" si="103"/>
        <v>11.703684620364353</v>
      </c>
      <c r="P1070" s="22">
        <f>O1070/Explications!$C$8</f>
        <v>0.39012282067881177</v>
      </c>
      <c r="Q1070" s="7" t="str">
        <f t="shared" si="104"/>
        <v>C55</v>
      </c>
      <c r="R1070" s="7" t="str">
        <f t="shared" si="105"/>
        <v>C13</v>
      </c>
      <c r="S1070" s="18">
        <f t="shared" si="106"/>
        <v>11.703684620364353</v>
      </c>
      <c r="T1070" s="18">
        <f>S1070/Explications!$C$8</f>
        <v>0.39012282067881177</v>
      </c>
    </row>
    <row r="1071" spans="7:20">
      <c r="G1071" s="7" t="s">
        <v>29</v>
      </c>
      <c r="H1071" s="7" t="s">
        <v>72</v>
      </c>
      <c r="I1071" s="7">
        <v>46.8033</v>
      </c>
      <c r="J1071" s="7">
        <v>-71.1691</v>
      </c>
      <c r="K1071" s="7">
        <v>46.795400000000001</v>
      </c>
      <c r="L1071" s="7">
        <v>-71.232600000000005</v>
      </c>
      <c r="M1071" s="10" t="str">
        <f t="shared" si="101"/>
        <v>C13</v>
      </c>
      <c r="N1071" s="10" t="str">
        <f t="shared" si="102"/>
        <v>C56</v>
      </c>
      <c r="O1071" s="5">
        <f t="shared" si="103"/>
        <v>4.9127360765753227</v>
      </c>
      <c r="P1071" s="22">
        <f>O1071/Explications!$C$8</f>
        <v>0.16375786921917743</v>
      </c>
      <c r="Q1071" s="7" t="str">
        <f t="shared" si="104"/>
        <v>C56</v>
      </c>
      <c r="R1071" s="7" t="str">
        <f t="shared" si="105"/>
        <v>C13</v>
      </c>
      <c r="S1071" s="18">
        <f t="shared" si="106"/>
        <v>4.9127360765753227</v>
      </c>
      <c r="T1071" s="18">
        <f>S1071/Explications!$C$8</f>
        <v>0.16375786921917743</v>
      </c>
    </row>
    <row r="1072" spans="7:20">
      <c r="G1072" s="7" t="s">
        <v>29</v>
      </c>
      <c r="H1072" s="7" t="s">
        <v>73</v>
      </c>
      <c r="I1072" s="7">
        <v>46.8033</v>
      </c>
      <c r="J1072" s="7">
        <v>-71.1691</v>
      </c>
      <c r="K1072" s="7">
        <v>46.801200000000001</v>
      </c>
      <c r="L1072" s="7">
        <v>-71.224999999999994</v>
      </c>
      <c r="M1072" s="10" t="str">
        <f t="shared" si="101"/>
        <v>C13</v>
      </c>
      <c r="N1072" s="10" t="str">
        <f t="shared" si="102"/>
        <v>C57</v>
      </c>
      <c r="O1072" s="5">
        <f t="shared" si="103"/>
        <v>4.2612302054093787</v>
      </c>
      <c r="P1072" s="22">
        <f>O1072/Explications!$C$8</f>
        <v>0.14204100684697929</v>
      </c>
      <c r="Q1072" s="7" t="str">
        <f t="shared" si="104"/>
        <v>C57</v>
      </c>
      <c r="R1072" s="7" t="str">
        <f t="shared" si="105"/>
        <v>C13</v>
      </c>
      <c r="S1072" s="18">
        <f t="shared" si="106"/>
        <v>4.2612302054093787</v>
      </c>
      <c r="T1072" s="18">
        <f>S1072/Explications!$C$8</f>
        <v>0.14204100684697929</v>
      </c>
    </row>
    <row r="1073" spans="7:20">
      <c r="G1073" s="7" t="s">
        <v>29</v>
      </c>
      <c r="H1073" s="7" t="s">
        <v>74</v>
      </c>
      <c r="I1073" s="7">
        <v>46.8033</v>
      </c>
      <c r="J1073" s="7">
        <v>-71.1691</v>
      </c>
      <c r="K1073" s="7">
        <v>46.773200000000003</v>
      </c>
      <c r="L1073" s="7">
        <v>-71.275899999999993</v>
      </c>
      <c r="M1073" s="10" t="str">
        <f t="shared" si="101"/>
        <v>C13</v>
      </c>
      <c r="N1073" s="10" t="str">
        <f t="shared" si="102"/>
        <v>C58</v>
      </c>
      <c r="O1073" s="5">
        <f t="shared" si="103"/>
        <v>8.7930943791473499</v>
      </c>
      <c r="P1073" s="22">
        <f>O1073/Explications!$C$8</f>
        <v>0.29310314597157833</v>
      </c>
      <c r="Q1073" s="7" t="str">
        <f t="shared" si="104"/>
        <v>C58</v>
      </c>
      <c r="R1073" s="7" t="str">
        <f t="shared" si="105"/>
        <v>C13</v>
      </c>
      <c r="S1073" s="18">
        <f t="shared" si="106"/>
        <v>8.7930943791473499</v>
      </c>
      <c r="T1073" s="18">
        <f>S1073/Explications!$C$8</f>
        <v>0.29310314597157833</v>
      </c>
    </row>
    <row r="1074" spans="7:20">
      <c r="G1074" s="7" t="s">
        <v>29</v>
      </c>
      <c r="H1074" s="7" t="s">
        <v>75</v>
      </c>
      <c r="I1074" s="7">
        <v>46.8033</v>
      </c>
      <c r="J1074" s="7">
        <v>-71.1691</v>
      </c>
      <c r="K1074" s="7">
        <v>46.814399999999999</v>
      </c>
      <c r="L1074" s="7">
        <v>-71.225700000000003</v>
      </c>
      <c r="M1074" s="10" t="str">
        <f t="shared" si="101"/>
        <v>C13</v>
      </c>
      <c r="N1074" s="10" t="str">
        <f t="shared" si="102"/>
        <v>C59</v>
      </c>
      <c r="O1074" s="5">
        <f t="shared" si="103"/>
        <v>4.4809202763535971</v>
      </c>
      <c r="P1074" s="22">
        <f>O1074/Explications!$C$8</f>
        <v>0.14936400921178658</v>
      </c>
      <c r="Q1074" s="7" t="str">
        <f t="shared" si="104"/>
        <v>C59</v>
      </c>
      <c r="R1074" s="7" t="str">
        <f t="shared" si="105"/>
        <v>C13</v>
      </c>
      <c r="S1074" s="18">
        <f t="shared" si="106"/>
        <v>4.4809202763535971</v>
      </c>
      <c r="T1074" s="18">
        <f>S1074/Explications!$C$8</f>
        <v>0.14936400921178658</v>
      </c>
    </row>
    <row r="1075" spans="7:20">
      <c r="G1075" s="7" t="s">
        <v>29</v>
      </c>
      <c r="H1075" s="7" t="s">
        <v>76</v>
      </c>
      <c r="I1075" s="7">
        <v>46.8033</v>
      </c>
      <c r="J1075" s="7">
        <v>-71.1691</v>
      </c>
      <c r="K1075" s="7">
        <v>46.772500000000001</v>
      </c>
      <c r="L1075" s="7">
        <v>-71.276300000000006</v>
      </c>
      <c r="M1075" s="10" t="str">
        <f t="shared" si="101"/>
        <v>C13</v>
      </c>
      <c r="N1075" s="10" t="str">
        <f t="shared" si="102"/>
        <v>C60</v>
      </c>
      <c r="O1075" s="5">
        <f t="shared" si="103"/>
        <v>8.8511381190183833</v>
      </c>
      <c r="P1075" s="22">
        <f>O1075/Explications!$C$8</f>
        <v>0.29503793730061278</v>
      </c>
      <c r="Q1075" s="7" t="str">
        <f t="shared" si="104"/>
        <v>C60</v>
      </c>
      <c r="R1075" s="7" t="str">
        <f t="shared" si="105"/>
        <v>C13</v>
      </c>
      <c r="S1075" s="18">
        <f t="shared" si="106"/>
        <v>8.8511381190183833</v>
      </c>
      <c r="T1075" s="18">
        <f>S1075/Explications!$C$8</f>
        <v>0.29503793730061278</v>
      </c>
    </row>
    <row r="1076" spans="7:20">
      <c r="G1076" s="7" t="s">
        <v>29</v>
      </c>
      <c r="H1076" s="7" t="s">
        <v>77</v>
      </c>
      <c r="I1076" s="7">
        <v>46.8033</v>
      </c>
      <c r="J1076" s="7">
        <v>-71.1691</v>
      </c>
      <c r="K1076" s="7">
        <v>46.810899999999997</v>
      </c>
      <c r="L1076" s="7">
        <v>-71.215599999999995</v>
      </c>
      <c r="M1076" s="10" t="str">
        <f t="shared" si="101"/>
        <v>C13</v>
      </c>
      <c r="N1076" s="10" t="str">
        <f t="shared" si="102"/>
        <v>C61</v>
      </c>
      <c r="O1076" s="5">
        <f t="shared" si="103"/>
        <v>3.6385269616946729</v>
      </c>
      <c r="P1076" s="22">
        <f>O1076/Explications!$C$8</f>
        <v>0.1212842320564891</v>
      </c>
      <c r="Q1076" s="7" t="str">
        <f t="shared" si="104"/>
        <v>C61</v>
      </c>
      <c r="R1076" s="7" t="str">
        <f t="shared" si="105"/>
        <v>C13</v>
      </c>
      <c r="S1076" s="18">
        <f t="shared" si="106"/>
        <v>3.6385269616946729</v>
      </c>
      <c r="T1076" s="18">
        <f>S1076/Explications!$C$8</f>
        <v>0.1212842320564891</v>
      </c>
    </row>
    <row r="1077" spans="7:20">
      <c r="G1077" s="7" t="s">
        <v>29</v>
      </c>
      <c r="H1077" s="7" t="s">
        <v>78</v>
      </c>
      <c r="I1077" s="7">
        <v>46.8033</v>
      </c>
      <c r="J1077" s="7">
        <v>-71.1691</v>
      </c>
      <c r="K1077" s="7">
        <v>46.795200000000001</v>
      </c>
      <c r="L1077" s="7">
        <v>-71.245099999999994</v>
      </c>
      <c r="M1077" s="10" t="str">
        <f t="shared" si="101"/>
        <v>C13</v>
      </c>
      <c r="N1077" s="10" t="str">
        <f t="shared" si="102"/>
        <v>C62</v>
      </c>
      <c r="O1077" s="5">
        <f t="shared" si="103"/>
        <v>5.8547547074896258</v>
      </c>
      <c r="P1077" s="22">
        <f>O1077/Explications!$C$8</f>
        <v>0.1951584902496542</v>
      </c>
      <c r="Q1077" s="7" t="str">
        <f t="shared" si="104"/>
        <v>C62</v>
      </c>
      <c r="R1077" s="7" t="str">
        <f t="shared" si="105"/>
        <v>C13</v>
      </c>
      <c r="S1077" s="18">
        <f t="shared" si="106"/>
        <v>5.8547547074896258</v>
      </c>
      <c r="T1077" s="18">
        <f>S1077/Explications!$C$8</f>
        <v>0.1951584902496542</v>
      </c>
    </row>
    <row r="1078" spans="7:20">
      <c r="G1078" s="7" t="s">
        <v>29</v>
      </c>
      <c r="H1078" s="7" t="s">
        <v>79</v>
      </c>
      <c r="I1078" s="7">
        <v>46.8033</v>
      </c>
      <c r="J1078" s="7">
        <v>-71.1691</v>
      </c>
      <c r="K1078" s="7">
        <v>46.822000000000003</v>
      </c>
      <c r="L1078" s="7">
        <v>-71.345699999999994</v>
      </c>
      <c r="M1078" s="10" t="str">
        <f t="shared" si="101"/>
        <v>C13</v>
      </c>
      <c r="N1078" s="10" t="str">
        <f t="shared" si="102"/>
        <v>C63</v>
      </c>
      <c r="O1078" s="5">
        <f t="shared" si="103"/>
        <v>13.599212126586886</v>
      </c>
      <c r="P1078" s="22">
        <f>O1078/Explications!$C$8</f>
        <v>0.45330707088622957</v>
      </c>
      <c r="Q1078" s="7" t="str">
        <f t="shared" si="104"/>
        <v>C63</v>
      </c>
      <c r="R1078" s="7" t="str">
        <f t="shared" si="105"/>
        <v>C13</v>
      </c>
      <c r="S1078" s="18">
        <f t="shared" si="106"/>
        <v>13.599212126586886</v>
      </c>
      <c r="T1078" s="18">
        <f>S1078/Explications!$C$8</f>
        <v>0.45330707088622957</v>
      </c>
    </row>
    <row r="1079" spans="7:20">
      <c r="G1079" s="7" t="s">
        <v>29</v>
      </c>
      <c r="H1079" s="7" t="s">
        <v>80</v>
      </c>
      <c r="I1079" s="7">
        <v>46.8033</v>
      </c>
      <c r="J1079" s="7">
        <v>-71.1691</v>
      </c>
      <c r="K1079" s="7">
        <v>46.779400000000003</v>
      </c>
      <c r="L1079" s="7">
        <v>-71.350399999999993</v>
      </c>
      <c r="M1079" s="10" t="str">
        <f t="shared" si="101"/>
        <v>C13</v>
      </c>
      <c r="N1079" s="10" t="str">
        <f t="shared" si="102"/>
        <v>C64</v>
      </c>
      <c r="O1079" s="5">
        <f t="shared" si="103"/>
        <v>14.055956828183668</v>
      </c>
      <c r="P1079" s="22">
        <f>O1079/Explications!$C$8</f>
        <v>0.46853189427278891</v>
      </c>
      <c r="Q1079" s="7" t="str">
        <f t="shared" si="104"/>
        <v>C64</v>
      </c>
      <c r="R1079" s="7" t="str">
        <f t="shared" si="105"/>
        <v>C13</v>
      </c>
      <c r="S1079" s="18">
        <f t="shared" si="106"/>
        <v>14.055956828183668</v>
      </c>
      <c r="T1079" s="18">
        <f>S1079/Explications!$C$8</f>
        <v>0.46853189427278891</v>
      </c>
    </row>
    <row r="1080" spans="7:20">
      <c r="G1080" s="7" t="s">
        <v>29</v>
      </c>
      <c r="H1080" s="7" t="s">
        <v>81</v>
      </c>
      <c r="I1080" s="7">
        <v>46.8033</v>
      </c>
      <c r="J1080" s="7">
        <v>-71.1691</v>
      </c>
      <c r="K1080" s="7">
        <v>46.772300000000001</v>
      </c>
      <c r="L1080" s="7">
        <v>-71.279799999999994</v>
      </c>
      <c r="M1080" s="10" t="str">
        <f t="shared" si="101"/>
        <v>C13</v>
      </c>
      <c r="N1080" s="10" t="str">
        <f t="shared" si="102"/>
        <v>C65</v>
      </c>
      <c r="O1080" s="5">
        <f t="shared" si="103"/>
        <v>9.1058494083400934</v>
      </c>
      <c r="P1080" s="22">
        <f>O1080/Explications!$C$8</f>
        <v>0.30352831361133642</v>
      </c>
      <c r="Q1080" s="7" t="str">
        <f t="shared" si="104"/>
        <v>C65</v>
      </c>
      <c r="R1080" s="7" t="str">
        <f t="shared" si="105"/>
        <v>C13</v>
      </c>
      <c r="S1080" s="18">
        <f t="shared" si="106"/>
        <v>9.1058494083400934</v>
      </c>
      <c r="T1080" s="18">
        <f>S1080/Explications!$C$8</f>
        <v>0.30352831361133642</v>
      </c>
    </row>
    <row r="1081" spans="7:20">
      <c r="G1081" s="7" t="s">
        <v>29</v>
      </c>
      <c r="H1081" s="7" t="s">
        <v>82</v>
      </c>
      <c r="I1081" s="7">
        <v>46.8033</v>
      </c>
      <c r="J1081" s="7">
        <v>-71.1691</v>
      </c>
      <c r="K1081" s="7">
        <v>46.814900000000002</v>
      </c>
      <c r="L1081" s="7">
        <v>-71.225200000000001</v>
      </c>
      <c r="M1081" s="10" t="str">
        <f t="shared" si="101"/>
        <v>C13</v>
      </c>
      <c r="N1081" s="10" t="str">
        <f t="shared" si="102"/>
        <v>C66</v>
      </c>
      <c r="O1081" s="5">
        <f t="shared" si="103"/>
        <v>4.4600929286857287</v>
      </c>
      <c r="P1081" s="22">
        <f>O1081/Explications!$C$8</f>
        <v>0.1486697642895243</v>
      </c>
      <c r="Q1081" s="7" t="str">
        <f t="shared" si="104"/>
        <v>C66</v>
      </c>
      <c r="R1081" s="7" t="str">
        <f t="shared" si="105"/>
        <v>C13</v>
      </c>
      <c r="S1081" s="18">
        <f t="shared" si="106"/>
        <v>4.4600929286857287</v>
      </c>
      <c r="T1081" s="18">
        <f>S1081/Explications!$C$8</f>
        <v>0.1486697642895243</v>
      </c>
    </row>
    <row r="1082" spans="7:20">
      <c r="G1082" s="7" t="s">
        <v>29</v>
      </c>
      <c r="H1082" s="7" t="s">
        <v>83</v>
      </c>
      <c r="I1082" s="7">
        <v>46.8033</v>
      </c>
      <c r="J1082" s="7">
        <v>-71.1691</v>
      </c>
      <c r="K1082" s="7">
        <v>46.814700000000002</v>
      </c>
      <c r="L1082" s="7">
        <v>-71.207300000000004</v>
      </c>
      <c r="M1082" s="10" t="str">
        <f t="shared" si="101"/>
        <v>C13</v>
      </c>
      <c r="N1082" s="10" t="str">
        <f t="shared" si="102"/>
        <v>C67</v>
      </c>
      <c r="O1082" s="5">
        <f t="shared" si="103"/>
        <v>3.1715670208604827</v>
      </c>
      <c r="P1082" s="22">
        <f>O1082/Explications!$C$8</f>
        <v>0.10571890069534942</v>
      </c>
      <c r="Q1082" s="7" t="str">
        <f t="shared" si="104"/>
        <v>C67</v>
      </c>
      <c r="R1082" s="7" t="str">
        <f t="shared" si="105"/>
        <v>C13</v>
      </c>
      <c r="S1082" s="18">
        <f t="shared" si="106"/>
        <v>3.1715670208604827</v>
      </c>
      <c r="T1082" s="18">
        <f>S1082/Explications!$C$8</f>
        <v>0.10571890069534942</v>
      </c>
    </row>
    <row r="1083" spans="7:20">
      <c r="G1083" s="7" t="s">
        <v>29</v>
      </c>
      <c r="H1083" s="7" t="s">
        <v>84</v>
      </c>
      <c r="I1083" s="7">
        <v>46.8033</v>
      </c>
      <c r="J1083" s="7">
        <v>-71.1691</v>
      </c>
      <c r="K1083" s="7">
        <v>46.815600000000003</v>
      </c>
      <c r="L1083" s="7">
        <v>-71.2029</v>
      </c>
      <c r="M1083" s="10" t="str">
        <f t="shared" si="101"/>
        <v>C13</v>
      </c>
      <c r="N1083" s="10" t="str">
        <f t="shared" si="102"/>
        <v>C68</v>
      </c>
      <c r="O1083" s="5">
        <f t="shared" si="103"/>
        <v>2.9133383348713342</v>
      </c>
      <c r="P1083" s="22">
        <f>O1083/Explications!$C$8</f>
        <v>9.7111277829044468E-2</v>
      </c>
      <c r="Q1083" s="7" t="str">
        <f t="shared" si="104"/>
        <v>C68</v>
      </c>
      <c r="R1083" s="7" t="str">
        <f t="shared" si="105"/>
        <v>C13</v>
      </c>
      <c r="S1083" s="18">
        <f t="shared" si="106"/>
        <v>2.9133383348713342</v>
      </c>
      <c r="T1083" s="18">
        <f>S1083/Explications!$C$8</f>
        <v>9.7111277829044468E-2</v>
      </c>
    </row>
    <row r="1084" spans="7:20">
      <c r="G1084" s="7" t="s">
        <v>29</v>
      </c>
      <c r="H1084" s="7" t="s">
        <v>85</v>
      </c>
      <c r="I1084" s="7">
        <v>46.8033</v>
      </c>
      <c r="J1084" s="7">
        <v>-71.1691</v>
      </c>
      <c r="K1084" s="7">
        <v>46.821899999999999</v>
      </c>
      <c r="L1084" s="7">
        <v>-71.249899999999997</v>
      </c>
      <c r="M1084" s="10" t="str">
        <f t="shared" si="101"/>
        <v>C13</v>
      </c>
      <c r="N1084" s="10" t="str">
        <f t="shared" si="102"/>
        <v>C69</v>
      </c>
      <c r="O1084" s="5">
        <f t="shared" si="103"/>
        <v>6.4874196328186358</v>
      </c>
      <c r="P1084" s="22">
        <f>O1084/Explications!$C$8</f>
        <v>0.21624732109395453</v>
      </c>
      <c r="Q1084" s="7" t="str">
        <f t="shared" si="104"/>
        <v>C69</v>
      </c>
      <c r="R1084" s="7" t="str">
        <f t="shared" si="105"/>
        <v>C13</v>
      </c>
      <c r="S1084" s="18">
        <f t="shared" si="106"/>
        <v>6.4874196328186358</v>
      </c>
      <c r="T1084" s="18">
        <f>S1084/Explications!$C$8</f>
        <v>0.21624732109395453</v>
      </c>
    </row>
    <row r="1085" spans="7:20">
      <c r="G1085" s="7" t="s">
        <v>29</v>
      </c>
      <c r="H1085" s="7" t="s">
        <v>86</v>
      </c>
      <c r="I1085" s="7">
        <v>46.8033</v>
      </c>
      <c r="J1085" s="7">
        <v>-71.1691</v>
      </c>
      <c r="K1085" s="7">
        <v>46.8872</v>
      </c>
      <c r="L1085" s="7">
        <v>-71.27</v>
      </c>
      <c r="M1085" s="10" t="str">
        <f t="shared" si="101"/>
        <v>C13</v>
      </c>
      <c r="N1085" s="10" t="str">
        <f t="shared" si="102"/>
        <v>C70</v>
      </c>
      <c r="O1085" s="5">
        <f t="shared" si="103"/>
        <v>12.07986252023883</v>
      </c>
      <c r="P1085" s="22">
        <f>O1085/Explications!$C$8</f>
        <v>0.402662084007961</v>
      </c>
      <c r="Q1085" s="7" t="str">
        <f t="shared" si="104"/>
        <v>C70</v>
      </c>
      <c r="R1085" s="7" t="str">
        <f t="shared" si="105"/>
        <v>C13</v>
      </c>
      <c r="S1085" s="18">
        <f t="shared" si="106"/>
        <v>12.07986252023883</v>
      </c>
      <c r="T1085" s="18">
        <f>S1085/Explications!$C$8</f>
        <v>0.402662084007961</v>
      </c>
    </row>
    <row r="1086" spans="7:20">
      <c r="G1086" s="7" t="s">
        <v>29</v>
      </c>
      <c r="H1086" s="7" t="s">
        <v>87</v>
      </c>
      <c r="I1086" s="7">
        <v>46.8033</v>
      </c>
      <c r="J1086" s="7">
        <v>-71.1691</v>
      </c>
      <c r="K1086" s="7">
        <v>46.816299999999998</v>
      </c>
      <c r="L1086" s="7">
        <v>-71.210300000000004</v>
      </c>
      <c r="M1086" s="10" t="str">
        <f t="shared" si="101"/>
        <v>C13</v>
      </c>
      <c r="N1086" s="10" t="str">
        <f t="shared" si="102"/>
        <v>C71</v>
      </c>
      <c r="O1086" s="5">
        <f t="shared" si="103"/>
        <v>3.4526671815586578</v>
      </c>
      <c r="P1086" s="22">
        <f>O1086/Explications!$C$8</f>
        <v>0.11508890605195526</v>
      </c>
      <c r="Q1086" s="7" t="str">
        <f t="shared" si="104"/>
        <v>C71</v>
      </c>
      <c r="R1086" s="7" t="str">
        <f t="shared" si="105"/>
        <v>C13</v>
      </c>
      <c r="S1086" s="18">
        <f t="shared" si="106"/>
        <v>3.4526671815586578</v>
      </c>
      <c r="T1086" s="18">
        <f>S1086/Explications!$C$8</f>
        <v>0.11508890605195526</v>
      </c>
    </row>
    <row r="1087" spans="7:20">
      <c r="G1087" s="7" t="s">
        <v>29</v>
      </c>
      <c r="H1087" s="7" t="s">
        <v>88</v>
      </c>
      <c r="I1087" s="7">
        <v>46.8033</v>
      </c>
      <c r="J1087" s="7">
        <v>-71.1691</v>
      </c>
      <c r="K1087" s="7">
        <v>46.807000000000002</v>
      </c>
      <c r="L1087" s="7">
        <v>-71.3566</v>
      </c>
      <c r="M1087" s="10" t="str">
        <f t="shared" si="101"/>
        <v>C13</v>
      </c>
      <c r="N1087" s="10" t="str">
        <f t="shared" si="102"/>
        <v>C72</v>
      </c>
      <c r="O1087" s="5">
        <f t="shared" si="103"/>
        <v>14.27671576164159</v>
      </c>
      <c r="P1087" s="22">
        <f>O1087/Explications!$C$8</f>
        <v>0.47589052538805299</v>
      </c>
      <c r="Q1087" s="7" t="str">
        <f t="shared" si="104"/>
        <v>C72</v>
      </c>
      <c r="R1087" s="7" t="str">
        <f t="shared" si="105"/>
        <v>C13</v>
      </c>
      <c r="S1087" s="18">
        <f t="shared" si="106"/>
        <v>14.27671576164159</v>
      </c>
      <c r="T1087" s="18">
        <f>S1087/Explications!$C$8</f>
        <v>0.47589052538805299</v>
      </c>
    </row>
    <row r="1088" spans="7:20">
      <c r="G1088" s="7" t="s">
        <v>29</v>
      </c>
      <c r="H1088" s="7" t="s">
        <v>89</v>
      </c>
      <c r="I1088" s="7">
        <v>46.8033</v>
      </c>
      <c r="J1088" s="7">
        <v>-71.1691</v>
      </c>
      <c r="K1088" s="7">
        <v>46.822899999999997</v>
      </c>
      <c r="L1088" s="7">
        <v>-71.341899999999995</v>
      </c>
      <c r="M1088" s="10" t="str">
        <f t="shared" si="101"/>
        <v>C13</v>
      </c>
      <c r="N1088" s="10" t="str">
        <f t="shared" si="102"/>
        <v>C73</v>
      </c>
      <c r="O1088" s="5">
        <f t="shared" si="103"/>
        <v>13.329393124925382</v>
      </c>
      <c r="P1088" s="22">
        <f>O1088/Explications!$C$8</f>
        <v>0.44431310416417941</v>
      </c>
      <c r="Q1088" s="7" t="str">
        <f t="shared" si="104"/>
        <v>C73</v>
      </c>
      <c r="R1088" s="7" t="str">
        <f t="shared" si="105"/>
        <v>C13</v>
      </c>
      <c r="S1088" s="18">
        <f t="shared" si="106"/>
        <v>13.329393124925382</v>
      </c>
      <c r="T1088" s="18">
        <f>S1088/Explications!$C$8</f>
        <v>0.44431310416417941</v>
      </c>
    </row>
    <row r="1089" spans="7:20">
      <c r="G1089" s="7" t="s">
        <v>29</v>
      </c>
      <c r="H1089" s="7" t="s">
        <v>90</v>
      </c>
      <c r="I1089" s="7">
        <v>46.8033</v>
      </c>
      <c r="J1089" s="7">
        <v>-71.1691</v>
      </c>
      <c r="K1089" s="7">
        <v>46.730699999999999</v>
      </c>
      <c r="L1089" s="7">
        <v>-71.261099999999999</v>
      </c>
      <c r="M1089" s="10" t="str">
        <f t="shared" si="101"/>
        <v>C13</v>
      </c>
      <c r="N1089" s="10" t="str">
        <f t="shared" si="102"/>
        <v>C74</v>
      </c>
      <c r="O1089" s="5">
        <f t="shared" si="103"/>
        <v>10.689698235945322</v>
      </c>
      <c r="P1089" s="22">
        <f>O1089/Explications!$C$8</f>
        <v>0.35632327453151075</v>
      </c>
      <c r="Q1089" s="7" t="str">
        <f t="shared" si="104"/>
        <v>C74</v>
      </c>
      <c r="R1089" s="7" t="str">
        <f t="shared" si="105"/>
        <v>C13</v>
      </c>
      <c r="S1089" s="18">
        <f t="shared" si="106"/>
        <v>10.689698235945322</v>
      </c>
      <c r="T1089" s="18">
        <f>S1089/Explications!$C$8</f>
        <v>0.35632327453151075</v>
      </c>
    </row>
    <row r="1090" spans="7:20">
      <c r="G1090" s="7" t="s">
        <v>29</v>
      </c>
      <c r="H1090" s="7" t="s">
        <v>91</v>
      </c>
      <c r="I1090" s="7">
        <v>46.8033</v>
      </c>
      <c r="J1090" s="7">
        <v>-71.1691</v>
      </c>
      <c r="K1090" s="7">
        <v>46.840600000000002</v>
      </c>
      <c r="L1090" s="7">
        <v>-71.289100000000005</v>
      </c>
      <c r="M1090" s="10" t="str">
        <f t="shared" si="101"/>
        <v>C13</v>
      </c>
      <c r="N1090" s="10" t="str">
        <f t="shared" si="102"/>
        <v>C75</v>
      </c>
      <c r="O1090" s="5">
        <f t="shared" si="103"/>
        <v>10.02833395987896</v>
      </c>
      <c r="P1090" s="22">
        <f>O1090/Explications!$C$8</f>
        <v>0.33427779866263202</v>
      </c>
      <c r="Q1090" s="7" t="str">
        <f t="shared" si="104"/>
        <v>C75</v>
      </c>
      <c r="R1090" s="7" t="str">
        <f t="shared" si="105"/>
        <v>C13</v>
      </c>
      <c r="S1090" s="18">
        <f t="shared" si="106"/>
        <v>10.02833395987896</v>
      </c>
      <c r="T1090" s="18">
        <f>S1090/Explications!$C$8</f>
        <v>0.33427779866263202</v>
      </c>
    </row>
    <row r="1091" spans="7:20">
      <c r="G1091" s="7" t="s">
        <v>29</v>
      </c>
      <c r="H1091" s="7" t="s">
        <v>92</v>
      </c>
      <c r="I1091" s="7">
        <v>46.8033</v>
      </c>
      <c r="J1091" s="7">
        <v>-71.1691</v>
      </c>
      <c r="K1091" s="7">
        <v>46.840600000000002</v>
      </c>
      <c r="L1091" s="7">
        <v>-71.281599999999997</v>
      </c>
      <c r="M1091" s="10" t="str">
        <f t="shared" si="101"/>
        <v>C13</v>
      </c>
      <c r="N1091" s="10" t="str">
        <f t="shared" si="102"/>
        <v>C76</v>
      </c>
      <c r="O1091" s="5">
        <f t="shared" si="103"/>
        <v>9.5117026060037198</v>
      </c>
      <c r="P1091" s="22">
        <f>O1091/Explications!$C$8</f>
        <v>0.3170567535334573</v>
      </c>
      <c r="Q1091" s="7" t="str">
        <f t="shared" si="104"/>
        <v>C76</v>
      </c>
      <c r="R1091" s="7" t="str">
        <f t="shared" si="105"/>
        <v>C13</v>
      </c>
      <c r="S1091" s="18">
        <f t="shared" si="106"/>
        <v>9.5117026060037198</v>
      </c>
      <c r="T1091" s="18">
        <f>S1091/Explications!$C$8</f>
        <v>0.3170567535334573</v>
      </c>
    </row>
    <row r="1092" spans="7:20">
      <c r="G1092" s="7" t="s">
        <v>29</v>
      </c>
      <c r="H1092" s="7" t="s">
        <v>93</v>
      </c>
      <c r="I1092" s="7">
        <v>46.8033</v>
      </c>
      <c r="J1092" s="7">
        <v>-71.1691</v>
      </c>
      <c r="K1092" s="7">
        <v>46.839399999999998</v>
      </c>
      <c r="L1092" s="7">
        <v>-71.282600000000002</v>
      </c>
      <c r="M1092" s="10" t="str">
        <f t="shared" ref="M1092:M1155" si="107">G1092</f>
        <v>C13</v>
      </c>
      <c r="N1092" s="10" t="str">
        <f t="shared" ref="N1092:N1155" si="108">H1092</f>
        <v>C77</v>
      </c>
      <c r="O1092" s="5">
        <f t="shared" ref="O1092:O1155" si="109">ACOS(SIN(RADIANS(I1092))*SIN(RADIANS(K1092))+COS(RADIANS(I1092))*COS(RADIANS(K1092))*COS(RADIANS(J1092-L1092)))*6371</f>
        <v>9.5233120585809328</v>
      </c>
      <c r="P1092" s="22">
        <f>O1092/Explications!$C$8</f>
        <v>0.31744373528603109</v>
      </c>
      <c r="Q1092" s="7" t="str">
        <f t="shared" ref="Q1092:Q1155" si="110">N1092</f>
        <v>C77</v>
      </c>
      <c r="R1092" s="7" t="str">
        <f t="shared" ref="R1092:R1155" si="111">M1092</f>
        <v>C13</v>
      </c>
      <c r="S1092" s="18">
        <f t="shared" ref="S1092:S1155" si="112">O1092</f>
        <v>9.5233120585809328</v>
      </c>
      <c r="T1092" s="18">
        <f>S1092/Explications!$C$8</f>
        <v>0.31744373528603109</v>
      </c>
    </row>
    <row r="1093" spans="7:20">
      <c r="G1093" s="7" t="s">
        <v>29</v>
      </c>
      <c r="H1093" s="7" t="s">
        <v>94</v>
      </c>
      <c r="I1093" s="7">
        <v>46.8033</v>
      </c>
      <c r="J1093" s="7">
        <v>-71.1691</v>
      </c>
      <c r="K1093" s="7">
        <v>46.788499999999999</v>
      </c>
      <c r="L1093" s="7">
        <v>-71.282399999999996</v>
      </c>
      <c r="M1093" s="10" t="str">
        <f t="shared" si="107"/>
        <v>C13</v>
      </c>
      <c r="N1093" s="10" t="str">
        <f t="shared" si="108"/>
        <v>C78</v>
      </c>
      <c r="O1093" s="5">
        <f t="shared" si="109"/>
        <v>8.7804453324662397</v>
      </c>
      <c r="P1093" s="22">
        <f>O1093/Explications!$C$8</f>
        <v>0.29268151108220797</v>
      </c>
      <c r="Q1093" s="7" t="str">
        <f t="shared" si="110"/>
        <v>C78</v>
      </c>
      <c r="R1093" s="7" t="str">
        <f t="shared" si="111"/>
        <v>C13</v>
      </c>
      <c r="S1093" s="18">
        <f t="shared" si="112"/>
        <v>8.7804453324662397</v>
      </c>
      <c r="T1093" s="18">
        <f>S1093/Explications!$C$8</f>
        <v>0.29268151108220797</v>
      </c>
    </row>
    <row r="1094" spans="7:20">
      <c r="G1094" s="7" t="s">
        <v>29</v>
      </c>
      <c r="H1094" s="7" t="s">
        <v>95</v>
      </c>
      <c r="I1094" s="7">
        <v>46.8033</v>
      </c>
      <c r="J1094" s="7">
        <v>-71.1691</v>
      </c>
      <c r="K1094" s="7">
        <v>46.840699999999998</v>
      </c>
      <c r="L1094" s="7">
        <v>-71.325400000000002</v>
      </c>
      <c r="M1094" s="10" t="str">
        <f t="shared" si="107"/>
        <v>C13</v>
      </c>
      <c r="N1094" s="10" t="str">
        <f t="shared" si="108"/>
        <v>C79</v>
      </c>
      <c r="O1094" s="5">
        <f t="shared" si="109"/>
        <v>12.598567429445518</v>
      </c>
      <c r="P1094" s="22">
        <f>O1094/Explications!$C$8</f>
        <v>0.41995224764818395</v>
      </c>
      <c r="Q1094" s="7" t="str">
        <f t="shared" si="110"/>
        <v>C79</v>
      </c>
      <c r="R1094" s="7" t="str">
        <f t="shared" si="111"/>
        <v>C13</v>
      </c>
      <c r="S1094" s="18">
        <f t="shared" si="112"/>
        <v>12.598567429445518</v>
      </c>
      <c r="T1094" s="18">
        <f>S1094/Explications!$C$8</f>
        <v>0.41995224764818395</v>
      </c>
    </row>
    <row r="1095" spans="7:20">
      <c r="G1095" s="7" t="s">
        <v>29</v>
      </c>
      <c r="H1095" s="7" t="s">
        <v>96</v>
      </c>
      <c r="I1095" s="7">
        <v>46.8033</v>
      </c>
      <c r="J1095" s="7">
        <v>-71.1691</v>
      </c>
      <c r="K1095" s="7">
        <v>46.798400000000001</v>
      </c>
      <c r="L1095" s="7">
        <v>-71.183199999999999</v>
      </c>
      <c r="M1095" s="10" t="str">
        <f t="shared" si="107"/>
        <v>C13</v>
      </c>
      <c r="N1095" s="10" t="str">
        <f t="shared" si="108"/>
        <v>C80</v>
      </c>
      <c r="O1095" s="5">
        <f t="shared" si="109"/>
        <v>1.2036323838525402</v>
      </c>
      <c r="P1095" s="22">
        <f>O1095/Explications!$C$8</f>
        <v>4.0121079461751342E-2</v>
      </c>
      <c r="Q1095" s="7" t="str">
        <f t="shared" si="110"/>
        <v>C80</v>
      </c>
      <c r="R1095" s="7" t="str">
        <f t="shared" si="111"/>
        <v>C13</v>
      </c>
      <c r="S1095" s="18">
        <f t="shared" si="112"/>
        <v>1.2036323838525402</v>
      </c>
      <c r="T1095" s="18">
        <f>S1095/Explications!$C$8</f>
        <v>4.0121079461751342E-2</v>
      </c>
    </row>
    <row r="1096" spans="7:20">
      <c r="G1096" s="7" t="s">
        <v>29</v>
      </c>
      <c r="H1096" s="7" t="s">
        <v>97</v>
      </c>
      <c r="I1096" s="7">
        <v>46.8033</v>
      </c>
      <c r="J1096" s="7">
        <v>-71.1691</v>
      </c>
      <c r="K1096" s="7">
        <v>46.724800000000002</v>
      </c>
      <c r="L1096" s="7">
        <v>-71.2988</v>
      </c>
      <c r="M1096" s="10" t="str">
        <f t="shared" si="107"/>
        <v>C13</v>
      </c>
      <c r="N1096" s="10" t="str">
        <f t="shared" si="108"/>
        <v>C81</v>
      </c>
      <c r="O1096" s="5">
        <f t="shared" si="109"/>
        <v>13.182902303858121</v>
      </c>
      <c r="P1096" s="22">
        <f>O1096/Explications!$C$8</f>
        <v>0.43943007679527069</v>
      </c>
      <c r="Q1096" s="7" t="str">
        <f t="shared" si="110"/>
        <v>C81</v>
      </c>
      <c r="R1096" s="7" t="str">
        <f t="shared" si="111"/>
        <v>C13</v>
      </c>
      <c r="S1096" s="18">
        <f t="shared" si="112"/>
        <v>13.182902303858121</v>
      </c>
      <c r="T1096" s="18">
        <f>S1096/Explications!$C$8</f>
        <v>0.43943007679527069</v>
      </c>
    </row>
    <row r="1097" spans="7:20">
      <c r="G1097" s="7" t="s">
        <v>29</v>
      </c>
      <c r="H1097" s="7" t="s">
        <v>98</v>
      </c>
      <c r="I1097" s="7">
        <v>46.8033</v>
      </c>
      <c r="J1097" s="7">
        <v>-71.1691</v>
      </c>
      <c r="K1097" s="7">
        <v>46.795499999999997</v>
      </c>
      <c r="L1097" s="7">
        <v>-71.242900000000006</v>
      </c>
      <c r="M1097" s="10" t="str">
        <f t="shared" si="107"/>
        <v>C13</v>
      </c>
      <c r="N1097" s="10" t="str">
        <f t="shared" si="108"/>
        <v>C82</v>
      </c>
      <c r="O1097" s="5">
        <f t="shared" si="109"/>
        <v>5.6841431743213908</v>
      </c>
      <c r="P1097" s="22">
        <f>O1097/Explications!$C$8</f>
        <v>0.18947143914404635</v>
      </c>
      <c r="Q1097" s="7" t="str">
        <f t="shared" si="110"/>
        <v>C82</v>
      </c>
      <c r="R1097" s="7" t="str">
        <f t="shared" si="111"/>
        <v>C13</v>
      </c>
      <c r="S1097" s="18">
        <f t="shared" si="112"/>
        <v>5.6841431743213908</v>
      </c>
      <c r="T1097" s="18">
        <f>S1097/Explications!$C$8</f>
        <v>0.18947143914404635</v>
      </c>
    </row>
    <row r="1098" spans="7:20">
      <c r="G1098" s="7" t="s">
        <v>29</v>
      </c>
      <c r="H1098" s="7" t="s">
        <v>99</v>
      </c>
      <c r="I1098" s="7">
        <v>46.8033</v>
      </c>
      <c r="J1098" s="7">
        <v>-71.1691</v>
      </c>
      <c r="K1098" s="7">
        <v>46.8157</v>
      </c>
      <c r="L1098" s="7">
        <v>-71.201899999999995</v>
      </c>
      <c r="M1098" s="10" t="str">
        <f t="shared" si="107"/>
        <v>C13</v>
      </c>
      <c r="N1098" s="10" t="str">
        <f t="shared" si="108"/>
        <v>C83</v>
      </c>
      <c r="O1098" s="5">
        <f t="shared" si="109"/>
        <v>2.851723223577415</v>
      </c>
      <c r="P1098" s="22">
        <f>O1098/Explications!$C$8</f>
        <v>9.5057440785913841E-2</v>
      </c>
      <c r="Q1098" s="7" t="str">
        <f t="shared" si="110"/>
        <v>C83</v>
      </c>
      <c r="R1098" s="7" t="str">
        <f t="shared" si="111"/>
        <v>C13</v>
      </c>
      <c r="S1098" s="18">
        <f t="shared" si="112"/>
        <v>2.851723223577415</v>
      </c>
      <c r="T1098" s="18">
        <f>S1098/Explications!$C$8</f>
        <v>9.5057440785913841E-2</v>
      </c>
    </row>
    <row r="1099" spans="7:20">
      <c r="G1099" s="7" t="s">
        <v>29</v>
      </c>
      <c r="H1099" s="7" t="s">
        <v>100</v>
      </c>
      <c r="I1099" s="7">
        <v>46.8033</v>
      </c>
      <c r="J1099" s="7">
        <v>-71.1691</v>
      </c>
      <c r="K1099" s="7">
        <v>46.837600000000002</v>
      </c>
      <c r="L1099" s="7">
        <v>-71.196299999999994</v>
      </c>
      <c r="M1099" s="10" t="str">
        <f t="shared" si="107"/>
        <v>C13</v>
      </c>
      <c r="N1099" s="10" t="str">
        <f t="shared" si="108"/>
        <v>C84</v>
      </c>
      <c r="O1099" s="5">
        <f t="shared" si="109"/>
        <v>4.3393368798605678</v>
      </c>
      <c r="P1099" s="22">
        <f>O1099/Explications!$C$8</f>
        <v>0.14464456266201892</v>
      </c>
      <c r="Q1099" s="7" t="str">
        <f t="shared" si="110"/>
        <v>C84</v>
      </c>
      <c r="R1099" s="7" t="str">
        <f t="shared" si="111"/>
        <v>C13</v>
      </c>
      <c r="S1099" s="18">
        <f t="shared" si="112"/>
        <v>4.3393368798605678</v>
      </c>
      <c r="T1099" s="18">
        <f>S1099/Explications!$C$8</f>
        <v>0.14464456266201892</v>
      </c>
    </row>
    <row r="1100" spans="7:20">
      <c r="G1100" s="7" t="s">
        <v>29</v>
      </c>
      <c r="H1100" s="7" t="s">
        <v>101</v>
      </c>
      <c r="I1100" s="7">
        <v>46.8033</v>
      </c>
      <c r="J1100" s="7">
        <v>-71.1691</v>
      </c>
      <c r="K1100" s="7">
        <v>46.7988</v>
      </c>
      <c r="L1100" s="7">
        <v>-71.318200000000004</v>
      </c>
      <c r="M1100" s="10" t="str">
        <f t="shared" si="107"/>
        <v>C13</v>
      </c>
      <c r="N1100" s="10" t="str">
        <f t="shared" si="108"/>
        <v>C85</v>
      </c>
      <c r="O1100" s="5">
        <f t="shared" si="109"/>
        <v>11.36002069596641</v>
      </c>
      <c r="P1100" s="22">
        <f>O1100/Explications!$C$8</f>
        <v>0.37866735653221367</v>
      </c>
      <c r="Q1100" s="7" t="str">
        <f t="shared" si="110"/>
        <v>C85</v>
      </c>
      <c r="R1100" s="7" t="str">
        <f t="shared" si="111"/>
        <v>C13</v>
      </c>
      <c r="S1100" s="18">
        <f t="shared" si="112"/>
        <v>11.36002069596641</v>
      </c>
      <c r="T1100" s="18">
        <f>S1100/Explications!$C$8</f>
        <v>0.37866735653221367</v>
      </c>
    </row>
    <row r="1101" spans="7:20">
      <c r="G1101" s="7" t="s">
        <v>30</v>
      </c>
      <c r="H1101" s="7" t="s">
        <v>31</v>
      </c>
      <c r="I1101" s="7">
        <v>46.8596</v>
      </c>
      <c r="J1101" s="7">
        <v>-71.267200000000003</v>
      </c>
      <c r="K1101" s="7">
        <v>46.813499999999998</v>
      </c>
      <c r="L1101" s="7">
        <v>-71.215900000000005</v>
      </c>
      <c r="M1101" s="10" t="str">
        <f t="shared" si="107"/>
        <v>C14</v>
      </c>
      <c r="N1101" s="10" t="str">
        <f t="shared" si="108"/>
        <v>C15</v>
      </c>
      <c r="O1101" s="5">
        <f t="shared" si="109"/>
        <v>6.4423586959301566</v>
      </c>
      <c r="P1101" s="22">
        <f>O1101/Explications!$C$8</f>
        <v>0.21474528986433855</v>
      </c>
      <c r="Q1101" s="7" t="str">
        <f t="shared" si="110"/>
        <v>C15</v>
      </c>
      <c r="R1101" s="7" t="str">
        <f t="shared" si="111"/>
        <v>C14</v>
      </c>
      <c r="S1101" s="18">
        <f t="shared" si="112"/>
        <v>6.4423586959301566</v>
      </c>
      <c r="T1101" s="18">
        <f>S1101/Explications!$C$8</f>
        <v>0.21474528986433855</v>
      </c>
    </row>
    <row r="1102" spans="7:20">
      <c r="G1102" s="7" t="s">
        <v>30</v>
      </c>
      <c r="H1102" s="7" t="s">
        <v>32</v>
      </c>
      <c r="I1102" s="7">
        <v>46.8596</v>
      </c>
      <c r="J1102" s="7">
        <v>-71.267200000000003</v>
      </c>
      <c r="K1102" s="7">
        <v>46.733699999999999</v>
      </c>
      <c r="L1102" s="7">
        <v>-71.270099999999999</v>
      </c>
      <c r="M1102" s="10" t="str">
        <f t="shared" si="107"/>
        <v>C14</v>
      </c>
      <c r="N1102" s="10" t="str">
        <f t="shared" si="108"/>
        <v>C16</v>
      </c>
      <c r="O1102" s="5">
        <f t="shared" si="109"/>
        <v>14.00118170137474</v>
      </c>
      <c r="P1102" s="22">
        <f>O1102/Explications!$C$8</f>
        <v>0.46670605671249132</v>
      </c>
      <c r="Q1102" s="7" t="str">
        <f t="shared" si="110"/>
        <v>C16</v>
      </c>
      <c r="R1102" s="7" t="str">
        <f t="shared" si="111"/>
        <v>C14</v>
      </c>
      <c r="S1102" s="18">
        <f t="shared" si="112"/>
        <v>14.00118170137474</v>
      </c>
      <c r="T1102" s="18">
        <f>S1102/Explications!$C$8</f>
        <v>0.46670605671249132</v>
      </c>
    </row>
    <row r="1103" spans="7:20">
      <c r="G1103" s="7" t="s">
        <v>30</v>
      </c>
      <c r="H1103" s="7" t="s">
        <v>33</v>
      </c>
      <c r="I1103" s="7">
        <v>46.8596</v>
      </c>
      <c r="J1103" s="7">
        <v>-71.267200000000003</v>
      </c>
      <c r="K1103" s="7">
        <v>46.8035</v>
      </c>
      <c r="L1103" s="7">
        <v>-71.3553</v>
      </c>
      <c r="M1103" s="10" t="str">
        <f t="shared" si="107"/>
        <v>C14</v>
      </c>
      <c r="N1103" s="10" t="str">
        <f t="shared" si="108"/>
        <v>C17</v>
      </c>
      <c r="O1103" s="5">
        <f t="shared" si="109"/>
        <v>9.1559216688124696</v>
      </c>
      <c r="P1103" s="22">
        <f>O1103/Explications!$C$8</f>
        <v>0.30519738896041565</v>
      </c>
      <c r="Q1103" s="7" t="str">
        <f t="shared" si="110"/>
        <v>C17</v>
      </c>
      <c r="R1103" s="7" t="str">
        <f t="shared" si="111"/>
        <v>C14</v>
      </c>
      <c r="S1103" s="18">
        <f t="shared" si="112"/>
        <v>9.1559216688124696</v>
      </c>
      <c r="T1103" s="18">
        <f>S1103/Explications!$C$8</f>
        <v>0.30519738896041565</v>
      </c>
    </row>
    <row r="1104" spans="7:20">
      <c r="G1104" s="7" t="s">
        <v>30</v>
      </c>
      <c r="H1104" s="7" t="s">
        <v>34</v>
      </c>
      <c r="I1104" s="7">
        <v>46.8596</v>
      </c>
      <c r="J1104" s="7">
        <v>-71.267200000000003</v>
      </c>
      <c r="K1104" s="7">
        <v>46.730200000000004</v>
      </c>
      <c r="L1104" s="7">
        <v>-71.274100000000004</v>
      </c>
      <c r="M1104" s="10" t="str">
        <f t="shared" si="107"/>
        <v>C14</v>
      </c>
      <c r="N1104" s="10" t="str">
        <f t="shared" si="108"/>
        <v>C18</v>
      </c>
      <c r="O1104" s="5">
        <f t="shared" si="109"/>
        <v>14.398207853142244</v>
      </c>
      <c r="P1104" s="22">
        <f>O1104/Explications!$C$8</f>
        <v>0.47994026177140814</v>
      </c>
      <c r="Q1104" s="7" t="str">
        <f t="shared" si="110"/>
        <v>C18</v>
      </c>
      <c r="R1104" s="7" t="str">
        <f t="shared" si="111"/>
        <v>C14</v>
      </c>
      <c r="S1104" s="18">
        <f t="shared" si="112"/>
        <v>14.398207853142244</v>
      </c>
      <c r="T1104" s="18">
        <f>S1104/Explications!$C$8</f>
        <v>0.47994026177140814</v>
      </c>
    </row>
    <row r="1105" spans="7:20">
      <c r="G1105" s="7" t="s">
        <v>30</v>
      </c>
      <c r="H1105" s="7" t="s">
        <v>35</v>
      </c>
      <c r="I1105" s="7">
        <v>46.8596</v>
      </c>
      <c r="J1105" s="7">
        <v>-71.267200000000003</v>
      </c>
      <c r="K1105" s="7">
        <v>46.785600000000002</v>
      </c>
      <c r="L1105" s="7">
        <v>-71.245500000000007</v>
      </c>
      <c r="M1105" s="10" t="str">
        <f t="shared" si="107"/>
        <v>C14</v>
      </c>
      <c r="N1105" s="10" t="str">
        <f t="shared" si="108"/>
        <v>C19</v>
      </c>
      <c r="O1105" s="5">
        <f t="shared" si="109"/>
        <v>8.3924372032304895</v>
      </c>
      <c r="P1105" s="22">
        <f>O1105/Explications!$C$8</f>
        <v>0.27974790677434963</v>
      </c>
      <c r="Q1105" s="7" t="str">
        <f t="shared" si="110"/>
        <v>C19</v>
      </c>
      <c r="R1105" s="7" t="str">
        <f t="shared" si="111"/>
        <v>C14</v>
      </c>
      <c r="S1105" s="18">
        <f t="shared" si="112"/>
        <v>8.3924372032304895</v>
      </c>
      <c r="T1105" s="18">
        <f>S1105/Explications!$C$8</f>
        <v>0.27974790677434963</v>
      </c>
    </row>
    <row r="1106" spans="7:20">
      <c r="G1106" s="7" t="s">
        <v>30</v>
      </c>
      <c r="H1106" s="7" t="s">
        <v>36</v>
      </c>
      <c r="I1106" s="7">
        <v>46.8596</v>
      </c>
      <c r="J1106" s="7">
        <v>-71.267200000000003</v>
      </c>
      <c r="K1106" s="7">
        <v>46.8215</v>
      </c>
      <c r="L1106" s="7">
        <v>-71.355400000000003</v>
      </c>
      <c r="M1106" s="10" t="str">
        <f t="shared" si="107"/>
        <v>C14</v>
      </c>
      <c r="N1106" s="10" t="str">
        <f t="shared" si="108"/>
        <v>C20</v>
      </c>
      <c r="O1106" s="5">
        <f t="shared" si="109"/>
        <v>7.9342884658537773</v>
      </c>
      <c r="P1106" s="22">
        <f>O1106/Explications!$C$8</f>
        <v>0.26447628219512592</v>
      </c>
      <c r="Q1106" s="7" t="str">
        <f t="shared" si="110"/>
        <v>C20</v>
      </c>
      <c r="R1106" s="7" t="str">
        <f t="shared" si="111"/>
        <v>C14</v>
      </c>
      <c r="S1106" s="18">
        <f t="shared" si="112"/>
        <v>7.9342884658537773</v>
      </c>
      <c r="T1106" s="18">
        <f>S1106/Explications!$C$8</f>
        <v>0.26447628219512592</v>
      </c>
    </row>
    <row r="1107" spans="7:20">
      <c r="G1107" s="7" t="s">
        <v>30</v>
      </c>
      <c r="H1107" s="7" t="s">
        <v>37</v>
      </c>
      <c r="I1107" s="7">
        <v>46.8596</v>
      </c>
      <c r="J1107" s="7">
        <v>-71.267200000000003</v>
      </c>
      <c r="K1107" s="7">
        <v>46.8093</v>
      </c>
      <c r="L1107" s="7">
        <v>-71.2273</v>
      </c>
      <c r="M1107" s="10" t="str">
        <f t="shared" si="107"/>
        <v>C14</v>
      </c>
      <c r="N1107" s="10" t="str">
        <f t="shared" si="108"/>
        <v>C21</v>
      </c>
      <c r="O1107" s="5">
        <f t="shared" si="109"/>
        <v>6.3635739404039029</v>
      </c>
      <c r="P1107" s="22">
        <f>O1107/Explications!$C$8</f>
        <v>0.21211913134679677</v>
      </c>
      <c r="Q1107" s="7" t="str">
        <f t="shared" si="110"/>
        <v>C21</v>
      </c>
      <c r="R1107" s="7" t="str">
        <f t="shared" si="111"/>
        <v>C14</v>
      </c>
      <c r="S1107" s="18">
        <f t="shared" si="112"/>
        <v>6.3635739404039029</v>
      </c>
      <c r="T1107" s="18">
        <f>S1107/Explications!$C$8</f>
        <v>0.21211913134679677</v>
      </c>
    </row>
    <row r="1108" spans="7:20">
      <c r="G1108" s="7" t="s">
        <v>30</v>
      </c>
      <c r="H1108" s="7" t="s">
        <v>38</v>
      </c>
      <c r="I1108" s="7">
        <v>46.8596</v>
      </c>
      <c r="J1108" s="7">
        <v>-71.267200000000003</v>
      </c>
      <c r="K1108" s="7">
        <v>46.781300000000002</v>
      </c>
      <c r="L1108" s="7">
        <v>-71.301000000000002</v>
      </c>
      <c r="M1108" s="10" t="str">
        <f t="shared" si="107"/>
        <v>C14</v>
      </c>
      <c r="N1108" s="10" t="str">
        <f t="shared" si="108"/>
        <v>C22</v>
      </c>
      <c r="O1108" s="5">
        <f t="shared" si="109"/>
        <v>9.0784617453169538</v>
      </c>
      <c r="P1108" s="22">
        <f>O1108/Explications!$C$8</f>
        <v>0.3026153915105651</v>
      </c>
      <c r="Q1108" s="7" t="str">
        <f t="shared" si="110"/>
        <v>C22</v>
      </c>
      <c r="R1108" s="7" t="str">
        <f t="shared" si="111"/>
        <v>C14</v>
      </c>
      <c r="S1108" s="18">
        <f t="shared" si="112"/>
        <v>9.0784617453169538</v>
      </c>
      <c r="T1108" s="18">
        <f>S1108/Explications!$C$8</f>
        <v>0.3026153915105651</v>
      </c>
    </row>
    <row r="1109" spans="7:20">
      <c r="G1109" s="7" t="s">
        <v>30</v>
      </c>
      <c r="H1109" s="7" t="s">
        <v>39</v>
      </c>
      <c r="I1109" s="7">
        <v>46.8596</v>
      </c>
      <c r="J1109" s="7">
        <v>-71.267200000000003</v>
      </c>
      <c r="K1109" s="7">
        <v>46.844900000000003</v>
      </c>
      <c r="L1109" s="7">
        <v>-71.251400000000004</v>
      </c>
      <c r="M1109" s="10" t="str">
        <f t="shared" si="107"/>
        <v>C14</v>
      </c>
      <c r="N1109" s="10" t="str">
        <f t="shared" si="108"/>
        <v>C23</v>
      </c>
      <c r="O1109" s="5">
        <f t="shared" si="109"/>
        <v>2.0286455902543916</v>
      </c>
      <c r="P1109" s="22">
        <f>O1109/Explications!$C$8</f>
        <v>6.7621519675146388E-2</v>
      </c>
      <c r="Q1109" s="7" t="str">
        <f t="shared" si="110"/>
        <v>C23</v>
      </c>
      <c r="R1109" s="7" t="str">
        <f t="shared" si="111"/>
        <v>C14</v>
      </c>
      <c r="S1109" s="18">
        <f t="shared" si="112"/>
        <v>2.0286455902543916</v>
      </c>
      <c r="T1109" s="18">
        <f>S1109/Explications!$C$8</f>
        <v>6.7621519675146388E-2</v>
      </c>
    </row>
    <row r="1110" spans="7:20">
      <c r="G1110" s="7" t="s">
        <v>30</v>
      </c>
      <c r="H1110" s="7" t="s">
        <v>40</v>
      </c>
      <c r="I1110" s="7">
        <v>46.8596</v>
      </c>
      <c r="J1110" s="7">
        <v>-71.267200000000003</v>
      </c>
      <c r="K1110" s="7">
        <v>46.805500000000002</v>
      </c>
      <c r="L1110" s="7">
        <v>-71.2196</v>
      </c>
      <c r="M1110" s="10" t="str">
        <f t="shared" si="107"/>
        <v>C14</v>
      </c>
      <c r="N1110" s="10" t="str">
        <f t="shared" si="108"/>
        <v>C24</v>
      </c>
      <c r="O1110" s="5">
        <f t="shared" si="109"/>
        <v>7.0213859179451559</v>
      </c>
      <c r="P1110" s="22">
        <f>O1110/Explications!$C$8</f>
        <v>0.23404619726483852</v>
      </c>
      <c r="Q1110" s="7" t="str">
        <f t="shared" si="110"/>
        <v>C24</v>
      </c>
      <c r="R1110" s="7" t="str">
        <f t="shared" si="111"/>
        <v>C14</v>
      </c>
      <c r="S1110" s="18">
        <f t="shared" si="112"/>
        <v>7.0213859179451559</v>
      </c>
      <c r="T1110" s="18">
        <f>S1110/Explications!$C$8</f>
        <v>0.23404619726483852</v>
      </c>
    </row>
    <row r="1111" spans="7:20">
      <c r="G1111" s="7" t="s">
        <v>30</v>
      </c>
      <c r="H1111" s="7" t="s">
        <v>41</v>
      </c>
      <c r="I1111" s="7">
        <v>46.8596</v>
      </c>
      <c r="J1111" s="7">
        <v>-71.267200000000003</v>
      </c>
      <c r="K1111" s="7">
        <v>46.734900000000003</v>
      </c>
      <c r="L1111" s="7">
        <v>-71.266199999999998</v>
      </c>
      <c r="M1111" s="10" t="str">
        <f t="shared" si="107"/>
        <v>C14</v>
      </c>
      <c r="N1111" s="10" t="str">
        <f t="shared" si="108"/>
        <v>C25</v>
      </c>
      <c r="O1111" s="5">
        <f t="shared" si="109"/>
        <v>13.866216299051056</v>
      </c>
      <c r="P1111" s="22">
        <f>O1111/Explications!$C$8</f>
        <v>0.4622072099683685</v>
      </c>
      <c r="Q1111" s="7" t="str">
        <f t="shared" si="110"/>
        <v>C25</v>
      </c>
      <c r="R1111" s="7" t="str">
        <f t="shared" si="111"/>
        <v>C14</v>
      </c>
      <c r="S1111" s="18">
        <f t="shared" si="112"/>
        <v>13.866216299051056</v>
      </c>
      <c r="T1111" s="18">
        <f>S1111/Explications!$C$8</f>
        <v>0.4622072099683685</v>
      </c>
    </row>
    <row r="1112" spans="7:20">
      <c r="G1112" s="7" t="s">
        <v>30</v>
      </c>
      <c r="H1112" s="7" t="s">
        <v>42</v>
      </c>
      <c r="I1112" s="7">
        <v>46.8596</v>
      </c>
      <c r="J1112" s="7">
        <v>-71.267200000000003</v>
      </c>
      <c r="K1112" s="7">
        <v>46.817700000000002</v>
      </c>
      <c r="L1112" s="7">
        <v>-71.214100000000002</v>
      </c>
      <c r="M1112" s="10" t="str">
        <f t="shared" si="107"/>
        <v>C14</v>
      </c>
      <c r="N1112" s="10" t="str">
        <f t="shared" si="108"/>
        <v>C26</v>
      </c>
      <c r="O1112" s="5">
        <f t="shared" si="109"/>
        <v>6.1660510635988679</v>
      </c>
      <c r="P1112" s="22">
        <f>O1112/Explications!$C$8</f>
        <v>0.2055350354532956</v>
      </c>
      <c r="Q1112" s="7" t="str">
        <f t="shared" si="110"/>
        <v>C26</v>
      </c>
      <c r="R1112" s="7" t="str">
        <f t="shared" si="111"/>
        <v>C14</v>
      </c>
      <c r="S1112" s="18">
        <f t="shared" si="112"/>
        <v>6.1660510635988679</v>
      </c>
      <c r="T1112" s="18">
        <f>S1112/Explications!$C$8</f>
        <v>0.2055350354532956</v>
      </c>
    </row>
    <row r="1113" spans="7:20">
      <c r="G1113" s="7" t="s">
        <v>30</v>
      </c>
      <c r="H1113" s="7" t="s">
        <v>43</v>
      </c>
      <c r="I1113" s="7">
        <v>46.8596</v>
      </c>
      <c r="J1113" s="7">
        <v>-71.267200000000003</v>
      </c>
      <c r="K1113" s="7">
        <v>46.603000000000002</v>
      </c>
      <c r="L1113" s="7">
        <v>-71.490600000000001</v>
      </c>
      <c r="M1113" s="10" t="str">
        <f t="shared" si="107"/>
        <v>C14</v>
      </c>
      <c r="N1113" s="10" t="str">
        <f t="shared" si="108"/>
        <v>C27</v>
      </c>
      <c r="O1113" s="5">
        <f t="shared" si="109"/>
        <v>33.226640359027634</v>
      </c>
      <c r="P1113" s="22">
        <f>O1113/Explications!$C$8</f>
        <v>1.1075546786342545</v>
      </c>
      <c r="Q1113" s="7" t="str">
        <f t="shared" si="110"/>
        <v>C27</v>
      </c>
      <c r="R1113" s="7" t="str">
        <f t="shared" si="111"/>
        <v>C14</v>
      </c>
      <c r="S1113" s="18">
        <f t="shared" si="112"/>
        <v>33.226640359027634</v>
      </c>
      <c r="T1113" s="18">
        <f>S1113/Explications!$C$8</f>
        <v>1.1075546786342545</v>
      </c>
    </row>
    <row r="1114" spans="7:20">
      <c r="G1114" s="7" t="s">
        <v>30</v>
      </c>
      <c r="H1114" s="7" t="s">
        <v>44</v>
      </c>
      <c r="I1114" s="7">
        <v>46.8596</v>
      </c>
      <c r="J1114" s="7">
        <v>-71.267200000000003</v>
      </c>
      <c r="K1114" s="7">
        <v>47.000500000000002</v>
      </c>
      <c r="L1114" s="7">
        <v>-71.388400000000004</v>
      </c>
      <c r="M1114" s="10" t="str">
        <f t="shared" si="107"/>
        <v>C14</v>
      </c>
      <c r="N1114" s="10" t="str">
        <f t="shared" si="108"/>
        <v>C28</v>
      </c>
      <c r="O1114" s="5">
        <f t="shared" si="109"/>
        <v>18.170442919742836</v>
      </c>
      <c r="P1114" s="22">
        <f>O1114/Explications!$C$8</f>
        <v>0.60568143065809454</v>
      </c>
      <c r="Q1114" s="7" t="str">
        <f t="shared" si="110"/>
        <v>C28</v>
      </c>
      <c r="R1114" s="7" t="str">
        <f t="shared" si="111"/>
        <v>C14</v>
      </c>
      <c r="S1114" s="18">
        <f t="shared" si="112"/>
        <v>18.170442919742836</v>
      </c>
      <c r="T1114" s="18">
        <f>S1114/Explications!$C$8</f>
        <v>0.60568143065809454</v>
      </c>
    </row>
    <row r="1115" spans="7:20">
      <c r="G1115" s="7" t="s">
        <v>30</v>
      </c>
      <c r="H1115" s="7" t="s">
        <v>45</v>
      </c>
      <c r="I1115" s="7">
        <v>46.8596</v>
      </c>
      <c r="J1115" s="7">
        <v>-71.267200000000003</v>
      </c>
      <c r="K1115" s="7">
        <v>46.839100000000002</v>
      </c>
      <c r="L1115" s="7">
        <v>-71.245699999999999</v>
      </c>
      <c r="M1115" s="10" t="str">
        <f t="shared" si="107"/>
        <v>C14</v>
      </c>
      <c r="N1115" s="10" t="str">
        <f t="shared" si="108"/>
        <v>C29</v>
      </c>
      <c r="O1115" s="5">
        <f t="shared" si="109"/>
        <v>2.8052547147731257</v>
      </c>
      <c r="P1115" s="22">
        <f>O1115/Explications!$C$8</f>
        <v>9.3508490492437521E-2</v>
      </c>
      <c r="Q1115" s="7" t="str">
        <f t="shared" si="110"/>
        <v>C29</v>
      </c>
      <c r="R1115" s="7" t="str">
        <f t="shared" si="111"/>
        <v>C14</v>
      </c>
      <c r="S1115" s="18">
        <f t="shared" si="112"/>
        <v>2.8052547147731257</v>
      </c>
      <c r="T1115" s="18">
        <f>S1115/Explications!$C$8</f>
        <v>9.3508490492437521E-2</v>
      </c>
    </row>
    <row r="1116" spans="7:20">
      <c r="G1116" s="7" t="s">
        <v>30</v>
      </c>
      <c r="H1116" s="7" t="s">
        <v>46</v>
      </c>
      <c r="I1116" s="7">
        <v>46.8596</v>
      </c>
      <c r="J1116" s="7">
        <v>-71.267200000000003</v>
      </c>
      <c r="K1116" s="7">
        <v>46.865699999999997</v>
      </c>
      <c r="L1116" s="7">
        <v>-71.27</v>
      </c>
      <c r="M1116" s="10" t="str">
        <f t="shared" si="107"/>
        <v>C14</v>
      </c>
      <c r="N1116" s="10" t="str">
        <f t="shared" si="108"/>
        <v>C30</v>
      </c>
      <c r="O1116" s="5">
        <f t="shared" si="109"/>
        <v>0.71091139663059244</v>
      </c>
      <c r="P1116" s="22">
        <f>O1116/Explications!$C$8</f>
        <v>2.369704655435308E-2</v>
      </c>
      <c r="Q1116" s="7" t="str">
        <f t="shared" si="110"/>
        <v>C30</v>
      </c>
      <c r="R1116" s="7" t="str">
        <f t="shared" si="111"/>
        <v>C14</v>
      </c>
      <c r="S1116" s="18">
        <f t="shared" si="112"/>
        <v>0.71091139663059244</v>
      </c>
      <c r="T1116" s="18">
        <f>S1116/Explications!$C$8</f>
        <v>2.369704655435308E-2</v>
      </c>
    </row>
    <row r="1117" spans="7:20">
      <c r="G1117" s="7" t="s">
        <v>30</v>
      </c>
      <c r="H1117" s="7" t="s">
        <v>47</v>
      </c>
      <c r="I1117" s="7">
        <v>46.8596</v>
      </c>
      <c r="J1117" s="7">
        <v>-71.267200000000003</v>
      </c>
      <c r="K1117" s="7">
        <v>46.805500000000002</v>
      </c>
      <c r="L1117" s="7">
        <v>-71.217299999999994</v>
      </c>
      <c r="M1117" s="10" t="str">
        <f t="shared" si="107"/>
        <v>C14</v>
      </c>
      <c r="N1117" s="10" t="str">
        <f t="shared" si="108"/>
        <v>C31</v>
      </c>
      <c r="O1117" s="5">
        <f t="shared" si="109"/>
        <v>7.1131980563630695</v>
      </c>
      <c r="P1117" s="22">
        <f>O1117/Explications!$C$8</f>
        <v>0.23710660187876897</v>
      </c>
      <c r="Q1117" s="7" t="str">
        <f t="shared" si="110"/>
        <v>C31</v>
      </c>
      <c r="R1117" s="7" t="str">
        <f t="shared" si="111"/>
        <v>C14</v>
      </c>
      <c r="S1117" s="18">
        <f t="shared" si="112"/>
        <v>7.1131980563630695</v>
      </c>
      <c r="T1117" s="18">
        <f>S1117/Explications!$C$8</f>
        <v>0.23710660187876897</v>
      </c>
    </row>
    <row r="1118" spans="7:20">
      <c r="G1118" s="7" t="s">
        <v>30</v>
      </c>
      <c r="H1118" s="7" t="s">
        <v>48</v>
      </c>
      <c r="I1118" s="7">
        <v>46.8596</v>
      </c>
      <c r="J1118" s="7">
        <v>-71.267200000000003</v>
      </c>
      <c r="K1118" s="7">
        <v>46.792299999999997</v>
      </c>
      <c r="L1118" s="7">
        <v>-71.172899999999998</v>
      </c>
      <c r="M1118" s="10" t="str">
        <f t="shared" si="107"/>
        <v>C14</v>
      </c>
      <c r="N1118" s="10" t="str">
        <f t="shared" si="108"/>
        <v>C32</v>
      </c>
      <c r="O1118" s="5">
        <f t="shared" si="109"/>
        <v>10.366999985327329</v>
      </c>
      <c r="P1118" s="22">
        <f>O1118/Explications!$C$8</f>
        <v>0.34556666617757764</v>
      </c>
      <c r="Q1118" s="7" t="str">
        <f t="shared" si="110"/>
        <v>C32</v>
      </c>
      <c r="R1118" s="7" t="str">
        <f t="shared" si="111"/>
        <v>C14</v>
      </c>
      <c r="S1118" s="18">
        <f t="shared" si="112"/>
        <v>10.366999985327329</v>
      </c>
      <c r="T1118" s="18">
        <f>S1118/Explications!$C$8</f>
        <v>0.34556666617757764</v>
      </c>
    </row>
    <row r="1119" spans="7:20">
      <c r="G1119" s="7" t="s">
        <v>30</v>
      </c>
      <c r="H1119" s="7" t="s">
        <v>49</v>
      </c>
      <c r="I1119" s="7">
        <v>46.8596</v>
      </c>
      <c r="J1119" s="7">
        <v>-71.267200000000003</v>
      </c>
      <c r="K1119" s="7">
        <v>46.7883</v>
      </c>
      <c r="L1119" s="7">
        <v>-71.131200000000007</v>
      </c>
      <c r="M1119" s="10" t="str">
        <f t="shared" si="107"/>
        <v>C14</v>
      </c>
      <c r="N1119" s="10" t="str">
        <f t="shared" si="108"/>
        <v>C33</v>
      </c>
      <c r="O1119" s="5">
        <f t="shared" si="109"/>
        <v>13.03557441568088</v>
      </c>
      <c r="P1119" s="22">
        <f>O1119/Explications!$C$8</f>
        <v>0.43451914718936269</v>
      </c>
      <c r="Q1119" s="7" t="str">
        <f t="shared" si="110"/>
        <v>C33</v>
      </c>
      <c r="R1119" s="7" t="str">
        <f t="shared" si="111"/>
        <v>C14</v>
      </c>
      <c r="S1119" s="18">
        <f t="shared" si="112"/>
        <v>13.03557441568088</v>
      </c>
      <c r="T1119" s="18">
        <f>S1119/Explications!$C$8</f>
        <v>0.43451914718936269</v>
      </c>
    </row>
    <row r="1120" spans="7:20">
      <c r="G1120" s="7" t="s">
        <v>30</v>
      </c>
      <c r="H1120" s="7" t="s">
        <v>50</v>
      </c>
      <c r="I1120" s="7">
        <v>46.8596</v>
      </c>
      <c r="J1120" s="7">
        <v>-71.267200000000003</v>
      </c>
      <c r="K1120" s="7">
        <v>46.8611</v>
      </c>
      <c r="L1120" s="7">
        <v>-71.268799999999999</v>
      </c>
      <c r="M1120" s="10" t="str">
        <f t="shared" si="107"/>
        <v>C14</v>
      </c>
      <c r="N1120" s="10" t="str">
        <f t="shared" si="108"/>
        <v>C34</v>
      </c>
      <c r="O1120" s="5">
        <f t="shared" si="109"/>
        <v>0.20644369789871964</v>
      </c>
      <c r="P1120" s="22">
        <f>O1120/Explications!$C$8</f>
        <v>6.8814565966239883E-3</v>
      </c>
      <c r="Q1120" s="7" t="str">
        <f t="shared" si="110"/>
        <v>C34</v>
      </c>
      <c r="R1120" s="7" t="str">
        <f t="shared" si="111"/>
        <v>C14</v>
      </c>
      <c r="S1120" s="18">
        <f t="shared" si="112"/>
        <v>0.20644369789871964</v>
      </c>
      <c r="T1120" s="18">
        <f>S1120/Explications!$C$8</f>
        <v>6.8814565966239883E-3</v>
      </c>
    </row>
    <row r="1121" spans="7:20">
      <c r="G1121" s="7" t="s">
        <v>30</v>
      </c>
      <c r="H1121" s="7" t="s">
        <v>51</v>
      </c>
      <c r="I1121" s="7">
        <v>46.8596</v>
      </c>
      <c r="J1121" s="7">
        <v>-71.267200000000003</v>
      </c>
      <c r="K1121" s="7">
        <v>46.869700000000002</v>
      </c>
      <c r="L1121" s="7">
        <v>-71.205200000000005</v>
      </c>
      <c r="M1121" s="10" t="str">
        <f t="shared" si="107"/>
        <v>C14</v>
      </c>
      <c r="N1121" s="10" t="str">
        <f t="shared" si="108"/>
        <v>C35</v>
      </c>
      <c r="O1121" s="5">
        <f t="shared" si="109"/>
        <v>4.8455962435266393</v>
      </c>
      <c r="P1121" s="22">
        <f>O1121/Explications!$C$8</f>
        <v>0.16151987478422131</v>
      </c>
      <c r="Q1121" s="7" t="str">
        <f t="shared" si="110"/>
        <v>C35</v>
      </c>
      <c r="R1121" s="7" t="str">
        <f t="shared" si="111"/>
        <v>C14</v>
      </c>
      <c r="S1121" s="18">
        <f t="shared" si="112"/>
        <v>4.8455962435266393</v>
      </c>
      <c r="T1121" s="18">
        <f>S1121/Explications!$C$8</f>
        <v>0.16151987478422131</v>
      </c>
    </row>
    <row r="1122" spans="7:20">
      <c r="G1122" s="7" t="s">
        <v>30</v>
      </c>
      <c r="H1122" s="7" t="s">
        <v>52</v>
      </c>
      <c r="I1122" s="7">
        <v>46.8596</v>
      </c>
      <c r="J1122" s="7">
        <v>-71.267200000000003</v>
      </c>
      <c r="K1122" s="7">
        <v>46.774099999999997</v>
      </c>
      <c r="L1122" s="7">
        <v>-71.174000000000007</v>
      </c>
      <c r="M1122" s="10" t="str">
        <f t="shared" si="107"/>
        <v>C14</v>
      </c>
      <c r="N1122" s="10" t="str">
        <f t="shared" si="108"/>
        <v>C36</v>
      </c>
      <c r="O1122" s="5">
        <f t="shared" si="109"/>
        <v>11.860965339755941</v>
      </c>
      <c r="P1122" s="22">
        <f>O1122/Explications!$C$8</f>
        <v>0.39536551132519804</v>
      </c>
      <c r="Q1122" s="7" t="str">
        <f t="shared" si="110"/>
        <v>C36</v>
      </c>
      <c r="R1122" s="7" t="str">
        <f t="shared" si="111"/>
        <v>C14</v>
      </c>
      <c r="S1122" s="18">
        <f t="shared" si="112"/>
        <v>11.860965339755941</v>
      </c>
      <c r="T1122" s="18">
        <f>S1122/Explications!$C$8</f>
        <v>0.39536551132519804</v>
      </c>
    </row>
    <row r="1123" spans="7:20">
      <c r="G1123" s="7" t="s">
        <v>30</v>
      </c>
      <c r="H1123" s="7" t="s">
        <v>53</v>
      </c>
      <c r="I1123" s="7">
        <v>46.8596</v>
      </c>
      <c r="J1123" s="7">
        <v>-71.267200000000003</v>
      </c>
      <c r="K1123" s="7">
        <v>46.808500000000002</v>
      </c>
      <c r="L1123" s="7">
        <v>-71.326599999999999</v>
      </c>
      <c r="M1123" s="10" t="str">
        <f t="shared" si="107"/>
        <v>C14</v>
      </c>
      <c r="N1123" s="10" t="str">
        <f t="shared" si="108"/>
        <v>C37</v>
      </c>
      <c r="O1123" s="5">
        <f t="shared" si="109"/>
        <v>7.2596944400935426</v>
      </c>
      <c r="P1123" s="22">
        <f>O1123/Explications!$C$8</f>
        <v>0.24198981466978475</v>
      </c>
      <c r="Q1123" s="7" t="str">
        <f t="shared" si="110"/>
        <v>C37</v>
      </c>
      <c r="R1123" s="7" t="str">
        <f t="shared" si="111"/>
        <v>C14</v>
      </c>
      <c r="S1123" s="18">
        <f t="shared" si="112"/>
        <v>7.2596944400935426</v>
      </c>
      <c r="T1123" s="18">
        <f>S1123/Explications!$C$8</f>
        <v>0.24198981466978475</v>
      </c>
    </row>
    <row r="1124" spans="7:20">
      <c r="G1124" s="7" t="s">
        <v>30</v>
      </c>
      <c r="H1124" s="7" t="s">
        <v>54</v>
      </c>
      <c r="I1124" s="7">
        <v>46.8596</v>
      </c>
      <c r="J1124" s="7">
        <v>-71.267200000000003</v>
      </c>
      <c r="K1124" s="7">
        <v>46.797499999999999</v>
      </c>
      <c r="L1124" s="7">
        <v>-71.306100000000001</v>
      </c>
      <c r="M1124" s="10" t="str">
        <f t="shared" si="107"/>
        <v>C14</v>
      </c>
      <c r="N1124" s="10" t="str">
        <f t="shared" si="108"/>
        <v>C38</v>
      </c>
      <c r="O1124" s="5">
        <f t="shared" si="109"/>
        <v>7.512659192415601</v>
      </c>
      <c r="P1124" s="22">
        <f>O1124/Explications!$C$8</f>
        <v>0.25042197308052005</v>
      </c>
      <c r="Q1124" s="7" t="str">
        <f t="shared" si="110"/>
        <v>C38</v>
      </c>
      <c r="R1124" s="7" t="str">
        <f t="shared" si="111"/>
        <v>C14</v>
      </c>
      <c r="S1124" s="18">
        <f t="shared" si="112"/>
        <v>7.512659192415601</v>
      </c>
      <c r="T1124" s="18">
        <f>S1124/Explications!$C$8</f>
        <v>0.25042197308052005</v>
      </c>
    </row>
    <row r="1125" spans="7:20">
      <c r="G1125" s="7" t="s">
        <v>30</v>
      </c>
      <c r="H1125" s="7" t="s">
        <v>55</v>
      </c>
      <c r="I1125" s="7">
        <v>46.8596</v>
      </c>
      <c r="J1125" s="7">
        <v>-71.267200000000003</v>
      </c>
      <c r="K1125" s="7">
        <v>46.8155</v>
      </c>
      <c r="L1125" s="7">
        <v>-71.268199999999993</v>
      </c>
      <c r="M1125" s="10" t="str">
        <f t="shared" si="107"/>
        <v>C14</v>
      </c>
      <c r="N1125" s="10" t="str">
        <f t="shared" si="108"/>
        <v>C39</v>
      </c>
      <c r="O1125" s="5">
        <f t="shared" si="109"/>
        <v>4.9042861804684401</v>
      </c>
      <c r="P1125" s="22">
        <f>O1125/Explications!$C$8</f>
        <v>0.16347620601561466</v>
      </c>
      <c r="Q1125" s="7" t="str">
        <f t="shared" si="110"/>
        <v>C39</v>
      </c>
      <c r="R1125" s="7" t="str">
        <f t="shared" si="111"/>
        <v>C14</v>
      </c>
      <c r="S1125" s="18">
        <f t="shared" si="112"/>
        <v>4.9042861804684401</v>
      </c>
      <c r="T1125" s="18">
        <f>S1125/Explications!$C$8</f>
        <v>0.16347620601561466</v>
      </c>
    </row>
    <row r="1126" spans="7:20">
      <c r="G1126" s="7" t="s">
        <v>30</v>
      </c>
      <c r="H1126" s="7" t="s">
        <v>56</v>
      </c>
      <c r="I1126" s="7">
        <v>46.8596</v>
      </c>
      <c r="J1126" s="7">
        <v>-71.267200000000003</v>
      </c>
      <c r="K1126" s="7">
        <v>46.866700000000002</v>
      </c>
      <c r="L1126" s="7">
        <v>-71.215900000000005</v>
      </c>
      <c r="M1126" s="10" t="str">
        <f t="shared" si="107"/>
        <v>C14</v>
      </c>
      <c r="N1126" s="10" t="str">
        <f t="shared" si="108"/>
        <v>C40</v>
      </c>
      <c r="O1126" s="5">
        <f t="shared" si="109"/>
        <v>3.9793768539564494</v>
      </c>
      <c r="P1126" s="22">
        <f>O1126/Explications!$C$8</f>
        <v>0.13264589513188166</v>
      </c>
      <c r="Q1126" s="7" t="str">
        <f t="shared" si="110"/>
        <v>C40</v>
      </c>
      <c r="R1126" s="7" t="str">
        <f t="shared" si="111"/>
        <v>C14</v>
      </c>
      <c r="S1126" s="18">
        <f t="shared" si="112"/>
        <v>3.9793768539564494</v>
      </c>
      <c r="T1126" s="18">
        <f>S1126/Explications!$C$8</f>
        <v>0.13264589513188166</v>
      </c>
    </row>
    <row r="1127" spans="7:20">
      <c r="G1127" s="7" t="s">
        <v>30</v>
      </c>
      <c r="H1127" s="7" t="s">
        <v>57</v>
      </c>
      <c r="I1127" s="7">
        <v>46.8596</v>
      </c>
      <c r="J1127" s="7">
        <v>-71.267200000000003</v>
      </c>
      <c r="K1127" s="7">
        <v>46.762099999999997</v>
      </c>
      <c r="L1127" s="7">
        <v>-71.235399999999998</v>
      </c>
      <c r="M1127" s="10" t="str">
        <f t="shared" si="107"/>
        <v>C14</v>
      </c>
      <c r="N1127" s="10" t="str">
        <f t="shared" si="108"/>
        <v>C41</v>
      </c>
      <c r="O1127" s="5">
        <f t="shared" si="109"/>
        <v>11.108328777116693</v>
      </c>
      <c r="P1127" s="22">
        <f>O1127/Explications!$C$8</f>
        <v>0.37027762590388974</v>
      </c>
      <c r="Q1127" s="7" t="str">
        <f t="shared" si="110"/>
        <v>C41</v>
      </c>
      <c r="R1127" s="7" t="str">
        <f t="shared" si="111"/>
        <v>C14</v>
      </c>
      <c r="S1127" s="18">
        <f t="shared" si="112"/>
        <v>11.108328777116693</v>
      </c>
      <c r="T1127" s="18">
        <f>S1127/Explications!$C$8</f>
        <v>0.37027762590388974</v>
      </c>
    </row>
    <row r="1128" spans="7:20">
      <c r="G1128" s="7" t="s">
        <v>30</v>
      </c>
      <c r="H1128" s="7" t="s">
        <v>58</v>
      </c>
      <c r="I1128" s="7">
        <v>46.8596</v>
      </c>
      <c r="J1128" s="7">
        <v>-71.267200000000003</v>
      </c>
      <c r="K1128" s="7">
        <v>46.8157</v>
      </c>
      <c r="L1128" s="7">
        <v>-71.2042</v>
      </c>
      <c r="M1128" s="10" t="str">
        <f t="shared" si="107"/>
        <v>C14</v>
      </c>
      <c r="N1128" s="10" t="str">
        <f t="shared" si="108"/>
        <v>C42</v>
      </c>
      <c r="O1128" s="5">
        <f t="shared" si="109"/>
        <v>6.8405207215452997</v>
      </c>
      <c r="P1128" s="22">
        <f>O1128/Explications!$C$8</f>
        <v>0.22801735738484333</v>
      </c>
      <c r="Q1128" s="7" t="str">
        <f t="shared" si="110"/>
        <v>C42</v>
      </c>
      <c r="R1128" s="7" t="str">
        <f t="shared" si="111"/>
        <v>C14</v>
      </c>
      <c r="S1128" s="18">
        <f t="shared" si="112"/>
        <v>6.8405207215452997</v>
      </c>
      <c r="T1128" s="18">
        <f>S1128/Explications!$C$8</f>
        <v>0.22801735738484333</v>
      </c>
    </row>
    <row r="1129" spans="7:20">
      <c r="G1129" s="7" t="s">
        <v>30</v>
      </c>
      <c r="H1129" s="7" t="s">
        <v>59</v>
      </c>
      <c r="I1129" s="7">
        <v>46.8596</v>
      </c>
      <c r="J1129" s="7">
        <v>-71.267200000000003</v>
      </c>
      <c r="K1129" s="7">
        <v>46.707000000000001</v>
      </c>
      <c r="L1129" s="7">
        <v>-71.217100000000002</v>
      </c>
      <c r="M1129" s="10" t="str">
        <f t="shared" si="107"/>
        <v>C14</v>
      </c>
      <c r="N1129" s="10" t="str">
        <f t="shared" si="108"/>
        <v>C43</v>
      </c>
      <c r="O1129" s="5">
        <f t="shared" si="109"/>
        <v>17.391856841764064</v>
      </c>
      <c r="P1129" s="22">
        <f>O1129/Explications!$C$8</f>
        <v>0.57972856139213547</v>
      </c>
      <c r="Q1129" s="7" t="str">
        <f t="shared" si="110"/>
        <v>C43</v>
      </c>
      <c r="R1129" s="7" t="str">
        <f t="shared" si="111"/>
        <v>C14</v>
      </c>
      <c r="S1129" s="18">
        <f t="shared" si="112"/>
        <v>17.391856841764064</v>
      </c>
      <c r="T1129" s="18">
        <f>S1129/Explications!$C$8</f>
        <v>0.57972856139213547</v>
      </c>
    </row>
    <row r="1130" spans="7:20">
      <c r="G1130" s="7" t="s">
        <v>30</v>
      </c>
      <c r="H1130" s="7" t="s">
        <v>60</v>
      </c>
      <c r="I1130" s="7">
        <v>46.8596</v>
      </c>
      <c r="J1130" s="7">
        <v>-71.267200000000003</v>
      </c>
      <c r="K1130" s="7">
        <v>46.802900000000001</v>
      </c>
      <c r="L1130" s="7">
        <v>-71.228899999999996</v>
      </c>
      <c r="M1130" s="10" t="str">
        <f t="shared" si="107"/>
        <v>C14</v>
      </c>
      <c r="N1130" s="10" t="str">
        <f t="shared" si="108"/>
        <v>C44</v>
      </c>
      <c r="O1130" s="5">
        <f t="shared" si="109"/>
        <v>6.9454409914231547</v>
      </c>
      <c r="P1130" s="22">
        <f>O1130/Explications!$C$8</f>
        <v>0.23151469971410515</v>
      </c>
      <c r="Q1130" s="7" t="str">
        <f t="shared" si="110"/>
        <v>C44</v>
      </c>
      <c r="R1130" s="7" t="str">
        <f t="shared" si="111"/>
        <v>C14</v>
      </c>
      <c r="S1130" s="18">
        <f t="shared" si="112"/>
        <v>6.9454409914231547</v>
      </c>
      <c r="T1130" s="18">
        <f>S1130/Explications!$C$8</f>
        <v>0.23151469971410515</v>
      </c>
    </row>
    <row r="1131" spans="7:20">
      <c r="G1131" s="7" t="s">
        <v>30</v>
      </c>
      <c r="H1131" s="7" t="s">
        <v>61</v>
      </c>
      <c r="I1131" s="7">
        <v>46.8596</v>
      </c>
      <c r="J1131" s="7">
        <v>-71.267200000000003</v>
      </c>
      <c r="K1131" s="7">
        <v>46.796900000000001</v>
      </c>
      <c r="L1131" s="7">
        <v>-71.3078</v>
      </c>
      <c r="M1131" s="10" t="str">
        <f t="shared" si="107"/>
        <v>C14</v>
      </c>
      <c r="N1131" s="10" t="str">
        <f t="shared" si="108"/>
        <v>C45</v>
      </c>
      <c r="O1131" s="5">
        <f t="shared" si="109"/>
        <v>7.6254979246889079</v>
      </c>
      <c r="P1131" s="22">
        <f>O1131/Explications!$C$8</f>
        <v>0.25418326415629694</v>
      </c>
      <c r="Q1131" s="7" t="str">
        <f t="shared" si="110"/>
        <v>C45</v>
      </c>
      <c r="R1131" s="7" t="str">
        <f t="shared" si="111"/>
        <v>C14</v>
      </c>
      <c r="S1131" s="18">
        <f t="shared" si="112"/>
        <v>7.6254979246889079</v>
      </c>
      <c r="T1131" s="18">
        <f>S1131/Explications!$C$8</f>
        <v>0.25418326415629694</v>
      </c>
    </row>
    <row r="1132" spans="7:20">
      <c r="G1132" s="7" t="s">
        <v>30</v>
      </c>
      <c r="H1132" s="7" t="s">
        <v>62</v>
      </c>
      <c r="I1132" s="7">
        <v>46.8596</v>
      </c>
      <c r="J1132" s="7">
        <v>-71.267200000000003</v>
      </c>
      <c r="K1132" s="7">
        <v>46.803600000000003</v>
      </c>
      <c r="L1132" s="7">
        <v>-71.231099999999998</v>
      </c>
      <c r="M1132" s="10" t="str">
        <f t="shared" si="107"/>
        <v>C14</v>
      </c>
      <c r="N1132" s="10" t="str">
        <f t="shared" si="108"/>
        <v>C46</v>
      </c>
      <c r="O1132" s="5">
        <f t="shared" si="109"/>
        <v>6.8056135640011197</v>
      </c>
      <c r="P1132" s="22">
        <f>O1132/Explications!$C$8</f>
        <v>0.22685378546670398</v>
      </c>
      <c r="Q1132" s="7" t="str">
        <f t="shared" si="110"/>
        <v>C46</v>
      </c>
      <c r="R1132" s="7" t="str">
        <f t="shared" si="111"/>
        <v>C14</v>
      </c>
      <c r="S1132" s="18">
        <f t="shared" si="112"/>
        <v>6.8056135640011197</v>
      </c>
      <c r="T1132" s="18">
        <f>S1132/Explications!$C$8</f>
        <v>0.22685378546670398</v>
      </c>
    </row>
    <row r="1133" spans="7:20">
      <c r="G1133" s="7" t="s">
        <v>30</v>
      </c>
      <c r="H1133" s="7" t="s">
        <v>63</v>
      </c>
      <c r="I1133" s="7">
        <v>46.8596</v>
      </c>
      <c r="J1133" s="7">
        <v>-71.267200000000003</v>
      </c>
      <c r="K1133" s="7">
        <v>46.802399999999999</v>
      </c>
      <c r="L1133" s="7">
        <v>-71.269800000000004</v>
      </c>
      <c r="M1133" s="10" t="str">
        <f t="shared" si="107"/>
        <v>C14</v>
      </c>
      <c r="N1133" s="10" t="str">
        <f t="shared" si="108"/>
        <v>C47</v>
      </c>
      <c r="O1133" s="5">
        <f t="shared" si="109"/>
        <v>6.3634245292035923</v>
      </c>
      <c r="P1133" s="22">
        <f>O1133/Explications!$C$8</f>
        <v>0.21211415097345307</v>
      </c>
      <c r="Q1133" s="7" t="str">
        <f t="shared" si="110"/>
        <v>C47</v>
      </c>
      <c r="R1133" s="7" t="str">
        <f t="shared" si="111"/>
        <v>C14</v>
      </c>
      <c r="S1133" s="18">
        <f t="shared" si="112"/>
        <v>6.3634245292035923</v>
      </c>
      <c r="T1133" s="18">
        <f>S1133/Explications!$C$8</f>
        <v>0.21211415097345307</v>
      </c>
    </row>
    <row r="1134" spans="7:20">
      <c r="G1134" s="7" t="s">
        <v>30</v>
      </c>
      <c r="H1134" s="7" t="s">
        <v>64</v>
      </c>
      <c r="I1134" s="7">
        <v>46.8596</v>
      </c>
      <c r="J1134" s="7">
        <v>-71.267200000000003</v>
      </c>
      <c r="K1134" s="7">
        <v>46.826799999999999</v>
      </c>
      <c r="L1134" s="7">
        <v>-71.224199999999996</v>
      </c>
      <c r="M1134" s="10" t="str">
        <f t="shared" si="107"/>
        <v>C14</v>
      </c>
      <c r="N1134" s="10" t="str">
        <f t="shared" si="108"/>
        <v>C48</v>
      </c>
      <c r="O1134" s="5">
        <f t="shared" si="109"/>
        <v>4.898762808670913</v>
      </c>
      <c r="P1134" s="22">
        <f>O1134/Explications!$C$8</f>
        <v>0.16329209362236377</v>
      </c>
      <c r="Q1134" s="7" t="str">
        <f t="shared" si="110"/>
        <v>C48</v>
      </c>
      <c r="R1134" s="7" t="str">
        <f t="shared" si="111"/>
        <v>C14</v>
      </c>
      <c r="S1134" s="18">
        <f t="shared" si="112"/>
        <v>4.898762808670913</v>
      </c>
      <c r="T1134" s="18">
        <f>S1134/Explications!$C$8</f>
        <v>0.16329209362236377</v>
      </c>
    </row>
    <row r="1135" spans="7:20">
      <c r="G1135" s="7" t="s">
        <v>30</v>
      </c>
      <c r="H1135" s="7" t="s">
        <v>65</v>
      </c>
      <c r="I1135" s="7">
        <v>46.8596</v>
      </c>
      <c r="J1135" s="7">
        <v>-71.267200000000003</v>
      </c>
      <c r="K1135" s="7">
        <v>46.864100000000001</v>
      </c>
      <c r="L1135" s="7">
        <v>-71.255499999999998</v>
      </c>
      <c r="M1135" s="10" t="str">
        <f t="shared" si="107"/>
        <v>C14</v>
      </c>
      <c r="N1135" s="10" t="str">
        <f t="shared" si="108"/>
        <v>C49</v>
      </c>
      <c r="O1135" s="5">
        <f t="shared" si="109"/>
        <v>1.020632739726173</v>
      </c>
      <c r="P1135" s="22">
        <f>O1135/Explications!$C$8</f>
        <v>3.4021091324205763E-2</v>
      </c>
      <c r="Q1135" s="7" t="str">
        <f t="shared" si="110"/>
        <v>C49</v>
      </c>
      <c r="R1135" s="7" t="str">
        <f t="shared" si="111"/>
        <v>C14</v>
      </c>
      <c r="S1135" s="18">
        <f t="shared" si="112"/>
        <v>1.020632739726173</v>
      </c>
      <c r="T1135" s="18">
        <f>S1135/Explications!$C$8</f>
        <v>3.4021091324205763E-2</v>
      </c>
    </row>
    <row r="1136" spans="7:20">
      <c r="G1136" s="7" t="s">
        <v>30</v>
      </c>
      <c r="H1136" s="7" t="s">
        <v>66</v>
      </c>
      <c r="I1136" s="7">
        <v>46.8596</v>
      </c>
      <c r="J1136" s="7">
        <v>-71.267200000000003</v>
      </c>
      <c r="K1136" s="7">
        <v>46.843800000000002</v>
      </c>
      <c r="L1136" s="7">
        <v>-71.247299999999996</v>
      </c>
      <c r="M1136" s="10" t="str">
        <f t="shared" si="107"/>
        <v>C14</v>
      </c>
      <c r="N1136" s="10" t="str">
        <f t="shared" si="108"/>
        <v>C50</v>
      </c>
      <c r="O1136" s="5">
        <f t="shared" si="109"/>
        <v>2.3187689717276045</v>
      </c>
      <c r="P1136" s="22">
        <f>O1136/Explications!$C$8</f>
        <v>7.7292299057586819E-2</v>
      </c>
      <c r="Q1136" s="7" t="str">
        <f t="shared" si="110"/>
        <v>C50</v>
      </c>
      <c r="R1136" s="7" t="str">
        <f t="shared" si="111"/>
        <v>C14</v>
      </c>
      <c r="S1136" s="18">
        <f t="shared" si="112"/>
        <v>2.3187689717276045</v>
      </c>
      <c r="T1136" s="18">
        <f>S1136/Explications!$C$8</f>
        <v>7.7292299057586819E-2</v>
      </c>
    </row>
    <row r="1137" spans="7:20">
      <c r="G1137" s="7" t="s">
        <v>30</v>
      </c>
      <c r="H1137" s="7" t="s">
        <v>67</v>
      </c>
      <c r="I1137" s="7">
        <v>46.8596</v>
      </c>
      <c r="J1137" s="7">
        <v>-71.267200000000003</v>
      </c>
      <c r="K1137" s="7">
        <v>46.765599999999999</v>
      </c>
      <c r="L1137" s="7">
        <v>-71.312100000000001</v>
      </c>
      <c r="M1137" s="10" t="str">
        <f t="shared" si="107"/>
        <v>C14</v>
      </c>
      <c r="N1137" s="10" t="str">
        <f t="shared" si="108"/>
        <v>C51</v>
      </c>
      <c r="O1137" s="5">
        <f t="shared" si="109"/>
        <v>10.996648915999788</v>
      </c>
      <c r="P1137" s="22">
        <f>O1137/Explications!$C$8</f>
        <v>0.36655496386665959</v>
      </c>
      <c r="Q1137" s="7" t="str">
        <f t="shared" si="110"/>
        <v>C51</v>
      </c>
      <c r="R1137" s="7" t="str">
        <f t="shared" si="111"/>
        <v>C14</v>
      </c>
      <c r="S1137" s="18">
        <f t="shared" si="112"/>
        <v>10.996648915999788</v>
      </c>
      <c r="T1137" s="18">
        <f>S1137/Explications!$C$8</f>
        <v>0.36655496386665959</v>
      </c>
    </row>
    <row r="1138" spans="7:20">
      <c r="G1138" s="7" t="s">
        <v>30</v>
      </c>
      <c r="H1138" s="7" t="s">
        <v>68</v>
      </c>
      <c r="I1138" s="7">
        <v>46.8596</v>
      </c>
      <c r="J1138" s="7">
        <v>-71.267200000000003</v>
      </c>
      <c r="K1138" s="7">
        <v>46.787599999999998</v>
      </c>
      <c r="L1138" s="7">
        <v>-71.288600000000002</v>
      </c>
      <c r="M1138" s="10" t="str">
        <f t="shared" si="107"/>
        <v>C14</v>
      </c>
      <c r="N1138" s="10" t="str">
        <f t="shared" si="108"/>
        <v>C52</v>
      </c>
      <c r="O1138" s="5">
        <f t="shared" si="109"/>
        <v>8.1699248180587869</v>
      </c>
      <c r="P1138" s="22">
        <f>O1138/Explications!$C$8</f>
        <v>0.27233082726862623</v>
      </c>
      <c r="Q1138" s="7" t="str">
        <f t="shared" si="110"/>
        <v>C52</v>
      </c>
      <c r="R1138" s="7" t="str">
        <f t="shared" si="111"/>
        <v>C14</v>
      </c>
      <c r="S1138" s="18">
        <f t="shared" si="112"/>
        <v>8.1699248180587869</v>
      </c>
      <c r="T1138" s="18">
        <f>S1138/Explications!$C$8</f>
        <v>0.27233082726862623</v>
      </c>
    </row>
    <row r="1139" spans="7:20">
      <c r="G1139" s="7" t="s">
        <v>30</v>
      </c>
      <c r="H1139" s="7" t="s">
        <v>69</v>
      </c>
      <c r="I1139" s="7">
        <v>46.8596</v>
      </c>
      <c r="J1139" s="7">
        <v>-71.267200000000003</v>
      </c>
      <c r="K1139" s="7">
        <v>46.764600000000002</v>
      </c>
      <c r="L1139" s="7">
        <v>-71.308300000000003</v>
      </c>
      <c r="M1139" s="10" t="str">
        <f t="shared" si="107"/>
        <v>C14</v>
      </c>
      <c r="N1139" s="10" t="str">
        <f t="shared" si="108"/>
        <v>C53</v>
      </c>
      <c r="O1139" s="5">
        <f t="shared" si="109"/>
        <v>11.016839007266833</v>
      </c>
      <c r="P1139" s="22">
        <f>O1139/Explications!$C$8</f>
        <v>0.36722796690889442</v>
      </c>
      <c r="Q1139" s="7" t="str">
        <f t="shared" si="110"/>
        <v>C53</v>
      </c>
      <c r="R1139" s="7" t="str">
        <f t="shared" si="111"/>
        <v>C14</v>
      </c>
      <c r="S1139" s="18">
        <f t="shared" si="112"/>
        <v>11.016839007266833</v>
      </c>
      <c r="T1139" s="18">
        <f>S1139/Explications!$C$8</f>
        <v>0.36722796690889442</v>
      </c>
    </row>
    <row r="1140" spans="7:20">
      <c r="G1140" s="7" t="s">
        <v>30</v>
      </c>
      <c r="H1140" s="7" t="s">
        <v>70</v>
      </c>
      <c r="I1140" s="7">
        <v>46.8596</v>
      </c>
      <c r="J1140" s="7">
        <v>-71.267200000000003</v>
      </c>
      <c r="K1140" s="7">
        <v>46.849699999999999</v>
      </c>
      <c r="L1140" s="7">
        <v>-71.097399999999993</v>
      </c>
      <c r="M1140" s="10" t="str">
        <f t="shared" si="107"/>
        <v>C14</v>
      </c>
      <c r="N1140" s="10" t="str">
        <f t="shared" si="108"/>
        <v>C54</v>
      </c>
      <c r="O1140" s="5">
        <f t="shared" si="109"/>
        <v>12.958570352317844</v>
      </c>
      <c r="P1140" s="22">
        <f>O1140/Explications!$C$8</f>
        <v>0.43195234507726149</v>
      </c>
      <c r="Q1140" s="7" t="str">
        <f t="shared" si="110"/>
        <v>C54</v>
      </c>
      <c r="R1140" s="7" t="str">
        <f t="shared" si="111"/>
        <v>C14</v>
      </c>
      <c r="S1140" s="18">
        <f t="shared" si="112"/>
        <v>12.958570352317844</v>
      </c>
      <c r="T1140" s="18">
        <f>S1140/Explications!$C$8</f>
        <v>0.43195234507726149</v>
      </c>
    </row>
    <row r="1141" spans="7:20">
      <c r="G1141" s="7" t="s">
        <v>30</v>
      </c>
      <c r="H1141" s="7" t="s">
        <v>71</v>
      </c>
      <c r="I1141" s="7">
        <v>46.8596</v>
      </c>
      <c r="J1141" s="7">
        <v>-71.267200000000003</v>
      </c>
      <c r="K1141" s="7">
        <v>46.788899999999998</v>
      </c>
      <c r="L1141" s="7">
        <v>-71.321399999999997</v>
      </c>
      <c r="M1141" s="10" t="str">
        <f t="shared" si="107"/>
        <v>C14</v>
      </c>
      <c r="N1141" s="10" t="str">
        <f t="shared" si="108"/>
        <v>C55</v>
      </c>
      <c r="O1141" s="5">
        <f t="shared" si="109"/>
        <v>8.8773953943572756</v>
      </c>
      <c r="P1141" s="22">
        <f>O1141/Explications!$C$8</f>
        <v>0.29591317981190918</v>
      </c>
      <c r="Q1141" s="7" t="str">
        <f t="shared" si="110"/>
        <v>C55</v>
      </c>
      <c r="R1141" s="7" t="str">
        <f t="shared" si="111"/>
        <v>C14</v>
      </c>
      <c r="S1141" s="18">
        <f t="shared" si="112"/>
        <v>8.8773953943572756</v>
      </c>
      <c r="T1141" s="18">
        <f>S1141/Explications!$C$8</f>
        <v>0.29591317981190918</v>
      </c>
    </row>
    <row r="1142" spans="7:20">
      <c r="G1142" s="7" t="s">
        <v>30</v>
      </c>
      <c r="H1142" s="7" t="s">
        <v>72</v>
      </c>
      <c r="I1142" s="7">
        <v>46.8596</v>
      </c>
      <c r="J1142" s="7">
        <v>-71.267200000000003</v>
      </c>
      <c r="K1142" s="7">
        <v>46.795400000000001</v>
      </c>
      <c r="L1142" s="7">
        <v>-71.232600000000005</v>
      </c>
      <c r="M1142" s="10" t="str">
        <f t="shared" si="107"/>
        <v>C14</v>
      </c>
      <c r="N1142" s="10" t="str">
        <f t="shared" si="108"/>
        <v>C56</v>
      </c>
      <c r="O1142" s="5">
        <f t="shared" si="109"/>
        <v>7.6085782748108857</v>
      </c>
      <c r="P1142" s="22">
        <f>O1142/Explications!$C$8</f>
        <v>0.25361927582702953</v>
      </c>
      <c r="Q1142" s="7" t="str">
        <f t="shared" si="110"/>
        <v>C56</v>
      </c>
      <c r="R1142" s="7" t="str">
        <f t="shared" si="111"/>
        <v>C14</v>
      </c>
      <c r="S1142" s="18">
        <f t="shared" si="112"/>
        <v>7.6085782748108857</v>
      </c>
      <c r="T1142" s="18">
        <f>S1142/Explications!$C$8</f>
        <v>0.25361927582702953</v>
      </c>
    </row>
    <row r="1143" spans="7:20">
      <c r="G1143" s="7" t="s">
        <v>30</v>
      </c>
      <c r="H1143" s="7" t="s">
        <v>73</v>
      </c>
      <c r="I1143" s="7">
        <v>46.8596</v>
      </c>
      <c r="J1143" s="7">
        <v>-71.267200000000003</v>
      </c>
      <c r="K1143" s="7">
        <v>46.801200000000001</v>
      </c>
      <c r="L1143" s="7">
        <v>-71.224999999999994</v>
      </c>
      <c r="M1143" s="10" t="str">
        <f t="shared" si="107"/>
        <v>C14</v>
      </c>
      <c r="N1143" s="10" t="str">
        <f t="shared" si="108"/>
        <v>C57</v>
      </c>
      <c r="O1143" s="5">
        <f t="shared" si="109"/>
        <v>7.244011734390182</v>
      </c>
      <c r="P1143" s="22">
        <f>O1143/Explications!$C$8</f>
        <v>0.24146705781300606</v>
      </c>
      <c r="Q1143" s="7" t="str">
        <f t="shared" si="110"/>
        <v>C57</v>
      </c>
      <c r="R1143" s="7" t="str">
        <f t="shared" si="111"/>
        <v>C14</v>
      </c>
      <c r="S1143" s="18">
        <f t="shared" si="112"/>
        <v>7.244011734390182</v>
      </c>
      <c r="T1143" s="18">
        <f>S1143/Explications!$C$8</f>
        <v>0.24146705781300606</v>
      </c>
    </row>
    <row r="1144" spans="7:20">
      <c r="G1144" s="7" t="s">
        <v>30</v>
      </c>
      <c r="H1144" s="7" t="s">
        <v>74</v>
      </c>
      <c r="I1144" s="7">
        <v>46.8596</v>
      </c>
      <c r="J1144" s="7">
        <v>-71.267200000000003</v>
      </c>
      <c r="K1144" s="7">
        <v>46.773200000000003</v>
      </c>
      <c r="L1144" s="7">
        <v>-71.275899999999993</v>
      </c>
      <c r="M1144" s="10" t="str">
        <f t="shared" si="107"/>
        <v>C14</v>
      </c>
      <c r="N1144" s="10" t="str">
        <f t="shared" si="108"/>
        <v>C58</v>
      </c>
      <c r="O1144" s="5">
        <f t="shared" si="109"/>
        <v>9.6300244349422552</v>
      </c>
      <c r="P1144" s="22">
        <f>O1144/Explications!$C$8</f>
        <v>0.32100081449807516</v>
      </c>
      <c r="Q1144" s="7" t="str">
        <f t="shared" si="110"/>
        <v>C58</v>
      </c>
      <c r="R1144" s="7" t="str">
        <f t="shared" si="111"/>
        <v>C14</v>
      </c>
      <c r="S1144" s="18">
        <f t="shared" si="112"/>
        <v>9.6300244349422552</v>
      </c>
      <c r="T1144" s="18">
        <f>S1144/Explications!$C$8</f>
        <v>0.32100081449807516</v>
      </c>
    </row>
    <row r="1145" spans="7:20">
      <c r="G1145" s="7" t="s">
        <v>30</v>
      </c>
      <c r="H1145" s="7" t="s">
        <v>75</v>
      </c>
      <c r="I1145" s="7">
        <v>46.8596</v>
      </c>
      <c r="J1145" s="7">
        <v>-71.267200000000003</v>
      </c>
      <c r="K1145" s="7">
        <v>46.814399999999999</v>
      </c>
      <c r="L1145" s="7">
        <v>-71.225700000000003</v>
      </c>
      <c r="M1145" s="10" t="str">
        <f t="shared" si="107"/>
        <v>C14</v>
      </c>
      <c r="N1145" s="10" t="str">
        <f t="shared" si="108"/>
        <v>C59</v>
      </c>
      <c r="O1145" s="5">
        <f t="shared" si="109"/>
        <v>5.935126857247722</v>
      </c>
      <c r="P1145" s="22">
        <f>O1145/Explications!$C$8</f>
        <v>0.19783756190825741</v>
      </c>
      <c r="Q1145" s="7" t="str">
        <f t="shared" si="110"/>
        <v>C59</v>
      </c>
      <c r="R1145" s="7" t="str">
        <f t="shared" si="111"/>
        <v>C14</v>
      </c>
      <c r="S1145" s="18">
        <f t="shared" si="112"/>
        <v>5.935126857247722</v>
      </c>
      <c r="T1145" s="18">
        <f>S1145/Explications!$C$8</f>
        <v>0.19783756190825741</v>
      </c>
    </row>
    <row r="1146" spans="7:20">
      <c r="G1146" s="7" t="s">
        <v>30</v>
      </c>
      <c r="H1146" s="7" t="s">
        <v>76</v>
      </c>
      <c r="I1146" s="7">
        <v>46.8596</v>
      </c>
      <c r="J1146" s="7">
        <v>-71.267200000000003</v>
      </c>
      <c r="K1146" s="7">
        <v>46.772500000000001</v>
      </c>
      <c r="L1146" s="7">
        <v>-71.276300000000006</v>
      </c>
      <c r="M1146" s="10" t="str">
        <f t="shared" si="107"/>
        <v>C14</v>
      </c>
      <c r="N1146" s="10" t="str">
        <f t="shared" si="108"/>
        <v>C60</v>
      </c>
      <c r="O1146" s="5">
        <f t="shared" si="109"/>
        <v>9.7098017709074291</v>
      </c>
      <c r="P1146" s="22">
        <f>O1146/Explications!$C$8</f>
        <v>0.32366005903024764</v>
      </c>
      <c r="Q1146" s="7" t="str">
        <f t="shared" si="110"/>
        <v>C60</v>
      </c>
      <c r="R1146" s="7" t="str">
        <f t="shared" si="111"/>
        <v>C14</v>
      </c>
      <c r="S1146" s="18">
        <f t="shared" si="112"/>
        <v>9.7098017709074291</v>
      </c>
      <c r="T1146" s="18">
        <f>S1146/Explications!$C$8</f>
        <v>0.32366005903024764</v>
      </c>
    </row>
    <row r="1147" spans="7:20">
      <c r="G1147" s="7" t="s">
        <v>30</v>
      </c>
      <c r="H1147" s="7" t="s">
        <v>77</v>
      </c>
      <c r="I1147" s="7">
        <v>46.8596</v>
      </c>
      <c r="J1147" s="7">
        <v>-71.267200000000003</v>
      </c>
      <c r="K1147" s="7">
        <v>46.810899999999997</v>
      </c>
      <c r="L1147" s="7">
        <v>-71.215599999999995</v>
      </c>
      <c r="M1147" s="10" t="str">
        <f t="shared" si="107"/>
        <v>C14</v>
      </c>
      <c r="N1147" s="10" t="str">
        <f t="shared" si="108"/>
        <v>C61</v>
      </c>
      <c r="O1147" s="5">
        <f t="shared" si="109"/>
        <v>6.6881165556173823</v>
      </c>
      <c r="P1147" s="22">
        <f>O1147/Explications!$C$8</f>
        <v>0.22293721852057941</v>
      </c>
      <c r="Q1147" s="7" t="str">
        <f t="shared" si="110"/>
        <v>C61</v>
      </c>
      <c r="R1147" s="7" t="str">
        <f t="shared" si="111"/>
        <v>C14</v>
      </c>
      <c r="S1147" s="18">
        <f t="shared" si="112"/>
        <v>6.6881165556173823</v>
      </c>
      <c r="T1147" s="18">
        <f>S1147/Explications!$C$8</f>
        <v>0.22293721852057941</v>
      </c>
    </row>
    <row r="1148" spans="7:20">
      <c r="G1148" s="7" t="s">
        <v>30</v>
      </c>
      <c r="H1148" s="7" t="s">
        <v>78</v>
      </c>
      <c r="I1148" s="7">
        <v>46.8596</v>
      </c>
      <c r="J1148" s="7">
        <v>-71.267200000000003</v>
      </c>
      <c r="K1148" s="7">
        <v>46.795200000000001</v>
      </c>
      <c r="L1148" s="7">
        <v>-71.245099999999994</v>
      </c>
      <c r="M1148" s="10" t="str">
        <f t="shared" si="107"/>
        <v>C14</v>
      </c>
      <c r="N1148" s="10" t="str">
        <f t="shared" si="108"/>
        <v>C62</v>
      </c>
      <c r="O1148" s="5">
        <f t="shared" si="109"/>
        <v>7.3556919276617645</v>
      </c>
      <c r="P1148" s="22">
        <f>O1148/Explications!$C$8</f>
        <v>0.24518973092205881</v>
      </c>
      <c r="Q1148" s="7" t="str">
        <f t="shared" si="110"/>
        <v>C62</v>
      </c>
      <c r="R1148" s="7" t="str">
        <f t="shared" si="111"/>
        <v>C14</v>
      </c>
      <c r="S1148" s="18">
        <f t="shared" si="112"/>
        <v>7.3556919276617645</v>
      </c>
      <c r="T1148" s="18">
        <f>S1148/Explications!$C$8</f>
        <v>0.24518973092205881</v>
      </c>
    </row>
    <row r="1149" spans="7:20">
      <c r="G1149" s="7" t="s">
        <v>30</v>
      </c>
      <c r="H1149" s="7" t="s">
        <v>79</v>
      </c>
      <c r="I1149" s="7">
        <v>46.8596</v>
      </c>
      <c r="J1149" s="7">
        <v>-71.267200000000003</v>
      </c>
      <c r="K1149" s="7">
        <v>46.822000000000003</v>
      </c>
      <c r="L1149" s="7">
        <v>-71.345699999999994</v>
      </c>
      <c r="M1149" s="10" t="str">
        <f t="shared" si="107"/>
        <v>C14</v>
      </c>
      <c r="N1149" s="10" t="str">
        <f t="shared" si="108"/>
        <v>C63</v>
      </c>
      <c r="O1149" s="5">
        <f t="shared" si="109"/>
        <v>7.2890285538315371</v>
      </c>
      <c r="P1149" s="22">
        <f>O1149/Explications!$C$8</f>
        <v>0.24296761846105125</v>
      </c>
      <c r="Q1149" s="7" t="str">
        <f t="shared" si="110"/>
        <v>C63</v>
      </c>
      <c r="R1149" s="7" t="str">
        <f t="shared" si="111"/>
        <v>C14</v>
      </c>
      <c r="S1149" s="18">
        <f t="shared" si="112"/>
        <v>7.2890285538315371</v>
      </c>
      <c r="T1149" s="18">
        <f>S1149/Explications!$C$8</f>
        <v>0.24296761846105125</v>
      </c>
    </row>
    <row r="1150" spans="7:20">
      <c r="G1150" s="7" t="s">
        <v>30</v>
      </c>
      <c r="H1150" s="7" t="s">
        <v>80</v>
      </c>
      <c r="I1150" s="7">
        <v>46.8596</v>
      </c>
      <c r="J1150" s="7">
        <v>-71.267200000000003</v>
      </c>
      <c r="K1150" s="7">
        <v>46.779400000000003</v>
      </c>
      <c r="L1150" s="7">
        <v>-71.350399999999993</v>
      </c>
      <c r="M1150" s="10" t="str">
        <f t="shared" si="107"/>
        <v>C14</v>
      </c>
      <c r="N1150" s="10" t="str">
        <f t="shared" si="108"/>
        <v>C64</v>
      </c>
      <c r="O1150" s="5">
        <f t="shared" si="109"/>
        <v>10.936449600347526</v>
      </c>
      <c r="P1150" s="22">
        <f>O1150/Explications!$C$8</f>
        <v>0.36454832001158421</v>
      </c>
      <c r="Q1150" s="7" t="str">
        <f t="shared" si="110"/>
        <v>C64</v>
      </c>
      <c r="R1150" s="7" t="str">
        <f t="shared" si="111"/>
        <v>C14</v>
      </c>
      <c r="S1150" s="18">
        <f t="shared" si="112"/>
        <v>10.936449600347526</v>
      </c>
      <c r="T1150" s="18">
        <f>S1150/Explications!$C$8</f>
        <v>0.36454832001158421</v>
      </c>
    </row>
    <row r="1151" spans="7:20">
      <c r="G1151" s="7" t="s">
        <v>30</v>
      </c>
      <c r="H1151" s="7" t="s">
        <v>81</v>
      </c>
      <c r="I1151" s="7">
        <v>46.8596</v>
      </c>
      <c r="J1151" s="7">
        <v>-71.267200000000003</v>
      </c>
      <c r="K1151" s="7">
        <v>46.772300000000001</v>
      </c>
      <c r="L1151" s="7">
        <v>-71.279799999999994</v>
      </c>
      <c r="M1151" s="10" t="str">
        <f t="shared" si="107"/>
        <v>C14</v>
      </c>
      <c r="N1151" s="10" t="str">
        <f t="shared" si="108"/>
        <v>C65</v>
      </c>
      <c r="O1151" s="5">
        <f t="shared" si="109"/>
        <v>9.7545533234219945</v>
      </c>
      <c r="P1151" s="22">
        <f>O1151/Explications!$C$8</f>
        <v>0.32515177744739981</v>
      </c>
      <c r="Q1151" s="7" t="str">
        <f t="shared" si="110"/>
        <v>C65</v>
      </c>
      <c r="R1151" s="7" t="str">
        <f t="shared" si="111"/>
        <v>C14</v>
      </c>
      <c r="S1151" s="18">
        <f t="shared" si="112"/>
        <v>9.7545533234219945</v>
      </c>
      <c r="T1151" s="18">
        <f>S1151/Explications!$C$8</f>
        <v>0.32515177744739981</v>
      </c>
    </row>
    <row r="1152" spans="7:20">
      <c r="G1152" s="7" t="s">
        <v>30</v>
      </c>
      <c r="H1152" s="7" t="s">
        <v>82</v>
      </c>
      <c r="I1152" s="7">
        <v>46.8596</v>
      </c>
      <c r="J1152" s="7">
        <v>-71.267200000000003</v>
      </c>
      <c r="K1152" s="7">
        <v>46.814900000000002</v>
      </c>
      <c r="L1152" s="7">
        <v>-71.225200000000001</v>
      </c>
      <c r="M1152" s="10" t="str">
        <f t="shared" si="107"/>
        <v>C14</v>
      </c>
      <c r="N1152" s="10" t="str">
        <f t="shared" si="108"/>
        <v>C66</v>
      </c>
      <c r="O1152" s="5">
        <f t="shared" si="109"/>
        <v>5.9085891538497259</v>
      </c>
      <c r="P1152" s="22">
        <f>O1152/Explications!$C$8</f>
        <v>0.19695297179499086</v>
      </c>
      <c r="Q1152" s="7" t="str">
        <f t="shared" si="110"/>
        <v>C66</v>
      </c>
      <c r="R1152" s="7" t="str">
        <f t="shared" si="111"/>
        <v>C14</v>
      </c>
      <c r="S1152" s="18">
        <f t="shared" si="112"/>
        <v>5.9085891538497259</v>
      </c>
      <c r="T1152" s="18">
        <f>S1152/Explications!$C$8</f>
        <v>0.19695297179499086</v>
      </c>
    </row>
    <row r="1153" spans="7:20">
      <c r="G1153" s="7" t="s">
        <v>30</v>
      </c>
      <c r="H1153" s="7" t="s">
        <v>83</v>
      </c>
      <c r="I1153" s="7">
        <v>46.8596</v>
      </c>
      <c r="J1153" s="7">
        <v>-71.267200000000003</v>
      </c>
      <c r="K1153" s="7">
        <v>46.814700000000002</v>
      </c>
      <c r="L1153" s="7">
        <v>-71.207300000000004</v>
      </c>
      <c r="M1153" s="10" t="str">
        <f t="shared" si="107"/>
        <v>C14</v>
      </c>
      <c r="N1153" s="10" t="str">
        <f t="shared" si="108"/>
        <v>C67</v>
      </c>
      <c r="O1153" s="5">
        <f t="shared" si="109"/>
        <v>6.7591940437729443</v>
      </c>
      <c r="P1153" s="22">
        <f>O1153/Explications!$C$8</f>
        <v>0.2253064681257648</v>
      </c>
      <c r="Q1153" s="7" t="str">
        <f t="shared" si="110"/>
        <v>C67</v>
      </c>
      <c r="R1153" s="7" t="str">
        <f t="shared" si="111"/>
        <v>C14</v>
      </c>
      <c r="S1153" s="18">
        <f t="shared" si="112"/>
        <v>6.7591940437729443</v>
      </c>
      <c r="T1153" s="18">
        <f>S1153/Explications!$C$8</f>
        <v>0.2253064681257648</v>
      </c>
    </row>
    <row r="1154" spans="7:20">
      <c r="G1154" s="7" t="s">
        <v>30</v>
      </c>
      <c r="H1154" s="7" t="s">
        <v>84</v>
      </c>
      <c r="I1154" s="7">
        <v>46.8596</v>
      </c>
      <c r="J1154" s="7">
        <v>-71.267200000000003</v>
      </c>
      <c r="K1154" s="7">
        <v>46.815600000000003</v>
      </c>
      <c r="L1154" s="7">
        <v>-71.2029</v>
      </c>
      <c r="M1154" s="10" t="str">
        <f t="shared" si="107"/>
        <v>C14</v>
      </c>
      <c r="N1154" s="10" t="str">
        <f t="shared" si="108"/>
        <v>C68</v>
      </c>
      <c r="O1154" s="5">
        <f t="shared" si="109"/>
        <v>6.9180165730432135</v>
      </c>
      <c r="P1154" s="22">
        <f>O1154/Explications!$C$8</f>
        <v>0.23060055243477379</v>
      </c>
      <c r="Q1154" s="7" t="str">
        <f t="shared" si="110"/>
        <v>C68</v>
      </c>
      <c r="R1154" s="7" t="str">
        <f t="shared" si="111"/>
        <v>C14</v>
      </c>
      <c r="S1154" s="18">
        <f t="shared" si="112"/>
        <v>6.9180165730432135</v>
      </c>
      <c r="T1154" s="18">
        <f>S1154/Explications!$C$8</f>
        <v>0.23060055243477379</v>
      </c>
    </row>
    <row r="1155" spans="7:20">
      <c r="G1155" s="7" t="s">
        <v>30</v>
      </c>
      <c r="H1155" s="7" t="s">
        <v>85</v>
      </c>
      <c r="I1155" s="7">
        <v>46.8596</v>
      </c>
      <c r="J1155" s="7">
        <v>-71.267200000000003</v>
      </c>
      <c r="K1155" s="7">
        <v>46.821899999999999</v>
      </c>
      <c r="L1155" s="7">
        <v>-71.249899999999997</v>
      </c>
      <c r="M1155" s="10" t="str">
        <f t="shared" si="107"/>
        <v>C14</v>
      </c>
      <c r="N1155" s="10" t="str">
        <f t="shared" si="108"/>
        <v>C69</v>
      </c>
      <c r="O1155" s="5">
        <f t="shared" si="109"/>
        <v>4.39371420707214</v>
      </c>
      <c r="P1155" s="22">
        <f>O1155/Explications!$C$8</f>
        <v>0.146457140235738</v>
      </c>
      <c r="Q1155" s="7" t="str">
        <f t="shared" si="110"/>
        <v>C69</v>
      </c>
      <c r="R1155" s="7" t="str">
        <f t="shared" si="111"/>
        <v>C14</v>
      </c>
      <c r="S1155" s="18">
        <f t="shared" si="112"/>
        <v>4.39371420707214</v>
      </c>
      <c r="T1155" s="18">
        <f>S1155/Explications!$C$8</f>
        <v>0.146457140235738</v>
      </c>
    </row>
    <row r="1156" spans="7:20">
      <c r="G1156" s="7" t="s">
        <v>30</v>
      </c>
      <c r="H1156" s="7" t="s">
        <v>86</v>
      </c>
      <c r="I1156" s="7">
        <v>46.8596</v>
      </c>
      <c r="J1156" s="7">
        <v>-71.267200000000003</v>
      </c>
      <c r="K1156" s="7">
        <v>46.8872</v>
      </c>
      <c r="L1156" s="7">
        <v>-71.27</v>
      </c>
      <c r="M1156" s="10" t="str">
        <f t="shared" ref="M1156:M1219" si="113">G1156</f>
        <v>C14</v>
      </c>
      <c r="N1156" s="10" t="str">
        <f t="shared" ref="N1156:N1219" si="114">H1156</f>
        <v>C70</v>
      </c>
      <c r="O1156" s="5">
        <f t="shared" ref="O1156:O1219" si="115">ACOS(SIN(RADIANS(I1156))*SIN(RADIANS(K1156))+COS(RADIANS(I1156))*COS(RADIANS(K1156))*COS(RADIANS(J1156-L1156)))*6371</f>
        <v>3.0763515584575205</v>
      </c>
      <c r="P1156" s="22">
        <f>O1156/Explications!$C$8</f>
        <v>0.10254505194858402</v>
      </c>
      <c r="Q1156" s="7" t="str">
        <f t="shared" ref="Q1156:Q1219" si="116">N1156</f>
        <v>C70</v>
      </c>
      <c r="R1156" s="7" t="str">
        <f t="shared" ref="R1156:R1219" si="117">M1156</f>
        <v>C14</v>
      </c>
      <c r="S1156" s="18">
        <f t="shared" ref="S1156:S1219" si="118">O1156</f>
        <v>3.0763515584575205</v>
      </c>
      <c r="T1156" s="18">
        <f>S1156/Explications!$C$8</f>
        <v>0.10254505194858402</v>
      </c>
    </row>
    <row r="1157" spans="7:20">
      <c r="G1157" s="7" t="s">
        <v>30</v>
      </c>
      <c r="H1157" s="7" t="s">
        <v>87</v>
      </c>
      <c r="I1157" s="7">
        <v>46.8596</v>
      </c>
      <c r="J1157" s="7">
        <v>-71.267200000000003</v>
      </c>
      <c r="K1157" s="7">
        <v>46.816299999999998</v>
      </c>
      <c r="L1157" s="7">
        <v>-71.210300000000004</v>
      </c>
      <c r="M1157" s="10" t="str">
        <f t="shared" si="113"/>
        <v>C14</v>
      </c>
      <c r="N1157" s="10" t="str">
        <f t="shared" si="114"/>
        <v>C71</v>
      </c>
      <c r="O1157" s="5">
        <f t="shared" si="115"/>
        <v>6.4740937740764721</v>
      </c>
      <c r="P1157" s="22">
        <f>O1157/Explications!$C$8</f>
        <v>0.21580312580254907</v>
      </c>
      <c r="Q1157" s="7" t="str">
        <f t="shared" si="116"/>
        <v>C71</v>
      </c>
      <c r="R1157" s="7" t="str">
        <f t="shared" si="117"/>
        <v>C14</v>
      </c>
      <c r="S1157" s="18">
        <f t="shared" si="118"/>
        <v>6.4740937740764721</v>
      </c>
      <c r="T1157" s="18">
        <f>S1157/Explications!$C$8</f>
        <v>0.21580312580254907</v>
      </c>
    </row>
    <row r="1158" spans="7:20">
      <c r="G1158" s="7" t="s">
        <v>30</v>
      </c>
      <c r="H1158" s="7" t="s">
        <v>88</v>
      </c>
      <c r="I1158" s="7">
        <v>46.8596</v>
      </c>
      <c r="J1158" s="7">
        <v>-71.267200000000003</v>
      </c>
      <c r="K1158" s="7">
        <v>46.807000000000002</v>
      </c>
      <c r="L1158" s="7">
        <v>-71.3566</v>
      </c>
      <c r="M1158" s="10" t="str">
        <f t="shared" si="113"/>
        <v>C14</v>
      </c>
      <c r="N1158" s="10" t="str">
        <f t="shared" si="114"/>
        <v>C72</v>
      </c>
      <c r="O1158" s="5">
        <f t="shared" si="115"/>
        <v>8.969909707741806</v>
      </c>
      <c r="P1158" s="22">
        <f>O1158/Explications!$C$8</f>
        <v>0.2989969902580602</v>
      </c>
      <c r="Q1158" s="7" t="str">
        <f t="shared" si="116"/>
        <v>C72</v>
      </c>
      <c r="R1158" s="7" t="str">
        <f t="shared" si="117"/>
        <v>C14</v>
      </c>
      <c r="S1158" s="18">
        <f t="shared" si="118"/>
        <v>8.969909707741806</v>
      </c>
      <c r="T1158" s="18">
        <f>S1158/Explications!$C$8</f>
        <v>0.2989969902580602</v>
      </c>
    </row>
    <row r="1159" spans="7:20">
      <c r="G1159" s="7" t="s">
        <v>30</v>
      </c>
      <c r="H1159" s="7" t="s">
        <v>89</v>
      </c>
      <c r="I1159" s="7">
        <v>46.8596</v>
      </c>
      <c r="J1159" s="7">
        <v>-71.267200000000003</v>
      </c>
      <c r="K1159" s="7">
        <v>46.822899999999997</v>
      </c>
      <c r="L1159" s="7">
        <v>-71.341899999999995</v>
      </c>
      <c r="M1159" s="10" t="str">
        <f t="shared" si="113"/>
        <v>C14</v>
      </c>
      <c r="N1159" s="10" t="str">
        <f t="shared" si="114"/>
        <v>C73</v>
      </c>
      <c r="O1159" s="5">
        <f t="shared" si="115"/>
        <v>6.9953335221511157</v>
      </c>
      <c r="P1159" s="22">
        <f>O1159/Explications!$C$8</f>
        <v>0.23317778407170386</v>
      </c>
      <c r="Q1159" s="7" t="str">
        <f t="shared" si="116"/>
        <v>C73</v>
      </c>
      <c r="R1159" s="7" t="str">
        <f t="shared" si="117"/>
        <v>C14</v>
      </c>
      <c r="S1159" s="18">
        <f t="shared" si="118"/>
        <v>6.9953335221511157</v>
      </c>
      <c r="T1159" s="18">
        <f>S1159/Explications!$C$8</f>
        <v>0.23317778407170386</v>
      </c>
    </row>
    <row r="1160" spans="7:20">
      <c r="G1160" s="7" t="s">
        <v>30</v>
      </c>
      <c r="H1160" s="7" t="s">
        <v>90</v>
      </c>
      <c r="I1160" s="7">
        <v>46.8596</v>
      </c>
      <c r="J1160" s="7">
        <v>-71.267200000000003</v>
      </c>
      <c r="K1160" s="7">
        <v>46.730699999999999</v>
      </c>
      <c r="L1160" s="7">
        <v>-71.261099999999999</v>
      </c>
      <c r="M1160" s="10" t="str">
        <f t="shared" si="113"/>
        <v>C14</v>
      </c>
      <c r="N1160" s="10" t="str">
        <f t="shared" si="114"/>
        <v>C74</v>
      </c>
      <c r="O1160" s="5">
        <f t="shared" si="115"/>
        <v>14.340546289135636</v>
      </c>
      <c r="P1160" s="22">
        <f>O1160/Explications!$C$8</f>
        <v>0.47801820963785452</v>
      </c>
      <c r="Q1160" s="7" t="str">
        <f t="shared" si="116"/>
        <v>C74</v>
      </c>
      <c r="R1160" s="7" t="str">
        <f t="shared" si="117"/>
        <v>C14</v>
      </c>
      <c r="S1160" s="18">
        <f t="shared" si="118"/>
        <v>14.340546289135636</v>
      </c>
      <c r="T1160" s="18">
        <f>S1160/Explications!$C$8</f>
        <v>0.47801820963785452</v>
      </c>
    </row>
    <row r="1161" spans="7:20">
      <c r="G1161" s="7" t="s">
        <v>30</v>
      </c>
      <c r="H1161" s="7" t="s">
        <v>91</v>
      </c>
      <c r="I1161" s="7">
        <v>46.8596</v>
      </c>
      <c r="J1161" s="7">
        <v>-71.267200000000003</v>
      </c>
      <c r="K1161" s="7">
        <v>46.840600000000002</v>
      </c>
      <c r="L1161" s="7">
        <v>-71.289100000000005</v>
      </c>
      <c r="M1161" s="10" t="str">
        <f t="shared" si="113"/>
        <v>C14</v>
      </c>
      <c r="N1161" s="10" t="str">
        <f t="shared" si="114"/>
        <v>C75</v>
      </c>
      <c r="O1161" s="5">
        <f t="shared" si="115"/>
        <v>2.6902025960976861</v>
      </c>
      <c r="P1161" s="22">
        <f>O1161/Explications!$C$8</f>
        <v>8.9673419869922874E-2</v>
      </c>
      <c r="Q1161" s="7" t="str">
        <f t="shared" si="116"/>
        <v>C75</v>
      </c>
      <c r="R1161" s="7" t="str">
        <f t="shared" si="117"/>
        <v>C14</v>
      </c>
      <c r="S1161" s="18">
        <f t="shared" si="118"/>
        <v>2.6902025960976861</v>
      </c>
      <c r="T1161" s="18">
        <f>S1161/Explications!$C$8</f>
        <v>8.9673419869922874E-2</v>
      </c>
    </row>
    <row r="1162" spans="7:20">
      <c r="G1162" s="7" t="s">
        <v>30</v>
      </c>
      <c r="H1162" s="7" t="s">
        <v>92</v>
      </c>
      <c r="I1162" s="7">
        <v>46.8596</v>
      </c>
      <c r="J1162" s="7">
        <v>-71.267200000000003</v>
      </c>
      <c r="K1162" s="7">
        <v>46.840600000000002</v>
      </c>
      <c r="L1162" s="7">
        <v>-71.281599999999997</v>
      </c>
      <c r="M1162" s="10" t="str">
        <f t="shared" si="113"/>
        <v>C14</v>
      </c>
      <c r="N1162" s="10" t="str">
        <f t="shared" si="114"/>
        <v>C76</v>
      </c>
      <c r="O1162" s="5">
        <f t="shared" si="115"/>
        <v>2.379646575421912</v>
      </c>
      <c r="P1162" s="22">
        <f>O1162/Explications!$C$8</f>
        <v>7.932155251406374E-2</v>
      </c>
      <c r="Q1162" s="7" t="str">
        <f t="shared" si="116"/>
        <v>C76</v>
      </c>
      <c r="R1162" s="7" t="str">
        <f t="shared" si="117"/>
        <v>C14</v>
      </c>
      <c r="S1162" s="18">
        <f t="shared" si="118"/>
        <v>2.379646575421912</v>
      </c>
      <c r="T1162" s="18">
        <f>S1162/Explications!$C$8</f>
        <v>7.932155251406374E-2</v>
      </c>
    </row>
    <row r="1163" spans="7:20">
      <c r="G1163" s="7" t="s">
        <v>30</v>
      </c>
      <c r="H1163" s="7" t="s">
        <v>93</v>
      </c>
      <c r="I1163" s="7">
        <v>46.8596</v>
      </c>
      <c r="J1163" s="7">
        <v>-71.267200000000003</v>
      </c>
      <c r="K1163" s="7">
        <v>46.839399999999998</v>
      </c>
      <c r="L1163" s="7">
        <v>-71.282600000000002</v>
      </c>
      <c r="M1163" s="10" t="str">
        <f t="shared" si="113"/>
        <v>C14</v>
      </c>
      <c r="N1163" s="10" t="str">
        <f t="shared" si="114"/>
        <v>C77</v>
      </c>
      <c r="O1163" s="5">
        <f t="shared" si="115"/>
        <v>2.5331215147916399</v>
      </c>
      <c r="P1163" s="22">
        <f>O1163/Explications!$C$8</f>
        <v>8.4437383826388004E-2</v>
      </c>
      <c r="Q1163" s="7" t="str">
        <f t="shared" si="116"/>
        <v>C77</v>
      </c>
      <c r="R1163" s="7" t="str">
        <f t="shared" si="117"/>
        <v>C14</v>
      </c>
      <c r="S1163" s="18">
        <f t="shared" si="118"/>
        <v>2.5331215147916399</v>
      </c>
      <c r="T1163" s="18">
        <f>S1163/Explications!$C$8</f>
        <v>8.4437383826388004E-2</v>
      </c>
    </row>
    <row r="1164" spans="7:20">
      <c r="G1164" s="7" t="s">
        <v>30</v>
      </c>
      <c r="H1164" s="7" t="s">
        <v>94</v>
      </c>
      <c r="I1164" s="7">
        <v>46.8596</v>
      </c>
      <c r="J1164" s="7">
        <v>-71.267200000000003</v>
      </c>
      <c r="K1164" s="7">
        <v>46.788499999999999</v>
      </c>
      <c r="L1164" s="7">
        <v>-71.282399999999996</v>
      </c>
      <c r="M1164" s="10" t="str">
        <f t="shared" si="113"/>
        <v>C14</v>
      </c>
      <c r="N1164" s="10" t="str">
        <f t="shared" si="114"/>
        <v>C78</v>
      </c>
      <c r="O1164" s="5">
        <f t="shared" si="115"/>
        <v>7.9900960420380782</v>
      </c>
      <c r="P1164" s="22">
        <f>O1164/Explications!$C$8</f>
        <v>0.26633653473460261</v>
      </c>
      <c r="Q1164" s="7" t="str">
        <f t="shared" si="116"/>
        <v>C78</v>
      </c>
      <c r="R1164" s="7" t="str">
        <f t="shared" si="117"/>
        <v>C14</v>
      </c>
      <c r="S1164" s="18">
        <f t="shared" si="118"/>
        <v>7.9900960420380782</v>
      </c>
      <c r="T1164" s="18">
        <f>S1164/Explications!$C$8</f>
        <v>0.26633653473460261</v>
      </c>
    </row>
    <row r="1165" spans="7:20">
      <c r="G1165" s="7" t="s">
        <v>30</v>
      </c>
      <c r="H1165" s="7" t="s">
        <v>95</v>
      </c>
      <c r="I1165" s="7">
        <v>46.8596</v>
      </c>
      <c r="J1165" s="7">
        <v>-71.267200000000003</v>
      </c>
      <c r="K1165" s="7">
        <v>46.840699999999998</v>
      </c>
      <c r="L1165" s="7">
        <v>-71.325400000000002</v>
      </c>
      <c r="M1165" s="10" t="str">
        <f t="shared" si="113"/>
        <v>C14</v>
      </c>
      <c r="N1165" s="10" t="str">
        <f t="shared" si="114"/>
        <v>C79</v>
      </c>
      <c r="O1165" s="5">
        <f t="shared" si="115"/>
        <v>4.8995566115464904</v>
      </c>
      <c r="P1165" s="22">
        <f>O1165/Explications!$C$8</f>
        <v>0.16331855371821635</v>
      </c>
      <c r="Q1165" s="7" t="str">
        <f t="shared" si="116"/>
        <v>C79</v>
      </c>
      <c r="R1165" s="7" t="str">
        <f t="shared" si="117"/>
        <v>C14</v>
      </c>
      <c r="S1165" s="18">
        <f t="shared" si="118"/>
        <v>4.8995566115464904</v>
      </c>
      <c r="T1165" s="18">
        <f>S1165/Explications!$C$8</f>
        <v>0.16331855371821635</v>
      </c>
    </row>
    <row r="1166" spans="7:20">
      <c r="G1166" s="7" t="s">
        <v>30</v>
      </c>
      <c r="H1166" s="7" t="s">
        <v>96</v>
      </c>
      <c r="I1166" s="7">
        <v>46.8596</v>
      </c>
      <c r="J1166" s="7">
        <v>-71.267200000000003</v>
      </c>
      <c r="K1166" s="7">
        <v>46.798400000000001</v>
      </c>
      <c r="L1166" s="7">
        <v>-71.183199999999999</v>
      </c>
      <c r="M1166" s="10" t="str">
        <f t="shared" si="113"/>
        <v>C14</v>
      </c>
      <c r="N1166" s="10" t="str">
        <f t="shared" si="114"/>
        <v>C80</v>
      </c>
      <c r="O1166" s="5">
        <f t="shared" si="115"/>
        <v>9.3353085593437974</v>
      </c>
      <c r="P1166" s="22">
        <f>O1166/Explications!$C$8</f>
        <v>0.31117695197812656</v>
      </c>
      <c r="Q1166" s="7" t="str">
        <f t="shared" si="116"/>
        <v>C80</v>
      </c>
      <c r="R1166" s="7" t="str">
        <f t="shared" si="117"/>
        <v>C14</v>
      </c>
      <c r="S1166" s="18">
        <f t="shared" si="118"/>
        <v>9.3353085593437974</v>
      </c>
      <c r="T1166" s="18">
        <f>S1166/Explications!$C$8</f>
        <v>0.31117695197812656</v>
      </c>
    </row>
    <row r="1167" spans="7:20">
      <c r="G1167" s="7" t="s">
        <v>30</v>
      </c>
      <c r="H1167" s="7" t="s">
        <v>97</v>
      </c>
      <c r="I1167" s="7">
        <v>46.8596</v>
      </c>
      <c r="J1167" s="7">
        <v>-71.267200000000003</v>
      </c>
      <c r="K1167" s="7">
        <v>46.724800000000002</v>
      </c>
      <c r="L1167" s="7">
        <v>-71.2988</v>
      </c>
      <c r="M1167" s="10" t="str">
        <f t="shared" si="113"/>
        <v>C14</v>
      </c>
      <c r="N1167" s="10" t="str">
        <f t="shared" si="114"/>
        <v>C81</v>
      </c>
      <c r="O1167" s="5">
        <f t="shared" si="115"/>
        <v>15.180899186500319</v>
      </c>
      <c r="P1167" s="22">
        <f>O1167/Explications!$C$8</f>
        <v>0.50602997288334395</v>
      </c>
      <c r="Q1167" s="7" t="str">
        <f t="shared" si="116"/>
        <v>C81</v>
      </c>
      <c r="R1167" s="7" t="str">
        <f t="shared" si="117"/>
        <v>C14</v>
      </c>
      <c r="S1167" s="18">
        <f t="shared" si="118"/>
        <v>15.180899186500319</v>
      </c>
      <c r="T1167" s="18">
        <f>S1167/Explications!$C$8</f>
        <v>0.50602997288334395</v>
      </c>
    </row>
    <row r="1168" spans="7:20">
      <c r="G1168" s="7" t="s">
        <v>30</v>
      </c>
      <c r="H1168" s="7" t="s">
        <v>98</v>
      </c>
      <c r="I1168" s="7">
        <v>46.8596</v>
      </c>
      <c r="J1168" s="7">
        <v>-71.267200000000003</v>
      </c>
      <c r="K1168" s="7">
        <v>46.795499999999997</v>
      </c>
      <c r="L1168" s="7">
        <v>-71.242900000000006</v>
      </c>
      <c r="M1168" s="10" t="str">
        <f t="shared" si="113"/>
        <v>C14</v>
      </c>
      <c r="N1168" s="10" t="str">
        <f t="shared" si="114"/>
        <v>C82</v>
      </c>
      <c r="O1168" s="5">
        <f t="shared" si="115"/>
        <v>7.3634493808660695</v>
      </c>
      <c r="P1168" s="22">
        <f>O1168/Explications!$C$8</f>
        <v>0.24544831269553566</v>
      </c>
      <c r="Q1168" s="7" t="str">
        <f t="shared" si="116"/>
        <v>C82</v>
      </c>
      <c r="R1168" s="7" t="str">
        <f t="shared" si="117"/>
        <v>C14</v>
      </c>
      <c r="S1168" s="18">
        <f t="shared" si="118"/>
        <v>7.3634493808660695</v>
      </c>
      <c r="T1168" s="18">
        <f>S1168/Explications!$C$8</f>
        <v>0.24544831269553566</v>
      </c>
    </row>
    <row r="1169" spans="7:20">
      <c r="G1169" s="7" t="s">
        <v>30</v>
      </c>
      <c r="H1169" s="7" t="s">
        <v>99</v>
      </c>
      <c r="I1169" s="7">
        <v>46.8596</v>
      </c>
      <c r="J1169" s="7">
        <v>-71.267200000000003</v>
      </c>
      <c r="K1169" s="7">
        <v>46.8157</v>
      </c>
      <c r="L1169" s="7">
        <v>-71.201899999999995</v>
      </c>
      <c r="M1169" s="10" t="str">
        <f t="shared" si="113"/>
        <v>C14</v>
      </c>
      <c r="N1169" s="10" t="str">
        <f t="shared" si="114"/>
        <v>C83</v>
      </c>
      <c r="O1169" s="5">
        <f t="shared" si="115"/>
        <v>6.9641994917742043</v>
      </c>
      <c r="P1169" s="22">
        <f>O1169/Explications!$C$8</f>
        <v>0.23213998305914013</v>
      </c>
      <c r="Q1169" s="7" t="str">
        <f t="shared" si="116"/>
        <v>C83</v>
      </c>
      <c r="R1169" s="7" t="str">
        <f t="shared" si="117"/>
        <v>C14</v>
      </c>
      <c r="S1169" s="18">
        <f t="shared" si="118"/>
        <v>6.9641994917742043</v>
      </c>
      <c r="T1169" s="18">
        <f>S1169/Explications!$C$8</f>
        <v>0.23213998305914013</v>
      </c>
    </row>
    <row r="1170" spans="7:20">
      <c r="G1170" s="7" t="s">
        <v>30</v>
      </c>
      <c r="H1170" s="7" t="s">
        <v>100</v>
      </c>
      <c r="I1170" s="7">
        <v>46.8596</v>
      </c>
      <c r="J1170" s="7">
        <v>-71.267200000000003</v>
      </c>
      <c r="K1170" s="7">
        <v>46.837600000000002</v>
      </c>
      <c r="L1170" s="7">
        <v>-71.196299999999994</v>
      </c>
      <c r="M1170" s="10" t="str">
        <f t="shared" si="113"/>
        <v>C14</v>
      </c>
      <c r="N1170" s="10" t="str">
        <f t="shared" si="114"/>
        <v>C84</v>
      </c>
      <c r="O1170" s="5">
        <f t="shared" si="115"/>
        <v>5.9208886121006916</v>
      </c>
      <c r="P1170" s="22">
        <f>O1170/Explications!$C$8</f>
        <v>0.19736295373668972</v>
      </c>
      <c r="Q1170" s="7" t="str">
        <f t="shared" si="116"/>
        <v>C84</v>
      </c>
      <c r="R1170" s="7" t="str">
        <f t="shared" si="117"/>
        <v>C14</v>
      </c>
      <c r="S1170" s="18">
        <f t="shared" si="118"/>
        <v>5.9208886121006916</v>
      </c>
      <c r="T1170" s="18">
        <f>S1170/Explications!$C$8</f>
        <v>0.19736295373668972</v>
      </c>
    </row>
    <row r="1171" spans="7:20">
      <c r="G1171" s="7" t="s">
        <v>30</v>
      </c>
      <c r="H1171" s="7" t="s">
        <v>101</v>
      </c>
      <c r="I1171" s="7">
        <v>46.8596</v>
      </c>
      <c r="J1171" s="7">
        <v>-71.267200000000003</v>
      </c>
      <c r="K1171" s="7">
        <v>46.7988</v>
      </c>
      <c r="L1171" s="7">
        <v>-71.318200000000004</v>
      </c>
      <c r="M1171" s="10" t="str">
        <f t="shared" si="113"/>
        <v>C14</v>
      </c>
      <c r="N1171" s="10" t="str">
        <f t="shared" si="114"/>
        <v>C85</v>
      </c>
      <c r="O1171" s="5">
        <f t="shared" si="115"/>
        <v>7.7948813235004826</v>
      </c>
      <c r="P1171" s="22">
        <f>O1171/Explications!$C$8</f>
        <v>0.25982937745001611</v>
      </c>
      <c r="Q1171" s="7" t="str">
        <f t="shared" si="116"/>
        <v>C85</v>
      </c>
      <c r="R1171" s="7" t="str">
        <f t="shared" si="117"/>
        <v>C14</v>
      </c>
      <c r="S1171" s="18">
        <f t="shared" si="118"/>
        <v>7.7948813235004826</v>
      </c>
      <c r="T1171" s="18">
        <f>S1171/Explications!$C$8</f>
        <v>0.25982937745001611</v>
      </c>
    </row>
    <row r="1172" spans="7:20">
      <c r="G1172" s="7" t="s">
        <v>31</v>
      </c>
      <c r="H1172" s="7" t="s">
        <v>32</v>
      </c>
      <c r="I1172" s="7">
        <v>46.813499999999998</v>
      </c>
      <c r="J1172" s="7">
        <v>-71.215900000000005</v>
      </c>
      <c r="K1172" s="7">
        <v>46.733699999999999</v>
      </c>
      <c r="L1172" s="7">
        <v>-71.270099999999999</v>
      </c>
      <c r="M1172" s="10" t="str">
        <f t="shared" si="113"/>
        <v>C15</v>
      </c>
      <c r="N1172" s="10" t="str">
        <f t="shared" si="114"/>
        <v>C16</v>
      </c>
      <c r="O1172" s="5">
        <f t="shared" si="115"/>
        <v>9.7864056271179045</v>
      </c>
      <c r="P1172" s="22">
        <f>O1172/Explications!$C$8</f>
        <v>0.32621352090393013</v>
      </c>
      <c r="Q1172" s="7" t="str">
        <f t="shared" si="116"/>
        <v>C16</v>
      </c>
      <c r="R1172" s="7" t="str">
        <f t="shared" si="117"/>
        <v>C15</v>
      </c>
      <c r="S1172" s="18">
        <f t="shared" si="118"/>
        <v>9.7864056271179045</v>
      </c>
      <c r="T1172" s="18">
        <f>S1172/Explications!$C$8</f>
        <v>0.32621352090393013</v>
      </c>
    </row>
    <row r="1173" spans="7:20">
      <c r="G1173" s="7" t="s">
        <v>31</v>
      </c>
      <c r="H1173" s="7" t="s">
        <v>33</v>
      </c>
      <c r="I1173" s="7">
        <v>46.813499999999998</v>
      </c>
      <c r="J1173" s="7">
        <v>-71.215900000000005</v>
      </c>
      <c r="K1173" s="7">
        <v>46.8035</v>
      </c>
      <c r="L1173" s="7">
        <v>-71.3553</v>
      </c>
      <c r="M1173" s="10" t="str">
        <f t="shared" si="113"/>
        <v>C15</v>
      </c>
      <c r="N1173" s="10" t="str">
        <f t="shared" si="114"/>
        <v>C17</v>
      </c>
      <c r="O1173" s="5">
        <f t="shared" si="115"/>
        <v>10.667306884498695</v>
      </c>
      <c r="P1173" s="22">
        <f>O1173/Explications!$C$8</f>
        <v>0.35557689614995647</v>
      </c>
      <c r="Q1173" s="7" t="str">
        <f t="shared" si="116"/>
        <v>C17</v>
      </c>
      <c r="R1173" s="7" t="str">
        <f t="shared" si="117"/>
        <v>C15</v>
      </c>
      <c r="S1173" s="18">
        <f t="shared" si="118"/>
        <v>10.667306884498695</v>
      </c>
      <c r="T1173" s="18">
        <f>S1173/Explications!$C$8</f>
        <v>0.35557689614995647</v>
      </c>
    </row>
    <row r="1174" spans="7:20">
      <c r="G1174" s="7" t="s">
        <v>31</v>
      </c>
      <c r="H1174" s="7" t="s">
        <v>34</v>
      </c>
      <c r="I1174" s="7">
        <v>46.813499999999998</v>
      </c>
      <c r="J1174" s="7">
        <v>-71.215900000000005</v>
      </c>
      <c r="K1174" s="7">
        <v>46.730200000000004</v>
      </c>
      <c r="L1174" s="7">
        <v>-71.274100000000004</v>
      </c>
      <c r="M1174" s="10" t="str">
        <f t="shared" si="113"/>
        <v>C15</v>
      </c>
      <c r="N1174" s="10" t="str">
        <f t="shared" si="114"/>
        <v>C18</v>
      </c>
      <c r="O1174" s="5">
        <f t="shared" si="115"/>
        <v>10.268432375991459</v>
      </c>
      <c r="P1174" s="22">
        <f>O1174/Explications!$C$8</f>
        <v>0.34228107919971529</v>
      </c>
      <c r="Q1174" s="7" t="str">
        <f t="shared" si="116"/>
        <v>C18</v>
      </c>
      <c r="R1174" s="7" t="str">
        <f t="shared" si="117"/>
        <v>C15</v>
      </c>
      <c r="S1174" s="18">
        <f t="shared" si="118"/>
        <v>10.268432375991459</v>
      </c>
      <c r="T1174" s="18">
        <f>S1174/Explications!$C$8</f>
        <v>0.34228107919971529</v>
      </c>
    </row>
    <row r="1175" spans="7:20">
      <c r="G1175" s="7" t="s">
        <v>31</v>
      </c>
      <c r="H1175" s="7" t="s">
        <v>35</v>
      </c>
      <c r="I1175" s="7">
        <v>46.813499999999998</v>
      </c>
      <c r="J1175" s="7">
        <v>-71.215900000000005</v>
      </c>
      <c r="K1175" s="7">
        <v>46.785600000000002</v>
      </c>
      <c r="L1175" s="7">
        <v>-71.245500000000007</v>
      </c>
      <c r="M1175" s="10" t="str">
        <f t="shared" si="113"/>
        <v>C15</v>
      </c>
      <c r="N1175" s="10" t="str">
        <f t="shared" si="114"/>
        <v>C19</v>
      </c>
      <c r="O1175" s="5">
        <f t="shared" si="115"/>
        <v>3.8341932009022299</v>
      </c>
      <c r="P1175" s="22">
        <f>O1175/Explications!$C$8</f>
        <v>0.12780644003007433</v>
      </c>
      <c r="Q1175" s="7" t="str">
        <f t="shared" si="116"/>
        <v>C19</v>
      </c>
      <c r="R1175" s="7" t="str">
        <f t="shared" si="117"/>
        <v>C15</v>
      </c>
      <c r="S1175" s="18">
        <f t="shared" si="118"/>
        <v>3.8341932009022299</v>
      </c>
      <c r="T1175" s="18">
        <f>S1175/Explications!$C$8</f>
        <v>0.12780644003007433</v>
      </c>
    </row>
    <row r="1176" spans="7:20">
      <c r="G1176" s="7" t="s">
        <v>31</v>
      </c>
      <c r="H1176" s="7" t="s">
        <v>36</v>
      </c>
      <c r="I1176" s="7">
        <v>46.813499999999998</v>
      </c>
      <c r="J1176" s="7">
        <v>-71.215900000000005</v>
      </c>
      <c r="K1176" s="7">
        <v>46.8215</v>
      </c>
      <c r="L1176" s="7">
        <v>-71.355400000000003</v>
      </c>
      <c r="M1176" s="10" t="str">
        <f t="shared" si="113"/>
        <v>C15</v>
      </c>
      <c r="N1176" s="10" t="str">
        <f t="shared" si="114"/>
        <v>C20</v>
      </c>
      <c r="O1176" s="5">
        <f t="shared" si="115"/>
        <v>10.652236598038185</v>
      </c>
      <c r="P1176" s="22">
        <f>O1176/Explications!$C$8</f>
        <v>0.35507455326793946</v>
      </c>
      <c r="Q1176" s="7" t="str">
        <f t="shared" si="116"/>
        <v>C20</v>
      </c>
      <c r="R1176" s="7" t="str">
        <f t="shared" si="117"/>
        <v>C15</v>
      </c>
      <c r="S1176" s="18">
        <f t="shared" si="118"/>
        <v>10.652236598038185</v>
      </c>
      <c r="T1176" s="18">
        <f>S1176/Explications!$C$8</f>
        <v>0.35507455326793946</v>
      </c>
    </row>
    <row r="1177" spans="7:20">
      <c r="G1177" s="7" t="s">
        <v>31</v>
      </c>
      <c r="H1177" s="7" t="s">
        <v>37</v>
      </c>
      <c r="I1177" s="7">
        <v>46.813499999999998</v>
      </c>
      <c r="J1177" s="7">
        <v>-71.215900000000005</v>
      </c>
      <c r="K1177" s="7">
        <v>46.8093</v>
      </c>
      <c r="L1177" s="7">
        <v>-71.2273</v>
      </c>
      <c r="M1177" s="10" t="str">
        <f t="shared" si="113"/>
        <v>C15</v>
      </c>
      <c r="N1177" s="10" t="str">
        <f t="shared" si="114"/>
        <v>C21</v>
      </c>
      <c r="O1177" s="5">
        <f t="shared" si="115"/>
        <v>0.98527781662806668</v>
      </c>
      <c r="P1177" s="22">
        <f>O1177/Explications!$C$8</f>
        <v>3.2842593887602224E-2</v>
      </c>
      <c r="Q1177" s="7" t="str">
        <f t="shared" si="116"/>
        <v>C21</v>
      </c>
      <c r="R1177" s="7" t="str">
        <f t="shared" si="117"/>
        <v>C15</v>
      </c>
      <c r="S1177" s="18">
        <f t="shared" si="118"/>
        <v>0.98527781662806668</v>
      </c>
      <c r="T1177" s="18">
        <f>S1177/Explications!$C$8</f>
        <v>3.2842593887602224E-2</v>
      </c>
    </row>
    <row r="1178" spans="7:20">
      <c r="G1178" s="7" t="s">
        <v>31</v>
      </c>
      <c r="H1178" s="7" t="s">
        <v>38</v>
      </c>
      <c r="I1178" s="7">
        <v>46.813499999999998</v>
      </c>
      <c r="J1178" s="7">
        <v>-71.215900000000005</v>
      </c>
      <c r="K1178" s="7">
        <v>46.781300000000002</v>
      </c>
      <c r="L1178" s="7">
        <v>-71.301000000000002</v>
      </c>
      <c r="M1178" s="10" t="str">
        <f t="shared" si="113"/>
        <v>C15</v>
      </c>
      <c r="N1178" s="10" t="str">
        <f t="shared" si="114"/>
        <v>C22</v>
      </c>
      <c r="O1178" s="5">
        <f t="shared" si="115"/>
        <v>7.401613658692999</v>
      </c>
      <c r="P1178" s="22">
        <f>O1178/Explications!$C$8</f>
        <v>0.24672045528976663</v>
      </c>
      <c r="Q1178" s="7" t="str">
        <f t="shared" si="116"/>
        <v>C22</v>
      </c>
      <c r="R1178" s="7" t="str">
        <f t="shared" si="117"/>
        <v>C15</v>
      </c>
      <c r="S1178" s="18">
        <f t="shared" si="118"/>
        <v>7.401613658692999</v>
      </c>
      <c r="T1178" s="18">
        <f>S1178/Explications!$C$8</f>
        <v>0.24672045528976663</v>
      </c>
    </row>
    <row r="1179" spans="7:20">
      <c r="G1179" s="7" t="s">
        <v>31</v>
      </c>
      <c r="H1179" s="7" t="s">
        <v>39</v>
      </c>
      <c r="I1179" s="7">
        <v>46.813499999999998</v>
      </c>
      <c r="J1179" s="7">
        <v>-71.215900000000005</v>
      </c>
      <c r="K1179" s="7">
        <v>46.844900000000003</v>
      </c>
      <c r="L1179" s="7">
        <v>-71.251400000000004</v>
      </c>
      <c r="M1179" s="10" t="str">
        <f t="shared" si="113"/>
        <v>C15</v>
      </c>
      <c r="N1179" s="10" t="str">
        <f t="shared" si="114"/>
        <v>C23</v>
      </c>
      <c r="O1179" s="5">
        <f t="shared" si="115"/>
        <v>4.4141417790757504</v>
      </c>
      <c r="P1179" s="22">
        <f>O1179/Explications!$C$8</f>
        <v>0.14713805930252502</v>
      </c>
      <c r="Q1179" s="7" t="str">
        <f t="shared" si="116"/>
        <v>C23</v>
      </c>
      <c r="R1179" s="7" t="str">
        <f t="shared" si="117"/>
        <v>C15</v>
      </c>
      <c r="S1179" s="18">
        <f t="shared" si="118"/>
        <v>4.4141417790757504</v>
      </c>
      <c r="T1179" s="18">
        <f>S1179/Explications!$C$8</f>
        <v>0.14713805930252502</v>
      </c>
    </row>
    <row r="1180" spans="7:20">
      <c r="G1180" s="7" t="s">
        <v>31</v>
      </c>
      <c r="H1180" s="7" t="s">
        <v>40</v>
      </c>
      <c r="I1180" s="7">
        <v>46.813499999999998</v>
      </c>
      <c r="J1180" s="7">
        <v>-71.215900000000005</v>
      </c>
      <c r="K1180" s="7">
        <v>46.805500000000002</v>
      </c>
      <c r="L1180" s="7">
        <v>-71.2196</v>
      </c>
      <c r="M1180" s="10" t="str">
        <f t="shared" si="113"/>
        <v>C15</v>
      </c>
      <c r="N1180" s="10" t="str">
        <f t="shared" si="114"/>
        <v>C24</v>
      </c>
      <c r="O1180" s="5">
        <f t="shared" si="115"/>
        <v>0.93306348125255445</v>
      </c>
      <c r="P1180" s="22">
        <f>O1180/Explications!$C$8</f>
        <v>3.1102116041751816E-2</v>
      </c>
      <c r="Q1180" s="7" t="str">
        <f t="shared" si="116"/>
        <v>C24</v>
      </c>
      <c r="R1180" s="7" t="str">
        <f t="shared" si="117"/>
        <v>C15</v>
      </c>
      <c r="S1180" s="18">
        <f t="shared" si="118"/>
        <v>0.93306348125255445</v>
      </c>
      <c r="T1180" s="18">
        <f>S1180/Explications!$C$8</f>
        <v>3.1102116041751816E-2</v>
      </c>
    </row>
    <row r="1181" spans="7:20">
      <c r="G1181" s="7" t="s">
        <v>31</v>
      </c>
      <c r="H1181" s="7" t="s">
        <v>41</v>
      </c>
      <c r="I1181" s="7">
        <v>46.813499999999998</v>
      </c>
      <c r="J1181" s="7">
        <v>-71.215900000000005</v>
      </c>
      <c r="K1181" s="7">
        <v>46.734900000000003</v>
      </c>
      <c r="L1181" s="7">
        <v>-71.266199999999998</v>
      </c>
      <c r="M1181" s="10" t="str">
        <f t="shared" si="113"/>
        <v>C15</v>
      </c>
      <c r="N1181" s="10" t="str">
        <f t="shared" si="114"/>
        <v>C25</v>
      </c>
      <c r="O1181" s="5">
        <f t="shared" si="115"/>
        <v>9.5425127745078271</v>
      </c>
      <c r="P1181" s="22">
        <f>O1181/Explications!$C$8</f>
        <v>0.31808375915026088</v>
      </c>
      <c r="Q1181" s="7" t="str">
        <f t="shared" si="116"/>
        <v>C25</v>
      </c>
      <c r="R1181" s="7" t="str">
        <f t="shared" si="117"/>
        <v>C15</v>
      </c>
      <c r="S1181" s="18">
        <f t="shared" si="118"/>
        <v>9.5425127745078271</v>
      </c>
      <c r="T1181" s="18">
        <f>S1181/Explications!$C$8</f>
        <v>0.31808375915026088</v>
      </c>
    </row>
    <row r="1182" spans="7:20">
      <c r="G1182" s="7" t="s">
        <v>31</v>
      </c>
      <c r="H1182" s="7" t="s">
        <v>42</v>
      </c>
      <c r="I1182" s="7">
        <v>46.813499999999998</v>
      </c>
      <c r="J1182" s="7">
        <v>-71.215900000000005</v>
      </c>
      <c r="K1182" s="7">
        <v>46.817700000000002</v>
      </c>
      <c r="L1182" s="7">
        <v>-71.214100000000002</v>
      </c>
      <c r="M1182" s="10" t="str">
        <f t="shared" si="113"/>
        <v>C15</v>
      </c>
      <c r="N1182" s="10" t="str">
        <f t="shared" si="114"/>
        <v>C26</v>
      </c>
      <c r="O1182" s="5">
        <f t="shared" si="115"/>
        <v>0.48669091391553376</v>
      </c>
      <c r="P1182" s="22">
        <f>O1182/Explications!$C$8</f>
        <v>1.6223030463851127E-2</v>
      </c>
      <c r="Q1182" s="7" t="str">
        <f t="shared" si="116"/>
        <v>C26</v>
      </c>
      <c r="R1182" s="7" t="str">
        <f t="shared" si="117"/>
        <v>C15</v>
      </c>
      <c r="S1182" s="18">
        <f t="shared" si="118"/>
        <v>0.48669091391553376</v>
      </c>
      <c r="T1182" s="18">
        <f>S1182/Explications!$C$8</f>
        <v>1.6223030463851127E-2</v>
      </c>
    </row>
    <row r="1183" spans="7:20">
      <c r="G1183" s="7" t="s">
        <v>31</v>
      </c>
      <c r="H1183" s="7" t="s">
        <v>43</v>
      </c>
      <c r="I1183" s="7">
        <v>46.813499999999998</v>
      </c>
      <c r="J1183" s="7">
        <v>-71.215900000000005</v>
      </c>
      <c r="K1183" s="7">
        <v>46.603000000000002</v>
      </c>
      <c r="L1183" s="7">
        <v>-71.490600000000001</v>
      </c>
      <c r="M1183" s="10" t="str">
        <f t="shared" si="113"/>
        <v>C15</v>
      </c>
      <c r="N1183" s="10" t="str">
        <f t="shared" si="114"/>
        <v>C27</v>
      </c>
      <c r="O1183" s="5">
        <f t="shared" si="115"/>
        <v>31.4096845863052</v>
      </c>
      <c r="P1183" s="22">
        <f>O1183/Explications!$C$8</f>
        <v>1.0469894862101734</v>
      </c>
      <c r="Q1183" s="7" t="str">
        <f t="shared" si="116"/>
        <v>C27</v>
      </c>
      <c r="R1183" s="7" t="str">
        <f t="shared" si="117"/>
        <v>C15</v>
      </c>
      <c r="S1183" s="18">
        <f t="shared" si="118"/>
        <v>31.4096845863052</v>
      </c>
      <c r="T1183" s="18">
        <f>S1183/Explications!$C$8</f>
        <v>1.0469894862101734</v>
      </c>
    </row>
    <row r="1184" spans="7:20">
      <c r="G1184" s="7" t="s">
        <v>31</v>
      </c>
      <c r="H1184" s="7" t="s">
        <v>44</v>
      </c>
      <c r="I1184" s="7">
        <v>46.813499999999998</v>
      </c>
      <c r="J1184" s="7">
        <v>-71.215900000000005</v>
      </c>
      <c r="K1184" s="7">
        <v>47.000500000000002</v>
      </c>
      <c r="L1184" s="7">
        <v>-71.388400000000004</v>
      </c>
      <c r="M1184" s="10" t="str">
        <f t="shared" si="113"/>
        <v>C15</v>
      </c>
      <c r="N1184" s="10" t="str">
        <f t="shared" si="114"/>
        <v>C28</v>
      </c>
      <c r="O1184" s="5">
        <f t="shared" si="115"/>
        <v>24.578205750182804</v>
      </c>
      <c r="P1184" s="22">
        <f>O1184/Explications!$C$8</f>
        <v>0.81927352500609341</v>
      </c>
      <c r="Q1184" s="7" t="str">
        <f t="shared" si="116"/>
        <v>C28</v>
      </c>
      <c r="R1184" s="7" t="str">
        <f t="shared" si="117"/>
        <v>C15</v>
      </c>
      <c r="S1184" s="18">
        <f t="shared" si="118"/>
        <v>24.578205750182804</v>
      </c>
      <c r="T1184" s="18">
        <f>S1184/Explications!$C$8</f>
        <v>0.81927352500609341</v>
      </c>
    </row>
    <row r="1185" spans="7:20">
      <c r="G1185" s="7" t="s">
        <v>31</v>
      </c>
      <c r="H1185" s="7" t="s">
        <v>45</v>
      </c>
      <c r="I1185" s="7">
        <v>46.813499999999998</v>
      </c>
      <c r="J1185" s="7">
        <v>-71.215900000000005</v>
      </c>
      <c r="K1185" s="7">
        <v>46.839100000000002</v>
      </c>
      <c r="L1185" s="7">
        <v>-71.245699999999999</v>
      </c>
      <c r="M1185" s="10" t="str">
        <f t="shared" si="113"/>
        <v>C15</v>
      </c>
      <c r="N1185" s="10" t="str">
        <f t="shared" si="114"/>
        <v>C29</v>
      </c>
      <c r="O1185" s="5">
        <f t="shared" si="115"/>
        <v>3.6391381588841059</v>
      </c>
      <c r="P1185" s="22">
        <f>O1185/Explications!$C$8</f>
        <v>0.12130460529613686</v>
      </c>
      <c r="Q1185" s="7" t="str">
        <f t="shared" si="116"/>
        <v>C29</v>
      </c>
      <c r="R1185" s="7" t="str">
        <f t="shared" si="117"/>
        <v>C15</v>
      </c>
      <c r="S1185" s="18">
        <f t="shared" si="118"/>
        <v>3.6391381588841059</v>
      </c>
      <c r="T1185" s="18">
        <f>S1185/Explications!$C$8</f>
        <v>0.12130460529613686</v>
      </c>
    </row>
    <row r="1186" spans="7:20">
      <c r="G1186" s="7" t="s">
        <v>31</v>
      </c>
      <c r="H1186" s="7" t="s">
        <v>46</v>
      </c>
      <c r="I1186" s="7">
        <v>46.813499999999998</v>
      </c>
      <c r="J1186" s="7">
        <v>-71.215900000000005</v>
      </c>
      <c r="K1186" s="7">
        <v>46.865699999999997</v>
      </c>
      <c r="L1186" s="7">
        <v>-71.27</v>
      </c>
      <c r="M1186" s="10" t="str">
        <f t="shared" si="113"/>
        <v>C15</v>
      </c>
      <c r="N1186" s="10" t="str">
        <f t="shared" si="114"/>
        <v>C30</v>
      </c>
      <c r="O1186" s="5">
        <f t="shared" si="115"/>
        <v>7.1150311725536666</v>
      </c>
      <c r="P1186" s="22">
        <f>O1186/Explications!$C$8</f>
        <v>0.23716770575178889</v>
      </c>
      <c r="Q1186" s="7" t="str">
        <f t="shared" si="116"/>
        <v>C30</v>
      </c>
      <c r="R1186" s="7" t="str">
        <f t="shared" si="117"/>
        <v>C15</v>
      </c>
      <c r="S1186" s="18">
        <f t="shared" si="118"/>
        <v>7.1150311725536666</v>
      </c>
      <c r="T1186" s="18">
        <f>S1186/Explications!$C$8</f>
        <v>0.23716770575178889</v>
      </c>
    </row>
    <row r="1187" spans="7:20">
      <c r="G1187" s="7" t="s">
        <v>31</v>
      </c>
      <c r="H1187" s="7" t="s">
        <v>47</v>
      </c>
      <c r="I1187" s="7">
        <v>46.813499999999998</v>
      </c>
      <c r="J1187" s="7">
        <v>-71.215900000000005</v>
      </c>
      <c r="K1187" s="7">
        <v>46.805500000000002</v>
      </c>
      <c r="L1187" s="7">
        <v>-71.217299999999994</v>
      </c>
      <c r="M1187" s="10" t="str">
        <f t="shared" si="113"/>
        <v>C15</v>
      </c>
      <c r="N1187" s="10" t="str">
        <f t="shared" si="114"/>
        <v>C31</v>
      </c>
      <c r="O1187" s="5">
        <f t="shared" si="115"/>
        <v>0.8959174803903649</v>
      </c>
      <c r="P1187" s="22">
        <f>O1187/Explications!$C$8</f>
        <v>2.9863916013012162E-2</v>
      </c>
      <c r="Q1187" s="7" t="str">
        <f t="shared" si="116"/>
        <v>C31</v>
      </c>
      <c r="R1187" s="7" t="str">
        <f t="shared" si="117"/>
        <v>C15</v>
      </c>
      <c r="S1187" s="18">
        <f t="shared" si="118"/>
        <v>0.8959174803903649</v>
      </c>
      <c r="T1187" s="18">
        <f>S1187/Explications!$C$8</f>
        <v>2.9863916013012162E-2</v>
      </c>
    </row>
    <row r="1188" spans="7:20">
      <c r="G1188" s="7" t="s">
        <v>31</v>
      </c>
      <c r="H1188" s="7" t="s">
        <v>48</v>
      </c>
      <c r="I1188" s="7">
        <v>46.813499999999998</v>
      </c>
      <c r="J1188" s="7">
        <v>-71.215900000000005</v>
      </c>
      <c r="K1188" s="7">
        <v>46.792299999999997</v>
      </c>
      <c r="L1188" s="7">
        <v>-71.172899999999998</v>
      </c>
      <c r="M1188" s="10" t="str">
        <f t="shared" si="113"/>
        <v>C15</v>
      </c>
      <c r="N1188" s="10" t="str">
        <f t="shared" si="114"/>
        <v>C32</v>
      </c>
      <c r="O1188" s="5">
        <f t="shared" si="115"/>
        <v>4.0334749936093228</v>
      </c>
      <c r="P1188" s="22">
        <f>O1188/Explications!$C$8</f>
        <v>0.1344491664536441</v>
      </c>
      <c r="Q1188" s="7" t="str">
        <f t="shared" si="116"/>
        <v>C32</v>
      </c>
      <c r="R1188" s="7" t="str">
        <f t="shared" si="117"/>
        <v>C15</v>
      </c>
      <c r="S1188" s="18">
        <f t="shared" si="118"/>
        <v>4.0334749936093228</v>
      </c>
      <c r="T1188" s="18">
        <f>S1188/Explications!$C$8</f>
        <v>0.1344491664536441</v>
      </c>
    </row>
    <row r="1189" spans="7:20">
      <c r="G1189" s="7" t="s">
        <v>31</v>
      </c>
      <c r="H1189" s="7" t="s">
        <v>49</v>
      </c>
      <c r="I1189" s="7">
        <v>46.813499999999998</v>
      </c>
      <c r="J1189" s="7">
        <v>-71.215900000000005</v>
      </c>
      <c r="K1189" s="7">
        <v>46.7883</v>
      </c>
      <c r="L1189" s="7">
        <v>-71.131200000000007</v>
      </c>
      <c r="M1189" s="10" t="str">
        <f t="shared" si="113"/>
        <v>C15</v>
      </c>
      <c r="N1189" s="10" t="str">
        <f t="shared" si="114"/>
        <v>C33</v>
      </c>
      <c r="O1189" s="5">
        <f t="shared" si="115"/>
        <v>7.0297178901651876</v>
      </c>
      <c r="P1189" s="22">
        <f>O1189/Explications!$C$8</f>
        <v>0.23432392967217291</v>
      </c>
      <c r="Q1189" s="7" t="str">
        <f t="shared" si="116"/>
        <v>C33</v>
      </c>
      <c r="R1189" s="7" t="str">
        <f t="shared" si="117"/>
        <v>C15</v>
      </c>
      <c r="S1189" s="18">
        <f t="shared" si="118"/>
        <v>7.0297178901651876</v>
      </c>
      <c r="T1189" s="18">
        <f>S1189/Explications!$C$8</f>
        <v>0.23432392967217291</v>
      </c>
    </row>
    <row r="1190" spans="7:20">
      <c r="G1190" s="7" t="s">
        <v>31</v>
      </c>
      <c r="H1190" s="7" t="s">
        <v>50</v>
      </c>
      <c r="I1190" s="7">
        <v>46.813499999999998</v>
      </c>
      <c r="J1190" s="7">
        <v>-71.215900000000005</v>
      </c>
      <c r="K1190" s="7">
        <v>46.8611</v>
      </c>
      <c r="L1190" s="7">
        <v>-71.268799999999999</v>
      </c>
      <c r="M1190" s="10" t="str">
        <f t="shared" si="113"/>
        <v>C15</v>
      </c>
      <c r="N1190" s="10" t="str">
        <f t="shared" si="114"/>
        <v>C34</v>
      </c>
      <c r="O1190" s="5">
        <f t="shared" si="115"/>
        <v>6.6487589983068194</v>
      </c>
      <c r="P1190" s="22">
        <f>O1190/Explications!$C$8</f>
        <v>0.22162529994356064</v>
      </c>
      <c r="Q1190" s="7" t="str">
        <f t="shared" si="116"/>
        <v>C34</v>
      </c>
      <c r="R1190" s="7" t="str">
        <f t="shared" si="117"/>
        <v>C15</v>
      </c>
      <c r="S1190" s="18">
        <f t="shared" si="118"/>
        <v>6.6487589983068194</v>
      </c>
      <c r="T1190" s="18">
        <f>S1190/Explications!$C$8</f>
        <v>0.22162529994356064</v>
      </c>
    </row>
    <row r="1191" spans="7:20">
      <c r="G1191" s="7" t="s">
        <v>31</v>
      </c>
      <c r="H1191" s="7" t="s">
        <v>51</v>
      </c>
      <c r="I1191" s="7">
        <v>46.813499999999998</v>
      </c>
      <c r="J1191" s="7">
        <v>-71.215900000000005</v>
      </c>
      <c r="K1191" s="7">
        <v>46.869700000000002</v>
      </c>
      <c r="L1191" s="7">
        <v>-71.205200000000005</v>
      </c>
      <c r="M1191" s="10" t="str">
        <f t="shared" si="113"/>
        <v>C15</v>
      </c>
      <c r="N1191" s="10" t="str">
        <f t="shared" si="114"/>
        <v>C35</v>
      </c>
      <c r="O1191" s="5">
        <f t="shared" si="115"/>
        <v>6.3019253353769713</v>
      </c>
      <c r="P1191" s="22">
        <f>O1191/Explications!$C$8</f>
        <v>0.21006417784589904</v>
      </c>
      <c r="Q1191" s="7" t="str">
        <f t="shared" si="116"/>
        <v>C35</v>
      </c>
      <c r="R1191" s="7" t="str">
        <f t="shared" si="117"/>
        <v>C15</v>
      </c>
      <c r="S1191" s="18">
        <f t="shared" si="118"/>
        <v>6.3019253353769713</v>
      </c>
      <c r="T1191" s="18">
        <f>S1191/Explications!$C$8</f>
        <v>0.21006417784589904</v>
      </c>
    </row>
    <row r="1192" spans="7:20">
      <c r="G1192" s="7" t="s">
        <v>31</v>
      </c>
      <c r="H1192" s="7" t="s">
        <v>52</v>
      </c>
      <c r="I1192" s="7">
        <v>46.813499999999998</v>
      </c>
      <c r="J1192" s="7">
        <v>-71.215900000000005</v>
      </c>
      <c r="K1192" s="7">
        <v>46.774099999999997</v>
      </c>
      <c r="L1192" s="7">
        <v>-71.174000000000007</v>
      </c>
      <c r="M1192" s="10" t="str">
        <f t="shared" si="113"/>
        <v>C15</v>
      </c>
      <c r="N1192" s="10" t="str">
        <f t="shared" si="114"/>
        <v>C36</v>
      </c>
      <c r="O1192" s="5">
        <f t="shared" si="115"/>
        <v>5.4192403347693574</v>
      </c>
      <c r="P1192" s="22">
        <f>O1192/Explications!$C$8</f>
        <v>0.18064134449231192</v>
      </c>
      <c r="Q1192" s="7" t="str">
        <f t="shared" si="116"/>
        <v>C36</v>
      </c>
      <c r="R1192" s="7" t="str">
        <f t="shared" si="117"/>
        <v>C15</v>
      </c>
      <c r="S1192" s="18">
        <f t="shared" si="118"/>
        <v>5.4192403347693574</v>
      </c>
      <c r="T1192" s="18">
        <f>S1192/Explications!$C$8</f>
        <v>0.18064134449231192</v>
      </c>
    </row>
    <row r="1193" spans="7:20">
      <c r="G1193" s="7" t="s">
        <v>31</v>
      </c>
      <c r="H1193" s="7" t="s">
        <v>53</v>
      </c>
      <c r="I1193" s="7">
        <v>46.813499999999998</v>
      </c>
      <c r="J1193" s="7">
        <v>-71.215900000000005</v>
      </c>
      <c r="K1193" s="7">
        <v>46.808500000000002</v>
      </c>
      <c r="L1193" s="7">
        <v>-71.326599999999999</v>
      </c>
      <c r="M1193" s="10" t="str">
        <f t="shared" si="113"/>
        <v>C15</v>
      </c>
      <c r="N1193" s="10" t="str">
        <f t="shared" si="114"/>
        <v>C37</v>
      </c>
      <c r="O1193" s="5">
        <f t="shared" si="115"/>
        <v>8.4428830276766789</v>
      </c>
      <c r="P1193" s="22">
        <f>O1193/Explications!$C$8</f>
        <v>0.28142943425588929</v>
      </c>
      <c r="Q1193" s="7" t="str">
        <f t="shared" si="116"/>
        <v>C37</v>
      </c>
      <c r="R1193" s="7" t="str">
        <f t="shared" si="117"/>
        <v>C15</v>
      </c>
      <c r="S1193" s="18">
        <f t="shared" si="118"/>
        <v>8.4428830276766789</v>
      </c>
      <c r="T1193" s="18">
        <f>S1193/Explications!$C$8</f>
        <v>0.28142943425588929</v>
      </c>
    </row>
    <row r="1194" spans="7:20">
      <c r="G1194" s="7" t="s">
        <v>31</v>
      </c>
      <c r="H1194" s="7" t="s">
        <v>54</v>
      </c>
      <c r="I1194" s="7">
        <v>46.813499999999998</v>
      </c>
      <c r="J1194" s="7">
        <v>-71.215900000000005</v>
      </c>
      <c r="K1194" s="7">
        <v>46.797499999999999</v>
      </c>
      <c r="L1194" s="7">
        <v>-71.306100000000001</v>
      </c>
      <c r="M1194" s="10" t="str">
        <f t="shared" si="113"/>
        <v>C15</v>
      </c>
      <c r="N1194" s="10" t="str">
        <f t="shared" si="114"/>
        <v>C38</v>
      </c>
      <c r="O1194" s="5">
        <f t="shared" si="115"/>
        <v>7.0919413986832147</v>
      </c>
      <c r="P1194" s="22">
        <f>O1194/Explications!$C$8</f>
        <v>0.23639804662277383</v>
      </c>
      <c r="Q1194" s="7" t="str">
        <f t="shared" si="116"/>
        <v>C38</v>
      </c>
      <c r="R1194" s="7" t="str">
        <f t="shared" si="117"/>
        <v>C15</v>
      </c>
      <c r="S1194" s="18">
        <f t="shared" si="118"/>
        <v>7.0919413986832147</v>
      </c>
      <c r="T1194" s="18">
        <f>S1194/Explications!$C$8</f>
        <v>0.23639804662277383</v>
      </c>
    </row>
    <row r="1195" spans="7:20">
      <c r="G1195" s="7" t="s">
        <v>31</v>
      </c>
      <c r="H1195" s="7" t="s">
        <v>55</v>
      </c>
      <c r="I1195" s="7">
        <v>46.813499999999998</v>
      </c>
      <c r="J1195" s="7">
        <v>-71.215900000000005</v>
      </c>
      <c r="K1195" s="7">
        <v>46.8155</v>
      </c>
      <c r="L1195" s="7">
        <v>-71.268199999999993</v>
      </c>
      <c r="M1195" s="10" t="str">
        <f t="shared" si="113"/>
        <v>C15</v>
      </c>
      <c r="N1195" s="10" t="str">
        <f t="shared" si="114"/>
        <v>C39</v>
      </c>
      <c r="O1195" s="5">
        <f t="shared" si="115"/>
        <v>3.9861155093133886</v>
      </c>
      <c r="P1195" s="22">
        <f>O1195/Explications!$C$8</f>
        <v>0.13287051697711297</v>
      </c>
      <c r="Q1195" s="7" t="str">
        <f t="shared" si="116"/>
        <v>C39</v>
      </c>
      <c r="R1195" s="7" t="str">
        <f t="shared" si="117"/>
        <v>C15</v>
      </c>
      <c r="S1195" s="18">
        <f t="shared" si="118"/>
        <v>3.9861155093133886</v>
      </c>
      <c r="T1195" s="18">
        <f>S1195/Explications!$C$8</f>
        <v>0.13287051697711297</v>
      </c>
    </row>
    <row r="1196" spans="7:20">
      <c r="G1196" s="7" t="s">
        <v>31</v>
      </c>
      <c r="H1196" s="7" t="s">
        <v>56</v>
      </c>
      <c r="I1196" s="7">
        <v>46.813499999999998</v>
      </c>
      <c r="J1196" s="7">
        <v>-71.215900000000005</v>
      </c>
      <c r="K1196" s="7">
        <v>46.866700000000002</v>
      </c>
      <c r="L1196" s="7">
        <v>-71.215900000000005</v>
      </c>
      <c r="M1196" s="10" t="str">
        <f t="shared" si="113"/>
        <v>C15</v>
      </c>
      <c r="N1196" s="10" t="str">
        <f t="shared" si="114"/>
        <v>C40</v>
      </c>
      <c r="O1196" s="5">
        <f t="shared" si="115"/>
        <v>5.9155700966945028</v>
      </c>
      <c r="P1196" s="22">
        <f>O1196/Explications!$C$8</f>
        <v>0.19718566988981676</v>
      </c>
      <c r="Q1196" s="7" t="str">
        <f t="shared" si="116"/>
        <v>C40</v>
      </c>
      <c r="R1196" s="7" t="str">
        <f t="shared" si="117"/>
        <v>C15</v>
      </c>
      <c r="S1196" s="18">
        <f t="shared" si="118"/>
        <v>5.9155700966945028</v>
      </c>
      <c r="T1196" s="18">
        <f>S1196/Explications!$C$8</f>
        <v>0.19718566988981676</v>
      </c>
    </row>
    <row r="1197" spans="7:20">
      <c r="G1197" s="7" t="s">
        <v>31</v>
      </c>
      <c r="H1197" s="7" t="s">
        <v>57</v>
      </c>
      <c r="I1197" s="7">
        <v>46.813499999999998</v>
      </c>
      <c r="J1197" s="7">
        <v>-71.215900000000005</v>
      </c>
      <c r="K1197" s="7">
        <v>46.762099999999997</v>
      </c>
      <c r="L1197" s="7">
        <v>-71.235399999999998</v>
      </c>
      <c r="M1197" s="10" t="str">
        <f t="shared" si="113"/>
        <v>C15</v>
      </c>
      <c r="N1197" s="10" t="str">
        <f t="shared" si="114"/>
        <v>C41</v>
      </c>
      <c r="O1197" s="5">
        <f t="shared" si="115"/>
        <v>5.9050973279474759</v>
      </c>
      <c r="P1197" s="22">
        <f>O1197/Explications!$C$8</f>
        <v>0.19683657759824918</v>
      </c>
      <c r="Q1197" s="7" t="str">
        <f t="shared" si="116"/>
        <v>C41</v>
      </c>
      <c r="R1197" s="7" t="str">
        <f t="shared" si="117"/>
        <v>C15</v>
      </c>
      <c r="S1197" s="18">
        <f t="shared" si="118"/>
        <v>5.9050973279474759</v>
      </c>
      <c r="T1197" s="18">
        <f>S1197/Explications!$C$8</f>
        <v>0.19683657759824918</v>
      </c>
    </row>
    <row r="1198" spans="7:20">
      <c r="G1198" s="7" t="s">
        <v>31</v>
      </c>
      <c r="H1198" s="7" t="s">
        <v>58</v>
      </c>
      <c r="I1198" s="7">
        <v>46.813499999999998</v>
      </c>
      <c r="J1198" s="7">
        <v>-71.215900000000005</v>
      </c>
      <c r="K1198" s="7">
        <v>46.8157</v>
      </c>
      <c r="L1198" s="7">
        <v>-71.2042</v>
      </c>
      <c r="M1198" s="10" t="str">
        <f t="shared" si="113"/>
        <v>C15</v>
      </c>
      <c r="N1198" s="10" t="str">
        <f t="shared" si="114"/>
        <v>C42</v>
      </c>
      <c r="O1198" s="5">
        <f t="shared" si="115"/>
        <v>0.92333637981965966</v>
      </c>
      <c r="P1198" s="22">
        <f>O1198/Explications!$C$8</f>
        <v>3.077787932732199E-2</v>
      </c>
      <c r="Q1198" s="7" t="str">
        <f t="shared" si="116"/>
        <v>C42</v>
      </c>
      <c r="R1198" s="7" t="str">
        <f t="shared" si="117"/>
        <v>C15</v>
      </c>
      <c r="S1198" s="18">
        <f t="shared" si="118"/>
        <v>0.92333637981965966</v>
      </c>
      <c r="T1198" s="18">
        <f>S1198/Explications!$C$8</f>
        <v>3.077787932732199E-2</v>
      </c>
    </row>
    <row r="1199" spans="7:20">
      <c r="G1199" s="7" t="s">
        <v>31</v>
      </c>
      <c r="H1199" s="7" t="s">
        <v>59</v>
      </c>
      <c r="I1199" s="7">
        <v>46.813499999999998</v>
      </c>
      <c r="J1199" s="7">
        <v>-71.215900000000005</v>
      </c>
      <c r="K1199" s="7">
        <v>46.707000000000001</v>
      </c>
      <c r="L1199" s="7">
        <v>-71.217100000000002</v>
      </c>
      <c r="M1199" s="10" t="str">
        <f t="shared" si="113"/>
        <v>C15</v>
      </c>
      <c r="N1199" s="10" t="str">
        <f t="shared" si="114"/>
        <v>C43</v>
      </c>
      <c r="O1199" s="5">
        <f t="shared" si="115"/>
        <v>11.842612471835888</v>
      </c>
      <c r="P1199" s="22">
        <f>O1199/Explications!$C$8</f>
        <v>0.39475374906119626</v>
      </c>
      <c r="Q1199" s="7" t="str">
        <f t="shared" si="116"/>
        <v>C43</v>
      </c>
      <c r="R1199" s="7" t="str">
        <f t="shared" si="117"/>
        <v>C15</v>
      </c>
      <c r="S1199" s="18">
        <f t="shared" si="118"/>
        <v>11.842612471835888</v>
      </c>
      <c r="T1199" s="18">
        <f>S1199/Explications!$C$8</f>
        <v>0.39475374906119626</v>
      </c>
    </row>
    <row r="1200" spans="7:20">
      <c r="G1200" s="7" t="s">
        <v>31</v>
      </c>
      <c r="H1200" s="7" t="s">
        <v>60</v>
      </c>
      <c r="I1200" s="7">
        <v>46.813499999999998</v>
      </c>
      <c r="J1200" s="7">
        <v>-71.215900000000005</v>
      </c>
      <c r="K1200" s="7">
        <v>46.802900000000001</v>
      </c>
      <c r="L1200" s="7">
        <v>-71.228899999999996</v>
      </c>
      <c r="M1200" s="10" t="str">
        <f t="shared" si="113"/>
        <v>C15</v>
      </c>
      <c r="N1200" s="10" t="str">
        <f t="shared" si="114"/>
        <v>C44</v>
      </c>
      <c r="O1200" s="5">
        <f t="shared" si="115"/>
        <v>1.5388753618548427</v>
      </c>
      <c r="P1200" s="22">
        <f>O1200/Explications!$C$8</f>
        <v>5.1295845395161424E-2</v>
      </c>
      <c r="Q1200" s="7" t="str">
        <f t="shared" si="116"/>
        <v>C44</v>
      </c>
      <c r="R1200" s="7" t="str">
        <f t="shared" si="117"/>
        <v>C15</v>
      </c>
      <c r="S1200" s="18">
        <f t="shared" si="118"/>
        <v>1.5388753618548427</v>
      </c>
      <c r="T1200" s="18">
        <f>S1200/Explications!$C$8</f>
        <v>5.1295845395161424E-2</v>
      </c>
    </row>
    <row r="1201" spans="7:20">
      <c r="G1201" s="7" t="s">
        <v>31</v>
      </c>
      <c r="H1201" s="7" t="s">
        <v>61</v>
      </c>
      <c r="I1201" s="7">
        <v>46.813499999999998</v>
      </c>
      <c r="J1201" s="7">
        <v>-71.215900000000005</v>
      </c>
      <c r="K1201" s="7">
        <v>46.796900000000001</v>
      </c>
      <c r="L1201" s="7">
        <v>-71.3078</v>
      </c>
      <c r="M1201" s="10" t="str">
        <f t="shared" si="113"/>
        <v>C15</v>
      </c>
      <c r="N1201" s="10" t="str">
        <f t="shared" si="114"/>
        <v>C45</v>
      </c>
      <c r="O1201" s="5">
        <f t="shared" si="115"/>
        <v>7.2340374642101777</v>
      </c>
      <c r="P1201" s="22">
        <f>O1201/Explications!$C$8</f>
        <v>0.24113458214033925</v>
      </c>
      <c r="Q1201" s="7" t="str">
        <f t="shared" si="116"/>
        <v>C45</v>
      </c>
      <c r="R1201" s="7" t="str">
        <f t="shared" si="117"/>
        <v>C15</v>
      </c>
      <c r="S1201" s="18">
        <f t="shared" si="118"/>
        <v>7.2340374642101777</v>
      </c>
      <c r="T1201" s="18">
        <f>S1201/Explications!$C$8</f>
        <v>0.24113458214033925</v>
      </c>
    </row>
    <row r="1202" spans="7:20">
      <c r="G1202" s="7" t="s">
        <v>31</v>
      </c>
      <c r="H1202" s="7" t="s">
        <v>62</v>
      </c>
      <c r="I1202" s="7">
        <v>46.813499999999998</v>
      </c>
      <c r="J1202" s="7">
        <v>-71.215900000000005</v>
      </c>
      <c r="K1202" s="7">
        <v>46.803600000000003</v>
      </c>
      <c r="L1202" s="7">
        <v>-71.231099999999998</v>
      </c>
      <c r="M1202" s="10" t="str">
        <f t="shared" si="113"/>
        <v>C15</v>
      </c>
      <c r="N1202" s="10" t="str">
        <f t="shared" si="114"/>
        <v>C46</v>
      </c>
      <c r="O1202" s="5">
        <f t="shared" si="115"/>
        <v>1.596884696516526</v>
      </c>
      <c r="P1202" s="22">
        <f>O1202/Explications!$C$8</f>
        <v>5.32294898838842E-2</v>
      </c>
      <c r="Q1202" s="7" t="str">
        <f t="shared" si="116"/>
        <v>C46</v>
      </c>
      <c r="R1202" s="7" t="str">
        <f t="shared" si="117"/>
        <v>C15</v>
      </c>
      <c r="S1202" s="18">
        <f t="shared" si="118"/>
        <v>1.596884696516526</v>
      </c>
      <c r="T1202" s="18">
        <f>S1202/Explications!$C$8</f>
        <v>5.32294898838842E-2</v>
      </c>
    </row>
    <row r="1203" spans="7:20">
      <c r="G1203" s="7" t="s">
        <v>31</v>
      </c>
      <c r="H1203" s="7" t="s">
        <v>63</v>
      </c>
      <c r="I1203" s="7">
        <v>46.813499999999998</v>
      </c>
      <c r="J1203" s="7">
        <v>-71.215900000000005</v>
      </c>
      <c r="K1203" s="7">
        <v>46.802399999999999</v>
      </c>
      <c r="L1203" s="7">
        <v>-71.269800000000004</v>
      </c>
      <c r="M1203" s="10" t="str">
        <f t="shared" si="113"/>
        <v>C15</v>
      </c>
      <c r="N1203" s="10" t="str">
        <f t="shared" si="114"/>
        <v>C47</v>
      </c>
      <c r="O1203" s="5">
        <f t="shared" si="115"/>
        <v>4.2838237596356539</v>
      </c>
      <c r="P1203" s="22">
        <f>O1203/Explications!$C$8</f>
        <v>0.14279412532118846</v>
      </c>
      <c r="Q1203" s="7" t="str">
        <f t="shared" si="116"/>
        <v>C47</v>
      </c>
      <c r="R1203" s="7" t="str">
        <f t="shared" si="117"/>
        <v>C15</v>
      </c>
      <c r="S1203" s="18">
        <f t="shared" si="118"/>
        <v>4.2838237596356539</v>
      </c>
      <c r="T1203" s="18">
        <f>S1203/Explications!$C$8</f>
        <v>0.14279412532118846</v>
      </c>
    </row>
    <row r="1204" spans="7:20">
      <c r="G1204" s="7" t="s">
        <v>31</v>
      </c>
      <c r="H1204" s="7" t="s">
        <v>64</v>
      </c>
      <c r="I1204" s="7">
        <v>46.813499999999998</v>
      </c>
      <c r="J1204" s="7">
        <v>-71.215900000000005</v>
      </c>
      <c r="K1204" s="7">
        <v>46.826799999999999</v>
      </c>
      <c r="L1204" s="7">
        <v>-71.224199999999996</v>
      </c>
      <c r="M1204" s="10" t="str">
        <f t="shared" si="113"/>
        <v>C15</v>
      </c>
      <c r="N1204" s="10" t="str">
        <f t="shared" si="114"/>
        <v>C48</v>
      </c>
      <c r="O1204" s="5">
        <f t="shared" si="115"/>
        <v>1.6080954786925405</v>
      </c>
      <c r="P1204" s="22">
        <f>O1204/Explications!$C$8</f>
        <v>5.3603182623084687E-2</v>
      </c>
      <c r="Q1204" s="7" t="str">
        <f t="shared" si="116"/>
        <v>C48</v>
      </c>
      <c r="R1204" s="7" t="str">
        <f t="shared" si="117"/>
        <v>C15</v>
      </c>
      <c r="S1204" s="18">
        <f t="shared" si="118"/>
        <v>1.6080954786925405</v>
      </c>
      <c r="T1204" s="18">
        <f>S1204/Explications!$C$8</f>
        <v>5.3603182623084687E-2</v>
      </c>
    </row>
    <row r="1205" spans="7:20">
      <c r="G1205" s="7" t="s">
        <v>31</v>
      </c>
      <c r="H1205" s="7" t="s">
        <v>65</v>
      </c>
      <c r="I1205" s="7">
        <v>46.813499999999998</v>
      </c>
      <c r="J1205" s="7">
        <v>-71.215900000000005</v>
      </c>
      <c r="K1205" s="7">
        <v>46.864100000000001</v>
      </c>
      <c r="L1205" s="7">
        <v>-71.255499999999998</v>
      </c>
      <c r="M1205" s="10" t="str">
        <f t="shared" si="113"/>
        <v>C15</v>
      </c>
      <c r="N1205" s="10" t="str">
        <f t="shared" si="114"/>
        <v>C49</v>
      </c>
      <c r="O1205" s="5">
        <f t="shared" si="115"/>
        <v>6.381995190846137</v>
      </c>
      <c r="P1205" s="22">
        <f>O1205/Explications!$C$8</f>
        <v>0.21273317302820458</v>
      </c>
      <c r="Q1205" s="7" t="str">
        <f t="shared" si="116"/>
        <v>C49</v>
      </c>
      <c r="R1205" s="7" t="str">
        <f t="shared" si="117"/>
        <v>C15</v>
      </c>
      <c r="S1205" s="18">
        <f t="shared" si="118"/>
        <v>6.381995190846137</v>
      </c>
      <c r="T1205" s="18">
        <f>S1205/Explications!$C$8</f>
        <v>0.21273317302820458</v>
      </c>
    </row>
    <row r="1206" spans="7:20">
      <c r="G1206" s="7" t="s">
        <v>31</v>
      </c>
      <c r="H1206" s="7" t="s">
        <v>66</v>
      </c>
      <c r="I1206" s="7">
        <v>46.813499999999998</v>
      </c>
      <c r="J1206" s="7">
        <v>-71.215900000000005</v>
      </c>
      <c r="K1206" s="7">
        <v>46.843800000000002</v>
      </c>
      <c r="L1206" s="7">
        <v>-71.247299999999996</v>
      </c>
      <c r="M1206" s="10" t="str">
        <f t="shared" si="113"/>
        <v>C15</v>
      </c>
      <c r="N1206" s="10" t="str">
        <f t="shared" si="114"/>
        <v>C50</v>
      </c>
      <c r="O1206" s="5">
        <f t="shared" si="115"/>
        <v>4.1301445936043333</v>
      </c>
      <c r="P1206" s="22">
        <f>O1206/Explications!$C$8</f>
        <v>0.13767148645347776</v>
      </c>
      <c r="Q1206" s="7" t="str">
        <f t="shared" si="116"/>
        <v>C50</v>
      </c>
      <c r="R1206" s="7" t="str">
        <f t="shared" si="117"/>
        <v>C15</v>
      </c>
      <c r="S1206" s="18">
        <f t="shared" si="118"/>
        <v>4.1301445936043333</v>
      </c>
      <c r="T1206" s="18">
        <f>S1206/Explications!$C$8</f>
        <v>0.13767148645347776</v>
      </c>
    </row>
    <row r="1207" spans="7:20">
      <c r="G1207" s="7" t="s">
        <v>31</v>
      </c>
      <c r="H1207" s="7" t="s">
        <v>67</v>
      </c>
      <c r="I1207" s="7">
        <v>46.813499999999998</v>
      </c>
      <c r="J1207" s="7">
        <v>-71.215900000000005</v>
      </c>
      <c r="K1207" s="7">
        <v>46.765599999999999</v>
      </c>
      <c r="L1207" s="7">
        <v>-71.312100000000001</v>
      </c>
      <c r="M1207" s="10" t="str">
        <f t="shared" si="113"/>
        <v>C15</v>
      </c>
      <c r="N1207" s="10" t="str">
        <f t="shared" si="114"/>
        <v>C51</v>
      </c>
      <c r="O1207" s="5">
        <f t="shared" si="115"/>
        <v>9.0559153792508447</v>
      </c>
      <c r="P1207" s="22">
        <f>O1207/Explications!$C$8</f>
        <v>0.30186384597502813</v>
      </c>
      <c r="Q1207" s="7" t="str">
        <f t="shared" si="116"/>
        <v>C51</v>
      </c>
      <c r="R1207" s="7" t="str">
        <f t="shared" si="117"/>
        <v>C15</v>
      </c>
      <c r="S1207" s="18">
        <f t="shared" si="118"/>
        <v>9.0559153792508447</v>
      </c>
      <c r="T1207" s="18">
        <f>S1207/Explications!$C$8</f>
        <v>0.30186384597502813</v>
      </c>
    </row>
    <row r="1208" spans="7:20">
      <c r="G1208" s="7" t="s">
        <v>31</v>
      </c>
      <c r="H1208" s="7" t="s">
        <v>68</v>
      </c>
      <c r="I1208" s="7">
        <v>46.813499999999998</v>
      </c>
      <c r="J1208" s="7">
        <v>-71.215900000000005</v>
      </c>
      <c r="K1208" s="7">
        <v>46.787599999999998</v>
      </c>
      <c r="L1208" s="7">
        <v>-71.288600000000002</v>
      </c>
      <c r="M1208" s="10" t="str">
        <f t="shared" si="113"/>
        <v>C15</v>
      </c>
      <c r="N1208" s="10" t="str">
        <f t="shared" si="114"/>
        <v>C52</v>
      </c>
      <c r="O1208" s="5">
        <f t="shared" si="115"/>
        <v>6.2382939923791456</v>
      </c>
      <c r="P1208" s="22">
        <f>O1208/Explications!$C$8</f>
        <v>0.20794313307930484</v>
      </c>
      <c r="Q1208" s="7" t="str">
        <f t="shared" si="116"/>
        <v>C52</v>
      </c>
      <c r="R1208" s="7" t="str">
        <f t="shared" si="117"/>
        <v>C15</v>
      </c>
      <c r="S1208" s="18">
        <f t="shared" si="118"/>
        <v>6.2382939923791456</v>
      </c>
      <c r="T1208" s="18">
        <f>S1208/Explications!$C$8</f>
        <v>0.20794313307930484</v>
      </c>
    </row>
    <row r="1209" spans="7:20">
      <c r="G1209" s="7" t="s">
        <v>31</v>
      </c>
      <c r="H1209" s="7" t="s">
        <v>69</v>
      </c>
      <c r="I1209" s="7">
        <v>46.813499999999998</v>
      </c>
      <c r="J1209" s="7">
        <v>-71.215900000000005</v>
      </c>
      <c r="K1209" s="7">
        <v>46.764600000000002</v>
      </c>
      <c r="L1209" s="7">
        <v>-71.308300000000003</v>
      </c>
      <c r="M1209" s="10" t="str">
        <f t="shared" si="113"/>
        <v>C15</v>
      </c>
      <c r="N1209" s="10" t="str">
        <f t="shared" si="114"/>
        <v>C53</v>
      </c>
      <c r="O1209" s="5">
        <f t="shared" si="115"/>
        <v>8.8911951169514296</v>
      </c>
      <c r="P1209" s="22">
        <f>O1209/Explications!$C$8</f>
        <v>0.29637317056504764</v>
      </c>
      <c r="Q1209" s="7" t="str">
        <f t="shared" si="116"/>
        <v>C53</v>
      </c>
      <c r="R1209" s="7" t="str">
        <f t="shared" si="117"/>
        <v>C15</v>
      </c>
      <c r="S1209" s="18">
        <f t="shared" si="118"/>
        <v>8.8911951169514296</v>
      </c>
      <c r="T1209" s="18">
        <f>S1209/Explications!$C$8</f>
        <v>0.29637317056504764</v>
      </c>
    </row>
    <row r="1210" spans="7:20">
      <c r="G1210" s="7" t="s">
        <v>31</v>
      </c>
      <c r="H1210" s="7" t="s">
        <v>70</v>
      </c>
      <c r="I1210" s="7">
        <v>46.813499999999998</v>
      </c>
      <c r="J1210" s="7">
        <v>-71.215900000000005</v>
      </c>
      <c r="K1210" s="7">
        <v>46.849699999999999</v>
      </c>
      <c r="L1210" s="7">
        <v>-71.097399999999993</v>
      </c>
      <c r="M1210" s="10" t="str">
        <f t="shared" si="113"/>
        <v>C15</v>
      </c>
      <c r="N1210" s="10" t="str">
        <f t="shared" si="114"/>
        <v>C54</v>
      </c>
      <c r="O1210" s="5">
        <f t="shared" si="115"/>
        <v>9.872565168612347</v>
      </c>
      <c r="P1210" s="22">
        <f>O1210/Explications!$C$8</f>
        <v>0.32908550562041156</v>
      </c>
      <c r="Q1210" s="7" t="str">
        <f t="shared" si="116"/>
        <v>C54</v>
      </c>
      <c r="R1210" s="7" t="str">
        <f t="shared" si="117"/>
        <v>C15</v>
      </c>
      <c r="S1210" s="18">
        <f t="shared" si="118"/>
        <v>9.872565168612347</v>
      </c>
      <c r="T1210" s="18">
        <f>S1210/Explications!$C$8</f>
        <v>0.32908550562041156</v>
      </c>
    </row>
    <row r="1211" spans="7:20">
      <c r="G1211" s="7" t="s">
        <v>31</v>
      </c>
      <c r="H1211" s="7" t="s">
        <v>71</v>
      </c>
      <c r="I1211" s="7">
        <v>46.813499999999998</v>
      </c>
      <c r="J1211" s="7">
        <v>-71.215900000000005</v>
      </c>
      <c r="K1211" s="7">
        <v>46.788899999999998</v>
      </c>
      <c r="L1211" s="7">
        <v>-71.321399999999997</v>
      </c>
      <c r="M1211" s="10" t="str">
        <f t="shared" si="113"/>
        <v>C15</v>
      </c>
      <c r="N1211" s="10" t="str">
        <f t="shared" si="114"/>
        <v>C55</v>
      </c>
      <c r="O1211" s="5">
        <f t="shared" si="115"/>
        <v>8.4833889083564227</v>
      </c>
      <c r="P1211" s="22">
        <f>O1211/Explications!$C$8</f>
        <v>0.28277963027854741</v>
      </c>
      <c r="Q1211" s="7" t="str">
        <f t="shared" si="116"/>
        <v>C55</v>
      </c>
      <c r="R1211" s="7" t="str">
        <f t="shared" si="117"/>
        <v>C15</v>
      </c>
      <c r="S1211" s="18">
        <f t="shared" si="118"/>
        <v>8.4833889083564227</v>
      </c>
      <c r="T1211" s="18">
        <f>S1211/Explications!$C$8</f>
        <v>0.28277963027854741</v>
      </c>
    </row>
    <row r="1212" spans="7:20">
      <c r="G1212" s="7" t="s">
        <v>31</v>
      </c>
      <c r="H1212" s="7" t="s">
        <v>72</v>
      </c>
      <c r="I1212" s="7">
        <v>46.813499999999998</v>
      </c>
      <c r="J1212" s="7">
        <v>-71.215900000000005</v>
      </c>
      <c r="K1212" s="7">
        <v>46.795400000000001</v>
      </c>
      <c r="L1212" s="7">
        <v>-71.232600000000005</v>
      </c>
      <c r="M1212" s="10" t="str">
        <f t="shared" si="113"/>
        <v>C15</v>
      </c>
      <c r="N1212" s="10" t="str">
        <f t="shared" si="114"/>
        <v>C56</v>
      </c>
      <c r="O1212" s="5">
        <f t="shared" si="115"/>
        <v>2.3803962936857177</v>
      </c>
      <c r="P1212" s="22">
        <f>O1212/Explications!$C$8</f>
        <v>7.9346543122857258E-2</v>
      </c>
      <c r="Q1212" s="7" t="str">
        <f t="shared" si="116"/>
        <v>C56</v>
      </c>
      <c r="R1212" s="7" t="str">
        <f t="shared" si="117"/>
        <v>C15</v>
      </c>
      <c r="S1212" s="18">
        <f t="shared" si="118"/>
        <v>2.3803962936857177</v>
      </c>
      <c r="T1212" s="18">
        <f>S1212/Explications!$C$8</f>
        <v>7.9346543122857258E-2</v>
      </c>
    </row>
    <row r="1213" spans="7:20">
      <c r="G1213" s="7" t="s">
        <v>31</v>
      </c>
      <c r="H1213" s="7" t="s">
        <v>73</v>
      </c>
      <c r="I1213" s="7">
        <v>46.813499999999998</v>
      </c>
      <c r="J1213" s="7">
        <v>-71.215900000000005</v>
      </c>
      <c r="K1213" s="7">
        <v>46.801200000000001</v>
      </c>
      <c r="L1213" s="7">
        <v>-71.224999999999994</v>
      </c>
      <c r="M1213" s="10" t="str">
        <f t="shared" si="113"/>
        <v>C15</v>
      </c>
      <c r="N1213" s="10" t="str">
        <f t="shared" si="114"/>
        <v>C57</v>
      </c>
      <c r="O1213" s="5">
        <f t="shared" si="115"/>
        <v>1.5330573064870177</v>
      </c>
      <c r="P1213" s="22">
        <f>O1213/Explications!$C$8</f>
        <v>5.110191021623392E-2</v>
      </c>
      <c r="Q1213" s="7" t="str">
        <f t="shared" si="116"/>
        <v>C57</v>
      </c>
      <c r="R1213" s="7" t="str">
        <f t="shared" si="117"/>
        <v>C15</v>
      </c>
      <c r="S1213" s="18">
        <f t="shared" si="118"/>
        <v>1.5330573064870177</v>
      </c>
      <c r="T1213" s="18">
        <f>S1213/Explications!$C$8</f>
        <v>5.110191021623392E-2</v>
      </c>
    </row>
    <row r="1214" spans="7:20">
      <c r="G1214" s="7" t="s">
        <v>31</v>
      </c>
      <c r="H1214" s="7" t="s">
        <v>74</v>
      </c>
      <c r="I1214" s="7">
        <v>46.813499999999998</v>
      </c>
      <c r="J1214" s="7">
        <v>-71.215900000000005</v>
      </c>
      <c r="K1214" s="7">
        <v>46.773200000000003</v>
      </c>
      <c r="L1214" s="7">
        <v>-71.275899999999993</v>
      </c>
      <c r="M1214" s="10" t="str">
        <f t="shared" si="113"/>
        <v>C15</v>
      </c>
      <c r="N1214" s="10" t="str">
        <f t="shared" si="114"/>
        <v>C58</v>
      </c>
      <c r="O1214" s="5">
        <f t="shared" si="115"/>
        <v>6.3987667976989</v>
      </c>
      <c r="P1214" s="22">
        <f>O1214/Explications!$C$8</f>
        <v>0.21329222658996333</v>
      </c>
      <c r="Q1214" s="7" t="str">
        <f t="shared" si="116"/>
        <v>C58</v>
      </c>
      <c r="R1214" s="7" t="str">
        <f t="shared" si="117"/>
        <v>C15</v>
      </c>
      <c r="S1214" s="18">
        <f t="shared" si="118"/>
        <v>6.3987667976989</v>
      </c>
      <c r="T1214" s="18">
        <f>S1214/Explications!$C$8</f>
        <v>0.21329222658996333</v>
      </c>
    </row>
    <row r="1215" spans="7:20">
      <c r="G1215" s="7" t="s">
        <v>31</v>
      </c>
      <c r="H1215" s="7" t="s">
        <v>75</v>
      </c>
      <c r="I1215" s="7">
        <v>46.813499999999998</v>
      </c>
      <c r="J1215" s="7">
        <v>-71.215900000000005</v>
      </c>
      <c r="K1215" s="7">
        <v>46.814399999999999</v>
      </c>
      <c r="L1215" s="7">
        <v>-71.225700000000003</v>
      </c>
      <c r="M1215" s="10" t="str">
        <f t="shared" si="113"/>
        <v>C15</v>
      </c>
      <c r="N1215" s="10" t="str">
        <f t="shared" si="114"/>
        <v>C59</v>
      </c>
      <c r="O1215" s="5">
        <f t="shared" si="115"/>
        <v>0.75244927277667961</v>
      </c>
      <c r="P1215" s="22">
        <f>O1215/Explications!$C$8</f>
        <v>2.5081642425889322E-2</v>
      </c>
      <c r="Q1215" s="7" t="str">
        <f t="shared" si="116"/>
        <v>C59</v>
      </c>
      <c r="R1215" s="7" t="str">
        <f t="shared" si="117"/>
        <v>C15</v>
      </c>
      <c r="S1215" s="18">
        <f t="shared" si="118"/>
        <v>0.75244927277667961</v>
      </c>
      <c r="T1215" s="18">
        <f>S1215/Explications!$C$8</f>
        <v>2.5081642425889322E-2</v>
      </c>
    </row>
    <row r="1216" spans="7:20">
      <c r="G1216" s="7" t="s">
        <v>31</v>
      </c>
      <c r="H1216" s="7" t="s">
        <v>76</v>
      </c>
      <c r="I1216" s="7">
        <v>46.813499999999998</v>
      </c>
      <c r="J1216" s="7">
        <v>-71.215900000000005</v>
      </c>
      <c r="K1216" s="7">
        <v>46.772500000000001</v>
      </c>
      <c r="L1216" s="7">
        <v>-71.276300000000006</v>
      </c>
      <c r="M1216" s="10" t="str">
        <f t="shared" si="113"/>
        <v>C15</v>
      </c>
      <c r="N1216" s="10" t="str">
        <f t="shared" si="114"/>
        <v>C60</v>
      </c>
      <c r="O1216" s="5">
        <f t="shared" si="115"/>
        <v>6.4751255677407098</v>
      </c>
      <c r="P1216" s="22">
        <f>O1216/Explications!$C$8</f>
        <v>0.21583751892469033</v>
      </c>
      <c r="Q1216" s="7" t="str">
        <f t="shared" si="116"/>
        <v>C60</v>
      </c>
      <c r="R1216" s="7" t="str">
        <f t="shared" si="117"/>
        <v>C15</v>
      </c>
      <c r="S1216" s="18">
        <f t="shared" si="118"/>
        <v>6.4751255677407098</v>
      </c>
      <c r="T1216" s="18">
        <f>S1216/Explications!$C$8</f>
        <v>0.21583751892469033</v>
      </c>
    </row>
    <row r="1217" spans="7:20">
      <c r="G1217" s="7" t="s">
        <v>31</v>
      </c>
      <c r="H1217" s="7" t="s">
        <v>77</v>
      </c>
      <c r="I1217" s="7">
        <v>46.813499999999998</v>
      </c>
      <c r="J1217" s="7">
        <v>-71.215900000000005</v>
      </c>
      <c r="K1217" s="7">
        <v>46.810899999999997</v>
      </c>
      <c r="L1217" s="7">
        <v>-71.215599999999995</v>
      </c>
      <c r="M1217" s="10" t="str">
        <f t="shared" si="113"/>
        <v>C15</v>
      </c>
      <c r="N1217" s="10" t="str">
        <f t="shared" si="114"/>
        <v>C61</v>
      </c>
      <c r="O1217" s="5">
        <f t="shared" si="115"/>
        <v>0.29000684037046431</v>
      </c>
      <c r="P1217" s="22">
        <f>O1217/Explications!$C$8</f>
        <v>9.6668946790154763E-3</v>
      </c>
      <c r="Q1217" s="7" t="str">
        <f t="shared" si="116"/>
        <v>C61</v>
      </c>
      <c r="R1217" s="7" t="str">
        <f t="shared" si="117"/>
        <v>C15</v>
      </c>
      <c r="S1217" s="18">
        <f t="shared" si="118"/>
        <v>0.29000684037046431</v>
      </c>
      <c r="T1217" s="18">
        <f>S1217/Explications!$C$8</f>
        <v>9.6668946790154763E-3</v>
      </c>
    </row>
    <row r="1218" spans="7:20">
      <c r="G1218" s="7" t="s">
        <v>31</v>
      </c>
      <c r="H1218" s="7" t="s">
        <v>78</v>
      </c>
      <c r="I1218" s="7">
        <v>46.813499999999998</v>
      </c>
      <c r="J1218" s="7">
        <v>-71.215900000000005</v>
      </c>
      <c r="K1218" s="7">
        <v>46.795200000000001</v>
      </c>
      <c r="L1218" s="7">
        <v>-71.245099999999994</v>
      </c>
      <c r="M1218" s="10" t="str">
        <f t="shared" si="113"/>
        <v>C15</v>
      </c>
      <c r="N1218" s="10" t="str">
        <f t="shared" si="114"/>
        <v>C62</v>
      </c>
      <c r="O1218" s="5">
        <f t="shared" si="115"/>
        <v>3.0133138250265685</v>
      </c>
      <c r="P1218" s="22">
        <f>O1218/Explications!$C$8</f>
        <v>0.10044379416755228</v>
      </c>
      <c r="Q1218" s="7" t="str">
        <f t="shared" si="116"/>
        <v>C62</v>
      </c>
      <c r="R1218" s="7" t="str">
        <f t="shared" si="117"/>
        <v>C15</v>
      </c>
      <c r="S1218" s="18">
        <f t="shared" si="118"/>
        <v>3.0133138250265685</v>
      </c>
      <c r="T1218" s="18">
        <f>S1218/Explications!$C$8</f>
        <v>0.10044379416755228</v>
      </c>
    </row>
    <row r="1219" spans="7:20">
      <c r="G1219" s="7" t="s">
        <v>31</v>
      </c>
      <c r="H1219" s="7" t="s">
        <v>79</v>
      </c>
      <c r="I1219" s="7">
        <v>46.813499999999998</v>
      </c>
      <c r="J1219" s="7">
        <v>-71.215900000000005</v>
      </c>
      <c r="K1219" s="7">
        <v>46.822000000000003</v>
      </c>
      <c r="L1219" s="7">
        <v>-71.345699999999994</v>
      </c>
      <c r="M1219" s="10" t="str">
        <f t="shared" si="113"/>
        <v>C15</v>
      </c>
      <c r="N1219" s="10" t="str">
        <f t="shared" si="114"/>
        <v>C63</v>
      </c>
      <c r="O1219" s="5">
        <f t="shared" si="115"/>
        <v>9.9219965756347683</v>
      </c>
      <c r="P1219" s="22">
        <f>O1219/Explications!$C$8</f>
        <v>0.33073321918782561</v>
      </c>
      <c r="Q1219" s="7" t="str">
        <f t="shared" si="116"/>
        <v>C63</v>
      </c>
      <c r="R1219" s="7" t="str">
        <f t="shared" si="117"/>
        <v>C15</v>
      </c>
      <c r="S1219" s="18">
        <f t="shared" si="118"/>
        <v>9.9219965756347683</v>
      </c>
      <c r="T1219" s="18">
        <f>S1219/Explications!$C$8</f>
        <v>0.33073321918782561</v>
      </c>
    </row>
    <row r="1220" spans="7:20">
      <c r="G1220" s="7" t="s">
        <v>31</v>
      </c>
      <c r="H1220" s="7" t="s">
        <v>80</v>
      </c>
      <c r="I1220" s="7">
        <v>46.813499999999998</v>
      </c>
      <c r="J1220" s="7">
        <v>-71.215900000000005</v>
      </c>
      <c r="K1220" s="7">
        <v>46.779400000000003</v>
      </c>
      <c r="L1220" s="7">
        <v>-71.350399999999993</v>
      </c>
      <c r="M1220" s="10" t="str">
        <f t="shared" ref="M1220:M1283" si="119">G1220</f>
        <v>C15</v>
      </c>
      <c r="N1220" s="10" t="str">
        <f t="shared" ref="N1220:N1283" si="120">H1220</f>
        <v>C64</v>
      </c>
      <c r="O1220" s="5">
        <f t="shared" ref="O1220:O1283" si="121">ACOS(SIN(RADIANS(I1220))*SIN(RADIANS(K1220))+COS(RADIANS(I1220))*COS(RADIANS(K1220))*COS(RADIANS(J1220-L1220)))*6371</f>
        <v>10.918131483505082</v>
      </c>
      <c r="P1220" s="22">
        <f>O1220/Explications!$C$8</f>
        <v>0.36393771611683606</v>
      </c>
      <c r="Q1220" s="7" t="str">
        <f t="shared" ref="Q1220:Q1283" si="122">N1220</f>
        <v>C64</v>
      </c>
      <c r="R1220" s="7" t="str">
        <f t="shared" ref="R1220:R1283" si="123">M1220</f>
        <v>C15</v>
      </c>
      <c r="S1220" s="18">
        <f t="shared" ref="S1220:S1283" si="124">O1220</f>
        <v>10.918131483505082</v>
      </c>
      <c r="T1220" s="18">
        <f>S1220/Explications!$C$8</f>
        <v>0.36393771611683606</v>
      </c>
    </row>
    <row r="1221" spans="7:20">
      <c r="G1221" s="7" t="s">
        <v>31</v>
      </c>
      <c r="H1221" s="7" t="s">
        <v>81</v>
      </c>
      <c r="I1221" s="7">
        <v>46.813499999999998</v>
      </c>
      <c r="J1221" s="7">
        <v>-71.215900000000005</v>
      </c>
      <c r="K1221" s="7">
        <v>46.772300000000001</v>
      </c>
      <c r="L1221" s="7">
        <v>-71.279799999999994</v>
      </c>
      <c r="M1221" s="10" t="str">
        <f t="shared" si="119"/>
        <v>C15</v>
      </c>
      <c r="N1221" s="10" t="str">
        <f t="shared" si="120"/>
        <v>C65</v>
      </c>
      <c r="O1221" s="5">
        <f t="shared" si="121"/>
        <v>6.6822101376042724</v>
      </c>
      <c r="P1221" s="22">
        <f>O1221/Explications!$C$8</f>
        <v>0.22274033792014242</v>
      </c>
      <c r="Q1221" s="7" t="str">
        <f t="shared" si="122"/>
        <v>C65</v>
      </c>
      <c r="R1221" s="7" t="str">
        <f t="shared" si="123"/>
        <v>C15</v>
      </c>
      <c r="S1221" s="18">
        <f t="shared" si="124"/>
        <v>6.6822101376042724</v>
      </c>
      <c r="T1221" s="18">
        <f>S1221/Explications!$C$8</f>
        <v>0.22274033792014242</v>
      </c>
    </row>
    <row r="1222" spans="7:20">
      <c r="G1222" s="7" t="s">
        <v>31</v>
      </c>
      <c r="H1222" s="7" t="s">
        <v>82</v>
      </c>
      <c r="I1222" s="7">
        <v>46.813499999999998</v>
      </c>
      <c r="J1222" s="7">
        <v>-71.215900000000005</v>
      </c>
      <c r="K1222" s="7">
        <v>46.814900000000002</v>
      </c>
      <c r="L1222" s="7">
        <v>-71.225200000000001</v>
      </c>
      <c r="M1222" s="10" t="str">
        <f t="shared" si="119"/>
        <v>C15</v>
      </c>
      <c r="N1222" s="10" t="str">
        <f t="shared" si="120"/>
        <v>C66</v>
      </c>
      <c r="O1222" s="5">
        <f t="shared" si="121"/>
        <v>0.72463124811763424</v>
      </c>
      <c r="P1222" s="22">
        <f>O1222/Explications!$C$8</f>
        <v>2.4154374937254475E-2</v>
      </c>
      <c r="Q1222" s="7" t="str">
        <f t="shared" si="122"/>
        <v>C66</v>
      </c>
      <c r="R1222" s="7" t="str">
        <f t="shared" si="123"/>
        <v>C15</v>
      </c>
      <c r="S1222" s="18">
        <f t="shared" si="124"/>
        <v>0.72463124811763424</v>
      </c>
      <c r="T1222" s="18">
        <f>S1222/Explications!$C$8</f>
        <v>2.4154374937254475E-2</v>
      </c>
    </row>
    <row r="1223" spans="7:20">
      <c r="G1223" s="7" t="s">
        <v>31</v>
      </c>
      <c r="H1223" s="7" t="s">
        <v>83</v>
      </c>
      <c r="I1223" s="7">
        <v>46.813499999999998</v>
      </c>
      <c r="J1223" s="7">
        <v>-71.215900000000005</v>
      </c>
      <c r="K1223" s="7">
        <v>46.814700000000002</v>
      </c>
      <c r="L1223" s="7">
        <v>-71.207300000000004</v>
      </c>
      <c r="M1223" s="10" t="str">
        <f t="shared" si="119"/>
        <v>C15</v>
      </c>
      <c r="N1223" s="10" t="str">
        <f t="shared" si="120"/>
        <v>C67</v>
      </c>
      <c r="O1223" s="5">
        <f t="shared" si="121"/>
        <v>0.66790898200209381</v>
      </c>
      <c r="P1223" s="22">
        <f>O1223/Explications!$C$8</f>
        <v>2.2263632733403128E-2</v>
      </c>
      <c r="Q1223" s="7" t="str">
        <f t="shared" si="122"/>
        <v>C67</v>
      </c>
      <c r="R1223" s="7" t="str">
        <f t="shared" si="123"/>
        <v>C15</v>
      </c>
      <c r="S1223" s="18">
        <f t="shared" si="124"/>
        <v>0.66790898200209381</v>
      </c>
      <c r="T1223" s="18">
        <f>S1223/Explications!$C$8</f>
        <v>2.2263632733403128E-2</v>
      </c>
    </row>
    <row r="1224" spans="7:20">
      <c r="G1224" s="7" t="s">
        <v>31</v>
      </c>
      <c r="H1224" s="7" t="s">
        <v>84</v>
      </c>
      <c r="I1224" s="7">
        <v>46.813499999999998</v>
      </c>
      <c r="J1224" s="7">
        <v>-71.215900000000005</v>
      </c>
      <c r="K1224" s="7">
        <v>46.815600000000003</v>
      </c>
      <c r="L1224" s="7">
        <v>-71.2029</v>
      </c>
      <c r="M1224" s="10" t="str">
        <f t="shared" si="119"/>
        <v>C15</v>
      </c>
      <c r="N1224" s="10" t="str">
        <f t="shared" si="120"/>
        <v>C68</v>
      </c>
      <c r="O1224" s="5">
        <f t="shared" si="121"/>
        <v>1.016454041855994</v>
      </c>
      <c r="P1224" s="22">
        <f>O1224/Explications!$C$8</f>
        <v>3.38818013951998E-2</v>
      </c>
      <c r="Q1224" s="7" t="str">
        <f t="shared" si="122"/>
        <v>C68</v>
      </c>
      <c r="R1224" s="7" t="str">
        <f t="shared" si="123"/>
        <v>C15</v>
      </c>
      <c r="S1224" s="18">
        <f t="shared" si="124"/>
        <v>1.016454041855994</v>
      </c>
      <c r="T1224" s="18">
        <f>S1224/Explications!$C$8</f>
        <v>3.38818013951998E-2</v>
      </c>
    </row>
    <row r="1225" spans="7:20">
      <c r="G1225" s="7" t="s">
        <v>31</v>
      </c>
      <c r="H1225" s="7" t="s">
        <v>85</v>
      </c>
      <c r="I1225" s="7">
        <v>46.813499999999998</v>
      </c>
      <c r="J1225" s="7">
        <v>-71.215900000000005</v>
      </c>
      <c r="K1225" s="7">
        <v>46.821899999999999</v>
      </c>
      <c r="L1225" s="7">
        <v>-71.249899999999997</v>
      </c>
      <c r="M1225" s="10" t="str">
        <f t="shared" si="119"/>
        <v>C15</v>
      </c>
      <c r="N1225" s="10" t="str">
        <f t="shared" si="120"/>
        <v>C69</v>
      </c>
      <c r="O1225" s="5">
        <f t="shared" si="121"/>
        <v>2.7506097835657144</v>
      </c>
      <c r="P1225" s="22">
        <f>O1225/Explications!$C$8</f>
        <v>9.1686992785523808E-2</v>
      </c>
      <c r="Q1225" s="7" t="str">
        <f t="shared" si="122"/>
        <v>C69</v>
      </c>
      <c r="R1225" s="7" t="str">
        <f t="shared" si="123"/>
        <v>C15</v>
      </c>
      <c r="S1225" s="18">
        <f t="shared" si="124"/>
        <v>2.7506097835657144</v>
      </c>
      <c r="T1225" s="18">
        <f>S1225/Explications!$C$8</f>
        <v>9.1686992785523808E-2</v>
      </c>
    </row>
    <row r="1226" spans="7:20">
      <c r="G1226" s="7" t="s">
        <v>31</v>
      </c>
      <c r="H1226" s="7" t="s">
        <v>86</v>
      </c>
      <c r="I1226" s="7">
        <v>46.813499999999998</v>
      </c>
      <c r="J1226" s="7">
        <v>-71.215900000000005</v>
      </c>
      <c r="K1226" s="7">
        <v>46.8872</v>
      </c>
      <c r="L1226" s="7">
        <v>-71.27</v>
      </c>
      <c r="M1226" s="10" t="str">
        <f t="shared" si="119"/>
        <v>C15</v>
      </c>
      <c r="N1226" s="10" t="str">
        <f t="shared" si="120"/>
        <v>C70</v>
      </c>
      <c r="O1226" s="5">
        <f t="shared" si="121"/>
        <v>9.1697996155402173</v>
      </c>
      <c r="P1226" s="22">
        <f>O1226/Explications!$C$8</f>
        <v>0.30565998718467391</v>
      </c>
      <c r="Q1226" s="7" t="str">
        <f t="shared" si="122"/>
        <v>C70</v>
      </c>
      <c r="R1226" s="7" t="str">
        <f t="shared" si="123"/>
        <v>C15</v>
      </c>
      <c r="S1226" s="18">
        <f t="shared" si="124"/>
        <v>9.1697996155402173</v>
      </c>
      <c r="T1226" s="18">
        <f>S1226/Explications!$C$8</f>
        <v>0.30565998718467391</v>
      </c>
    </row>
    <row r="1227" spans="7:20">
      <c r="G1227" s="7" t="s">
        <v>31</v>
      </c>
      <c r="H1227" s="7" t="s">
        <v>87</v>
      </c>
      <c r="I1227" s="7">
        <v>46.813499999999998</v>
      </c>
      <c r="J1227" s="7">
        <v>-71.215900000000005</v>
      </c>
      <c r="K1227" s="7">
        <v>46.816299999999998</v>
      </c>
      <c r="L1227" s="7">
        <v>-71.210300000000004</v>
      </c>
      <c r="M1227" s="10" t="str">
        <f t="shared" si="119"/>
        <v>C15</v>
      </c>
      <c r="N1227" s="10" t="str">
        <f t="shared" si="120"/>
        <v>C71</v>
      </c>
      <c r="O1227" s="5">
        <f t="shared" si="121"/>
        <v>0.52776379082395009</v>
      </c>
      <c r="P1227" s="22">
        <f>O1227/Explications!$C$8</f>
        <v>1.7592126360798335E-2</v>
      </c>
      <c r="Q1227" s="7" t="str">
        <f t="shared" si="122"/>
        <v>C71</v>
      </c>
      <c r="R1227" s="7" t="str">
        <f t="shared" si="123"/>
        <v>C15</v>
      </c>
      <c r="S1227" s="18">
        <f t="shared" si="124"/>
        <v>0.52776379082395009</v>
      </c>
      <c r="T1227" s="18">
        <f>S1227/Explications!$C$8</f>
        <v>1.7592126360798335E-2</v>
      </c>
    </row>
    <row r="1228" spans="7:20">
      <c r="G1228" s="7" t="s">
        <v>31</v>
      </c>
      <c r="H1228" s="7" t="s">
        <v>88</v>
      </c>
      <c r="I1228" s="7">
        <v>46.813499999999998</v>
      </c>
      <c r="J1228" s="7">
        <v>-71.215900000000005</v>
      </c>
      <c r="K1228" s="7">
        <v>46.807000000000002</v>
      </c>
      <c r="L1228" s="7">
        <v>-71.3566</v>
      </c>
      <c r="M1228" s="10" t="str">
        <f t="shared" si="119"/>
        <v>C15</v>
      </c>
      <c r="N1228" s="10" t="str">
        <f t="shared" si="120"/>
        <v>C72</v>
      </c>
      <c r="O1228" s="5">
        <f t="shared" si="121"/>
        <v>10.732149326235463</v>
      </c>
      <c r="P1228" s="22">
        <f>O1228/Explications!$C$8</f>
        <v>0.35773831087451546</v>
      </c>
      <c r="Q1228" s="7" t="str">
        <f t="shared" si="122"/>
        <v>C72</v>
      </c>
      <c r="R1228" s="7" t="str">
        <f t="shared" si="123"/>
        <v>C15</v>
      </c>
      <c r="S1228" s="18">
        <f t="shared" si="124"/>
        <v>10.732149326235463</v>
      </c>
      <c r="T1228" s="18">
        <f>S1228/Explications!$C$8</f>
        <v>0.35773831087451546</v>
      </c>
    </row>
    <row r="1229" spans="7:20">
      <c r="G1229" s="7" t="s">
        <v>31</v>
      </c>
      <c r="H1229" s="7" t="s">
        <v>89</v>
      </c>
      <c r="I1229" s="7">
        <v>46.813499999999998</v>
      </c>
      <c r="J1229" s="7">
        <v>-71.215900000000005</v>
      </c>
      <c r="K1229" s="7">
        <v>46.822899999999997</v>
      </c>
      <c r="L1229" s="7">
        <v>-71.341899999999995</v>
      </c>
      <c r="M1229" s="10" t="str">
        <f t="shared" si="119"/>
        <v>C15</v>
      </c>
      <c r="N1229" s="10" t="str">
        <f t="shared" si="120"/>
        <v>C73</v>
      </c>
      <c r="O1229" s="5">
        <f t="shared" si="121"/>
        <v>9.6444496605941978</v>
      </c>
      <c r="P1229" s="22">
        <f>O1229/Explications!$C$8</f>
        <v>0.32148165535313994</v>
      </c>
      <c r="Q1229" s="7" t="str">
        <f t="shared" si="122"/>
        <v>C73</v>
      </c>
      <c r="R1229" s="7" t="str">
        <f t="shared" si="123"/>
        <v>C15</v>
      </c>
      <c r="S1229" s="18">
        <f t="shared" si="124"/>
        <v>9.6444496605941978</v>
      </c>
      <c r="T1229" s="18">
        <f>S1229/Explications!$C$8</f>
        <v>0.32148165535313994</v>
      </c>
    </row>
    <row r="1230" spans="7:20">
      <c r="G1230" s="7" t="s">
        <v>31</v>
      </c>
      <c r="H1230" s="7" t="s">
        <v>90</v>
      </c>
      <c r="I1230" s="7">
        <v>46.813499999999998</v>
      </c>
      <c r="J1230" s="7">
        <v>-71.215900000000005</v>
      </c>
      <c r="K1230" s="7">
        <v>46.730699999999999</v>
      </c>
      <c r="L1230" s="7">
        <v>-71.261099999999999</v>
      </c>
      <c r="M1230" s="10" t="str">
        <f t="shared" si="119"/>
        <v>C15</v>
      </c>
      <c r="N1230" s="10" t="str">
        <f t="shared" si="120"/>
        <v>C74</v>
      </c>
      <c r="O1230" s="5">
        <f t="shared" si="121"/>
        <v>9.8294116310517605</v>
      </c>
      <c r="P1230" s="22">
        <f>O1230/Explications!$C$8</f>
        <v>0.32764705436839203</v>
      </c>
      <c r="Q1230" s="7" t="str">
        <f t="shared" si="122"/>
        <v>C74</v>
      </c>
      <c r="R1230" s="7" t="str">
        <f t="shared" si="123"/>
        <v>C15</v>
      </c>
      <c r="S1230" s="18">
        <f t="shared" si="124"/>
        <v>9.8294116310517605</v>
      </c>
      <c r="T1230" s="18">
        <f>S1230/Explications!$C$8</f>
        <v>0.32764705436839203</v>
      </c>
    </row>
    <row r="1231" spans="7:20">
      <c r="G1231" s="7" t="s">
        <v>31</v>
      </c>
      <c r="H1231" s="7" t="s">
        <v>91</v>
      </c>
      <c r="I1231" s="7">
        <v>46.813499999999998</v>
      </c>
      <c r="J1231" s="7">
        <v>-71.215900000000005</v>
      </c>
      <c r="K1231" s="7">
        <v>46.840600000000002</v>
      </c>
      <c r="L1231" s="7">
        <v>-71.289100000000005</v>
      </c>
      <c r="M1231" s="10" t="str">
        <f t="shared" si="119"/>
        <v>C15</v>
      </c>
      <c r="N1231" s="10" t="str">
        <f t="shared" si="120"/>
        <v>C75</v>
      </c>
      <c r="O1231" s="5">
        <f t="shared" si="121"/>
        <v>6.3320425777000011</v>
      </c>
      <c r="P1231" s="22">
        <f>O1231/Explications!$C$8</f>
        <v>0.21106808592333337</v>
      </c>
      <c r="Q1231" s="7" t="str">
        <f t="shared" si="122"/>
        <v>C75</v>
      </c>
      <c r="R1231" s="7" t="str">
        <f t="shared" si="123"/>
        <v>C15</v>
      </c>
      <c r="S1231" s="18">
        <f t="shared" si="124"/>
        <v>6.3320425777000011</v>
      </c>
      <c r="T1231" s="18">
        <f>S1231/Explications!$C$8</f>
        <v>0.21106808592333337</v>
      </c>
    </row>
    <row r="1232" spans="7:20">
      <c r="G1232" s="7" t="s">
        <v>31</v>
      </c>
      <c r="H1232" s="7" t="s">
        <v>92</v>
      </c>
      <c r="I1232" s="7">
        <v>46.813499999999998</v>
      </c>
      <c r="J1232" s="7">
        <v>-71.215900000000005</v>
      </c>
      <c r="K1232" s="7">
        <v>46.840600000000002</v>
      </c>
      <c r="L1232" s="7">
        <v>-71.281599999999997</v>
      </c>
      <c r="M1232" s="10" t="str">
        <f t="shared" si="119"/>
        <v>C15</v>
      </c>
      <c r="N1232" s="10" t="str">
        <f t="shared" si="120"/>
        <v>C76</v>
      </c>
      <c r="O1232" s="5">
        <f t="shared" si="121"/>
        <v>5.836519494611407</v>
      </c>
      <c r="P1232" s="22">
        <f>O1232/Explications!$C$8</f>
        <v>0.19455064982038023</v>
      </c>
      <c r="Q1232" s="7" t="str">
        <f t="shared" si="122"/>
        <v>C76</v>
      </c>
      <c r="R1232" s="7" t="str">
        <f t="shared" si="123"/>
        <v>C15</v>
      </c>
      <c r="S1232" s="18">
        <f t="shared" si="124"/>
        <v>5.836519494611407</v>
      </c>
      <c r="T1232" s="18">
        <f>S1232/Explications!$C$8</f>
        <v>0.19455064982038023</v>
      </c>
    </row>
    <row r="1233" spans="7:20">
      <c r="G1233" s="7" t="s">
        <v>31</v>
      </c>
      <c r="H1233" s="7" t="s">
        <v>93</v>
      </c>
      <c r="I1233" s="7">
        <v>46.813499999999998</v>
      </c>
      <c r="J1233" s="7">
        <v>-71.215900000000005</v>
      </c>
      <c r="K1233" s="7">
        <v>46.839399999999998</v>
      </c>
      <c r="L1233" s="7">
        <v>-71.282600000000002</v>
      </c>
      <c r="M1233" s="10" t="str">
        <f t="shared" si="119"/>
        <v>C15</v>
      </c>
      <c r="N1233" s="10" t="str">
        <f t="shared" si="120"/>
        <v>C77</v>
      </c>
      <c r="O1233" s="5">
        <f t="shared" si="121"/>
        <v>5.8348535081465478</v>
      </c>
      <c r="P1233" s="22">
        <f>O1233/Explications!$C$8</f>
        <v>0.19449511693821825</v>
      </c>
      <c r="Q1233" s="7" t="str">
        <f t="shared" si="122"/>
        <v>C77</v>
      </c>
      <c r="R1233" s="7" t="str">
        <f t="shared" si="123"/>
        <v>C15</v>
      </c>
      <c r="S1233" s="18">
        <f t="shared" si="124"/>
        <v>5.8348535081465478</v>
      </c>
      <c r="T1233" s="18">
        <f>S1233/Explications!$C$8</f>
        <v>0.19449511693821825</v>
      </c>
    </row>
    <row r="1234" spans="7:20">
      <c r="G1234" s="7" t="s">
        <v>31</v>
      </c>
      <c r="H1234" s="7" t="s">
        <v>94</v>
      </c>
      <c r="I1234" s="7">
        <v>46.813499999999998</v>
      </c>
      <c r="J1234" s="7">
        <v>-71.215900000000005</v>
      </c>
      <c r="K1234" s="7">
        <v>46.788499999999999</v>
      </c>
      <c r="L1234" s="7">
        <v>-71.282399999999996</v>
      </c>
      <c r="M1234" s="10" t="str">
        <f t="shared" si="119"/>
        <v>C15</v>
      </c>
      <c r="N1234" s="10" t="str">
        <f t="shared" si="120"/>
        <v>C78</v>
      </c>
      <c r="O1234" s="5">
        <f t="shared" si="121"/>
        <v>5.7748718914906547</v>
      </c>
      <c r="P1234" s="22">
        <f>O1234/Explications!$C$8</f>
        <v>0.19249572971635515</v>
      </c>
      <c r="Q1234" s="7" t="str">
        <f t="shared" si="122"/>
        <v>C78</v>
      </c>
      <c r="R1234" s="7" t="str">
        <f t="shared" si="123"/>
        <v>C15</v>
      </c>
      <c r="S1234" s="18">
        <f t="shared" si="124"/>
        <v>5.7748718914906547</v>
      </c>
      <c r="T1234" s="18">
        <f>S1234/Explications!$C$8</f>
        <v>0.19249572971635515</v>
      </c>
    </row>
    <row r="1235" spans="7:20">
      <c r="G1235" s="7" t="s">
        <v>31</v>
      </c>
      <c r="H1235" s="7" t="s">
        <v>95</v>
      </c>
      <c r="I1235" s="7">
        <v>46.813499999999998</v>
      </c>
      <c r="J1235" s="7">
        <v>-71.215900000000005</v>
      </c>
      <c r="K1235" s="7">
        <v>46.840699999999998</v>
      </c>
      <c r="L1235" s="7">
        <v>-71.325400000000002</v>
      </c>
      <c r="M1235" s="10" t="str">
        <f t="shared" si="119"/>
        <v>C15</v>
      </c>
      <c r="N1235" s="10" t="str">
        <f t="shared" si="120"/>
        <v>C79</v>
      </c>
      <c r="O1235" s="5">
        <f t="shared" si="121"/>
        <v>8.8627775024856241</v>
      </c>
      <c r="P1235" s="22">
        <f>O1235/Explications!$C$8</f>
        <v>0.29542591674952079</v>
      </c>
      <c r="Q1235" s="7" t="str">
        <f t="shared" si="122"/>
        <v>C79</v>
      </c>
      <c r="R1235" s="7" t="str">
        <f t="shared" si="123"/>
        <v>C15</v>
      </c>
      <c r="S1235" s="18">
        <f t="shared" si="124"/>
        <v>8.8627775024856241</v>
      </c>
      <c r="T1235" s="18">
        <f>S1235/Explications!$C$8</f>
        <v>0.29542591674952079</v>
      </c>
    </row>
    <row r="1236" spans="7:20">
      <c r="G1236" s="7" t="s">
        <v>31</v>
      </c>
      <c r="H1236" s="7" t="s">
        <v>96</v>
      </c>
      <c r="I1236" s="7">
        <v>46.813499999999998</v>
      </c>
      <c r="J1236" s="7">
        <v>-71.215900000000005</v>
      </c>
      <c r="K1236" s="7">
        <v>46.798400000000001</v>
      </c>
      <c r="L1236" s="7">
        <v>-71.183199999999999</v>
      </c>
      <c r="M1236" s="10" t="str">
        <f t="shared" si="119"/>
        <v>C15</v>
      </c>
      <c r="N1236" s="10" t="str">
        <f t="shared" si="120"/>
        <v>C80</v>
      </c>
      <c r="O1236" s="5">
        <f t="shared" si="121"/>
        <v>3.0022084906120265</v>
      </c>
      <c r="P1236" s="22">
        <f>O1236/Explications!$C$8</f>
        <v>0.10007361635373421</v>
      </c>
      <c r="Q1236" s="7" t="str">
        <f t="shared" si="122"/>
        <v>C80</v>
      </c>
      <c r="R1236" s="7" t="str">
        <f t="shared" si="123"/>
        <v>C15</v>
      </c>
      <c r="S1236" s="18">
        <f t="shared" si="124"/>
        <v>3.0022084906120265</v>
      </c>
      <c r="T1236" s="18">
        <f>S1236/Explications!$C$8</f>
        <v>0.10007361635373421</v>
      </c>
    </row>
    <row r="1237" spans="7:20">
      <c r="G1237" s="7" t="s">
        <v>31</v>
      </c>
      <c r="H1237" s="7" t="s">
        <v>97</v>
      </c>
      <c r="I1237" s="7">
        <v>46.813499999999998</v>
      </c>
      <c r="J1237" s="7">
        <v>-71.215900000000005</v>
      </c>
      <c r="K1237" s="7">
        <v>46.724800000000002</v>
      </c>
      <c r="L1237" s="7">
        <v>-71.2988</v>
      </c>
      <c r="M1237" s="10" t="str">
        <f t="shared" si="119"/>
        <v>C15</v>
      </c>
      <c r="N1237" s="10" t="str">
        <f t="shared" si="120"/>
        <v>C81</v>
      </c>
      <c r="O1237" s="5">
        <f t="shared" si="121"/>
        <v>11.710797095071278</v>
      </c>
      <c r="P1237" s="22">
        <f>O1237/Explications!$C$8</f>
        <v>0.39035990316904262</v>
      </c>
      <c r="Q1237" s="7" t="str">
        <f t="shared" si="122"/>
        <v>C81</v>
      </c>
      <c r="R1237" s="7" t="str">
        <f t="shared" si="123"/>
        <v>C15</v>
      </c>
      <c r="S1237" s="18">
        <f t="shared" si="124"/>
        <v>11.710797095071278</v>
      </c>
      <c r="T1237" s="18">
        <f>S1237/Explications!$C$8</f>
        <v>0.39035990316904262</v>
      </c>
    </row>
    <row r="1238" spans="7:20">
      <c r="G1238" s="7" t="s">
        <v>31</v>
      </c>
      <c r="H1238" s="7" t="s">
        <v>98</v>
      </c>
      <c r="I1238" s="7">
        <v>46.813499999999998</v>
      </c>
      <c r="J1238" s="7">
        <v>-71.215900000000005</v>
      </c>
      <c r="K1238" s="7">
        <v>46.795499999999997</v>
      </c>
      <c r="L1238" s="7">
        <v>-71.242900000000006</v>
      </c>
      <c r="M1238" s="10" t="str">
        <f t="shared" si="119"/>
        <v>C15</v>
      </c>
      <c r="N1238" s="10" t="str">
        <f t="shared" si="120"/>
        <v>C82</v>
      </c>
      <c r="O1238" s="5">
        <f t="shared" si="121"/>
        <v>2.8686474342506663</v>
      </c>
      <c r="P1238" s="22">
        <f>O1238/Explications!$C$8</f>
        <v>9.562158114168888E-2</v>
      </c>
      <c r="Q1238" s="7" t="str">
        <f t="shared" si="122"/>
        <v>C82</v>
      </c>
      <c r="R1238" s="7" t="str">
        <f t="shared" si="123"/>
        <v>C15</v>
      </c>
      <c r="S1238" s="18">
        <f t="shared" si="124"/>
        <v>2.8686474342506663</v>
      </c>
      <c r="T1238" s="18">
        <f>S1238/Explications!$C$8</f>
        <v>9.562158114168888E-2</v>
      </c>
    </row>
    <row r="1239" spans="7:20">
      <c r="G1239" s="7" t="s">
        <v>31</v>
      </c>
      <c r="H1239" s="7" t="s">
        <v>99</v>
      </c>
      <c r="I1239" s="7">
        <v>46.813499999999998</v>
      </c>
      <c r="J1239" s="7">
        <v>-71.215900000000005</v>
      </c>
      <c r="K1239" s="7">
        <v>46.8157</v>
      </c>
      <c r="L1239" s="7">
        <v>-71.201899999999995</v>
      </c>
      <c r="M1239" s="10" t="str">
        <f t="shared" si="119"/>
        <v>C15</v>
      </c>
      <c r="N1239" s="10" t="str">
        <f t="shared" si="120"/>
        <v>C83</v>
      </c>
      <c r="O1239" s="5">
        <f t="shared" si="121"/>
        <v>1.0930901506271198</v>
      </c>
      <c r="P1239" s="22">
        <f>O1239/Explications!$C$8</f>
        <v>3.6436338354237326E-2</v>
      </c>
      <c r="Q1239" s="7" t="str">
        <f t="shared" si="122"/>
        <v>C83</v>
      </c>
      <c r="R1239" s="7" t="str">
        <f t="shared" si="123"/>
        <v>C15</v>
      </c>
      <c r="S1239" s="18">
        <f t="shared" si="124"/>
        <v>1.0930901506271198</v>
      </c>
      <c r="T1239" s="18">
        <f>S1239/Explications!$C$8</f>
        <v>3.6436338354237326E-2</v>
      </c>
    </row>
    <row r="1240" spans="7:20">
      <c r="G1240" s="7" t="s">
        <v>31</v>
      </c>
      <c r="H1240" s="7" t="s">
        <v>100</v>
      </c>
      <c r="I1240" s="7">
        <v>46.813499999999998</v>
      </c>
      <c r="J1240" s="7">
        <v>-71.215900000000005</v>
      </c>
      <c r="K1240" s="7">
        <v>46.837600000000002</v>
      </c>
      <c r="L1240" s="7">
        <v>-71.196299999999994</v>
      </c>
      <c r="M1240" s="10" t="str">
        <f t="shared" si="119"/>
        <v>C15</v>
      </c>
      <c r="N1240" s="10" t="str">
        <f t="shared" si="120"/>
        <v>C84</v>
      </c>
      <c r="O1240" s="5">
        <f t="shared" si="121"/>
        <v>3.0667597412994203</v>
      </c>
      <c r="P1240" s="22">
        <f>O1240/Explications!$C$8</f>
        <v>0.10222532470998068</v>
      </c>
      <c r="Q1240" s="7" t="str">
        <f t="shared" si="122"/>
        <v>C84</v>
      </c>
      <c r="R1240" s="7" t="str">
        <f t="shared" si="123"/>
        <v>C15</v>
      </c>
      <c r="S1240" s="18">
        <f t="shared" si="124"/>
        <v>3.0667597412994203</v>
      </c>
      <c r="T1240" s="18">
        <f>S1240/Explications!$C$8</f>
        <v>0.10222532470998068</v>
      </c>
    </row>
    <row r="1241" spans="7:20">
      <c r="G1241" s="7" t="s">
        <v>31</v>
      </c>
      <c r="H1241" s="7" t="s">
        <v>101</v>
      </c>
      <c r="I1241" s="7">
        <v>46.813499999999998</v>
      </c>
      <c r="J1241" s="7">
        <v>-71.215900000000005</v>
      </c>
      <c r="K1241" s="7">
        <v>46.7988</v>
      </c>
      <c r="L1241" s="7">
        <v>-71.318200000000004</v>
      </c>
      <c r="M1241" s="10" t="str">
        <f t="shared" si="119"/>
        <v>C15</v>
      </c>
      <c r="N1241" s="10" t="str">
        <f t="shared" si="120"/>
        <v>C85</v>
      </c>
      <c r="O1241" s="5">
        <f t="shared" si="121"/>
        <v>7.9557251046309654</v>
      </c>
      <c r="P1241" s="22">
        <f>O1241/Explications!$C$8</f>
        <v>0.26519083682103217</v>
      </c>
      <c r="Q1241" s="7" t="str">
        <f t="shared" si="122"/>
        <v>C85</v>
      </c>
      <c r="R1241" s="7" t="str">
        <f t="shared" si="123"/>
        <v>C15</v>
      </c>
      <c r="S1241" s="18">
        <f t="shared" si="124"/>
        <v>7.9557251046309654</v>
      </c>
      <c r="T1241" s="18">
        <f>S1241/Explications!$C$8</f>
        <v>0.26519083682103217</v>
      </c>
    </row>
    <row r="1242" spans="7:20">
      <c r="G1242" s="7" t="s">
        <v>32</v>
      </c>
      <c r="H1242" s="7" t="s">
        <v>33</v>
      </c>
      <c r="I1242" s="7">
        <v>46.733699999999999</v>
      </c>
      <c r="J1242" s="7">
        <v>-71.270099999999999</v>
      </c>
      <c r="K1242" s="7">
        <v>46.8035</v>
      </c>
      <c r="L1242" s="7">
        <v>-71.3553</v>
      </c>
      <c r="M1242" s="10" t="str">
        <f t="shared" si="119"/>
        <v>C16</v>
      </c>
      <c r="N1242" s="10" t="str">
        <f t="shared" si="120"/>
        <v>C17</v>
      </c>
      <c r="O1242" s="5">
        <f t="shared" si="121"/>
        <v>10.116678474201047</v>
      </c>
      <c r="P1242" s="22">
        <f>O1242/Explications!$C$8</f>
        <v>0.33722261580670154</v>
      </c>
      <c r="Q1242" s="7" t="str">
        <f t="shared" si="122"/>
        <v>C17</v>
      </c>
      <c r="R1242" s="7" t="str">
        <f t="shared" si="123"/>
        <v>C16</v>
      </c>
      <c r="S1242" s="18">
        <f t="shared" si="124"/>
        <v>10.116678474201047</v>
      </c>
      <c r="T1242" s="18">
        <f>S1242/Explications!$C$8</f>
        <v>0.33722261580670154</v>
      </c>
    </row>
    <row r="1243" spans="7:20">
      <c r="G1243" s="7" t="s">
        <v>32</v>
      </c>
      <c r="H1243" s="7" t="s">
        <v>34</v>
      </c>
      <c r="I1243" s="7">
        <v>46.733699999999999</v>
      </c>
      <c r="J1243" s="7">
        <v>-71.270099999999999</v>
      </c>
      <c r="K1243" s="7">
        <v>46.730200000000004</v>
      </c>
      <c r="L1243" s="7">
        <v>-71.274100000000004</v>
      </c>
      <c r="M1243" s="10" t="str">
        <f t="shared" si="119"/>
        <v>C16</v>
      </c>
      <c r="N1243" s="10" t="str">
        <f t="shared" si="120"/>
        <v>C18</v>
      </c>
      <c r="O1243" s="5">
        <f t="shared" si="121"/>
        <v>0.49436922686562479</v>
      </c>
      <c r="P1243" s="22">
        <f>O1243/Explications!$C$8</f>
        <v>1.6478974228854158E-2</v>
      </c>
      <c r="Q1243" s="7" t="str">
        <f t="shared" si="122"/>
        <v>C18</v>
      </c>
      <c r="R1243" s="7" t="str">
        <f t="shared" si="123"/>
        <v>C16</v>
      </c>
      <c r="S1243" s="18">
        <f t="shared" si="124"/>
        <v>0.49436922686562479</v>
      </c>
      <c r="T1243" s="18">
        <f>S1243/Explications!$C$8</f>
        <v>1.6478974228854158E-2</v>
      </c>
    </row>
    <row r="1244" spans="7:20">
      <c r="G1244" s="7" t="s">
        <v>32</v>
      </c>
      <c r="H1244" s="7" t="s">
        <v>35</v>
      </c>
      <c r="I1244" s="7">
        <v>46.733699999999999</v>
      </c>
      <c r="J1244" s="7">
        <v>-71.270099999999999</v>
      </c>
      <c r="K1244" s="7">
        <v>46.785600000000002</v>
      </c>
      <c r="L1244" s="7">
        <v>-71.245500000000007</v>
      </c>
      <c r="M1244" s="10" t="str">
        <f t="shared" si="119"/>
        <v>C16</v>
      </c>
      <c r="N1244" s="10" t="str">
        <f t="shared" si="120"/>
        <v>C19</v>
      </c>
      <c r="O1244" s="5">
        <f t="shared" si="121"/>
        <v>6.0676332935437296</v>
      </c>
      <c r="P1244" s="22">
        <f>O1244/Explications!$C$8</f>
        <v>0.20225444311812432</v>
      </c>
      <c r="Q1244" s="7" t="str">
        <f t="shared" si="122"/>
        <v>C19</v>
      </c>
      <c r="R1244" s="7" t="str">
        <f t="shared" si="123"/>
        <v>C16</v>
      </c>
      <c r="S1244" s="18">
        <f t="shared" si="124"/>
        <v>6.0676332935437296</v>
      </c>
      <c r="T1244" s="18">
        <f>S1244/Explications!$C$8</f>
        <v>0.20225444311812432</v>
      </c>
    </row>
    <row r="1245" spans="7:20">
      <c r="G1245" s="7" t="s">
        <v>32</v>
      </c>
      <c r="H1245" s="7" t="s">
        <v>36</v>
      </c>
      <c r="I1245" s="7">
        <v>46.733699999999999</v>
      </c>
      <c r="J1245" s="7">
        <v>-71.270099999999999</v>
      </c>
      <c r="K1245" s="7">
        <v>46.8215</v>
      </c>
      <c r="L1245" s="7">
        <v>-71.355400000000003</v>
      </c>
      <c r="M1245" s="10" t="str">
        <f t="shared" si="119"/>
        <v>C16</v>
      </c>
      <c r="N1245" s="10" t="str">
        <f t="shared" si="120"/>
        <v>C20</v>
      </c>
      <c r="O1245" s="5">
        <f t="shared" si="121"/>
        <v>11.726339904023346</v>
      </c>
      <c r="P1245" s="22">
        <f>O1245/Explications!$C$8</f>
        <v>0.39087799680077823</v>
      </c>
      <c r="Q1245" s="7" t="str">
        <f t="shared" si="122"/>
        <v>C20</v>
      </c>
      <c r="R1245" s="7" t="str">
        <f t="shared" si="123"/>
        <v>C16</v>
      </c>
      <c r="S1245" s="18">
        <f t="shared" si="124"/>
        <v>11.726339904023346</v>
      </c>
      <c r="T1245" s="18">
        <f>S1245/Explications!$C$8</f>
        <v>0.39087799680077823</v>
      </c>
    </row>
    <row r="1246" spans="7:20">
      <c r="G1246" s="7" t="s">
        <v>32</v>
      </c>
      <c r="H1246" s="7" t="s">
        <v>37</v>
      </c>
      <c r="I1246" s="7">
        <v>46.733699999999999</v>
      </c>
      <c r="J1246" s="7">
        <v>-71.270099999999999</v>
      </c>
      <c r="K1246" s="7">
        <v>46.8093</v>
      </c>
      <c r="L1246" s="7">
        <v>-71.2273</v>
      </c>
      <c r="M1246" s="10" t="str">
        <f t="shared" si="119"/>
        <v>C16</v>
      </c>
      <c r="N1246" s="10" t="str">
        <f t="shared" si="120"/>
        <v>C21</v>
      </c>
      <c r="O1246" s="5">
        <f t="shared" si="121"/>
        <v>9.016172426844772</v>
      </c>
      <c r="P1246" s="22">
        <f>O1246/Explications!$C$8</f>
        <v>0.30053908089482573</v>
      </c>
      <c r="Q1246" s="7" t="str">
        <f t="shared" si="122"/>
        <v>C21</v>
      </c>
      <c r="R1246" s="7" t="str">
        <f t="shared" si="123"/>
        <v>C16</v>
      </c>
      <c r="S1246" s="18">
        <f t="shared" si="124"/>
        <v>9.016172426844772</v>
      </c>
      <c r="T1246" s="18">
        <f>S1246/Explications!$C$8</f>
        <v>0.30053908089482573</v>
      </c>
    </row>
    <row r="1247" spans="7:20">
      <c r="G1247" s="7" t="s">
        <v>32</v>
      </c>
      <c r="H1247" s="7" t="s">
        <v>38</v>
      </c>
      <c r="I1247" s="7">
        <v>46.733699999999999</v>
      </c>
      <c r="J1247" s="7">
        <v>-71.270099999999999</v>
      </c>
      <c r="K1247" s="7">
        <v>46.781300000000002</v>
      </c>
      <c r="L1247" s="7">
        <v>-71.301000000000002</v>
      </c>
      <c r="M1247" s="10" t="str">
        <f t="shared" si="119"/>
        <v>C16</v>
      </c>
      <c r="N1247" s="10" t="str">
        <f t="shared" si="120"/>
        <v>C22</v>
      </c>
      <c r="O1247" s="5">
        <f t="shared" si="121"/>
        <v>5.7927063498331197</v>
      </c>
      <c r="P1247" s="22">
        <f>O1247/Explications!$C$8</f>
        <v>0.19309021166110399</v>
      </c>
      <c r="Q1247" s="7" t="str">
        <f t="shared" si="122"/>
        <v>C22</v>
      </c>
      <c r="R1247" s="7" t="str">
        <f t="shared" si="123"/>
        <v>C16</v>
      </c>
      <c r="S1247" s="18">
        <f t="shared" si="124"/>
        <v>5.7927063498331197</v>
      </c>
      <c r="T1247" s="18">
        <f>S1247/Explications!$C$8</f>
        <v>0.19309021166110399</v>
      </c>
    </row>
    <row r="1248" spans="7:20">
      <c r="G1248" s="7" t="s">
        <v>32</v>
      </c>
      <c r="H1248" s="7" t="s">
        <v>39</v>
      </c>
      <c r="I1248" s="7">
        <v>46.733699999999999</v>
      </c>
      <c r="J1248" s="7">
        <v>-71.270099999999999</v>
      </c>
      <c r="K1248" s="7">
        <v>46.844900000000003</v>
      </c>
      <c r="L1248" s="7">
        <v>-71.251400000000004</v>
      </c>
      <c r="M1248" s="10" t="str">
        <f t="shared" si="119"/>
        <v>C16</v>
      </c>
      <c r="N1248" s="10" t="str">
        <f t="shared" si="120"/>
        <v>C23</v>
      </c>
      <c r="O1248" s="5">
        <f t="shared" si="121"/>
        <v>12.44656791302697</v>
      </c>
      <c r="P1248" s="22">
        <f>O1248/Explications!$C$8</f>
        <v>0.41488559710089901</v>
      </c>
      <c r="Q1248" s="7" t="str">
        <f t="shared" si="122"/>
        <v>C23</v>
      </c>
      <c r="R1248" s="7" t="str">
        <f t="shared" si="123"/>
        <v>C16</v>
      </c>
      <c r="S1248" s="18">
        <f t="shared" si="124"/>
        <v>12.44656791302697</v>
      </c>
      <c r="T1248" s="18">
        <f>S1248/Explications!$C$8</f>
        <v>0.41488559710089901</v>
      </c>
    </row>
    <row r="1249" spans="7:20">
      <c r="G1249" s="7" t="s">
        <v>32</v>
      </c>
      <c r="H1249" s="7" t="s">
        <v>40</v>
      </c>
      <c r="I1249" s="7">
        <v>46.733699999999999</v>
      </c>
      <c r="J1249" s="7">
        <v>-71.270099999999999</v>
      </c>
      <c r="K1249" s="7">
        <v>46.805500000000002</v>
      </c>
      <c r="L1249" s="7">
        <v>-71.2196</v>
      </c>
      <c r="M1249" s="10" t="str">
        <f t="shared" si="119"/>
        <v>C16</v>
      </c>
      <c r="N1249" s="10" t="str">
        <f t="shared" si="120"/>
        <v>C24</v>
      </c>
      <c r="O1249" s="5">
        <f t="shared" si="121"/>
        <v>8.8619280112484144</v>
      </c>
      <c r="P1249" s="22">
        <f>O1249/Explications!$C$8</f>
        <v>0.29539760037494717</v>
      </c>
      <c r="Q1249" s="7" t="str">
        <f t="shared" si="122"/>
        <v>C24</v>
      </c>
      <c r="R1249" s="7" t="str">
        <f t="shared" si="123"/>
        <v>C16</v>
      </c>
      <c r="S1249" s="18">
        <f t="shared" si="124"/>
        <v>8.8619280112484144</v>
      </c>
      <c r="T1249" s="18">
        <f>S1249/Explications!$C$8</f>
        <v>0.29539760037494717</v>
      </c>
    </row>
    <row r="1250" spans="7:20">
      <c r="G1250" s="7" t="s">
        <v>32</v>
      </c>
      <c r="H1250" s="7" t="s">
        <v>41</v>
      </c>
      <c r="I1250" s="7">
        <v>46.733699999999999</v>
      </c>
      <c r="J1250" s="7">
        <v>-71.270099999999999</v>
      </c>
      <c r="K1250" s="7">
        <v>46.734900000000003</v>
      </c>
      <c r="L1250" s="7">
        <v>-71.266199999999998</v>
      </c>
      <c r="M1250" s="10" t="str">
        <f t="shared" si="119"/>
        <v>C16</v>
      </c>
      <c r="N1250" s="10" t="str">
        <f t="shared" si="120"/>
        <v>C25</v>
      </c>
      <c r="O1250" s="5">
        <f t="shared" si="121"/>
        <v>0.32580087487640563</v>
      </c>
      <c r="P1250" s="22">
        <f>O1250/Explications!$C$8</f>
        <v>1.0860029162546855E-2</v>
      </c>
      <c r="Q1250" s="7" t="str">
        <f t="shared" si="122"/>
        <v>C25</v>
      </c>
      <c r="R1250" s="7" t="str">
        <f t="shared" si="123"/>
        <v>C16</v>
      </c>
      <c r="S1250" s="18">
        <f t="shared" si="124"/>
        <v>0.32580087487640563</v>
      </c>
      <c r="T1250" s="18">
        <f>S1250/Explications!$C$8</f>
        <v>1.0860029162546855E-2</v>
      </c>
    </row>
    <row r="1251" spans="7:20">
      <c r="G1251" s="7" t="s">
        <v>32</v>
      </c>
      <c r="H1251" s="7" t="s">
        <v>42</v>
      </c>
      <c r="I1251" s="7">
        <v>46.733699999999999</v>
      </c>
      <c r="J1251" s="7">
        <v>-71.270099999999999</v>
      </c>
      <c r="K1251" s="7">
        <v>46.817700000000002</v>
      </c>
      <c r="L1251" s="7">
        <v>-71.214100000000002</v>
      </c>
      <c r="M1251" s="10" t="str">
        <f t="shared" si="119"/>
        <v>C16</v>
      </c>
      <c r="N1251" s="10" t="str">
        <f t="shared" si="120"/>
        <v>C26</v>
      </c>
      <c r="O1251" s="5">
        <f t="shared" si="121"/>
        <v>10.267856982653662</v>
      </c>
      <c r="P1251" s="22">
        <f>O1251/Explications!$C$8</f>
        <v>0.3422618994217887</v>
      </c>
      <c r="Q1251" s="7" t="str">
        <f t="shared" si="122"/>
        <v>C26</v>
      </c>
      <c r="R1251" s="7" t="str">
        <f t="shared" si="123"/>
        <v>C16</v>
      </c>
      <c r="S1251" s="18">
        <f t="shared" si="124"/>
        <v>10.267856982653662</v>
      </c>
      <c r="T1251" s="18">
        <f>S1251/Explications!$C$8</f>
        <v>0.3422618994217887</v>
      </c>
    </row>
    <row r="1252" spans="7:20">
      <c r="G1252" s="7" t="s">
        <v>32</v>
      </c>
      <c r="H1252" s="7" t="s">
        <v>43</v>
      </c>
      <c r="I1252" s="7">
        <v>46.733699999999999</v>
      </c>
      <c r="J1252" s="7">
        <v>-71.270099999999999</v>
      </c>
      <c r="K1252" s="7">
        <v>46.603000000000002</v>
      </c>
      <c r="L1252" s="7">
        <v>-71.490600000000001</v>
      </c>
      <c r="M1252" s="10" t="str">
        <f t="shared" si="119"/>
        <v>C16</v>
      </c>
      <c r="N1252" s="10" t="str">
        <f t="shared" si="120"/>
        <v>C27</v>
      </c>
      <c r="O1252" s="5">
        <f t="shared" si="121"/>
        <v>22.232763815939062</v>
      </c>
      <c r="P1252" s="22">
        <f>O1252/Explications!$C$8</f>
        <v>0.7410921271979688</v>
      </c>
      <c r="Q1252" s="7" t="str">
        <f t="shared" si="122"/>
        <v>C27</v>
      </c>
      <c r="R1252" s="7" t="str">
        <f t="shared" si="123"/>
        <v>C16</v>
      </c>
      <c r="S1252" s="18">
        <f t="shared" si="124"/>
        <v>22.232763815939062</v>
      </c>
      <c r="T1252" s="18">
        <f>S1252/Explications!$C$8</f>
        <v>0.7410921271979688</v>
      </c>
    </row>
    <row r="1253" spans="7:20">
      <c r="G1253" s="7" t="s">
        <v>32</v>
      </c>
      <c r="H1253" s="7" t="s">
        <v>44</v>
      </c>
      <c r="I1253" s="7">
        <v>46.733699999999999</v>
      </c>
      <c r="J1253" s="7">
        <v>-71.270099999999999</v>
      </c>
      <c r="K1253" s="7">
        <v>47.000500000000002</v>
      </c>
      <c r="L1253" s="7">
        <v>-71.388400000000004</v>
      </c>
      <c r="M1253" s="10" t="str">
        <f t="shared" si="119"/>
        <v>C16</v>
      </c>
      <c r="N1253" s="10" t="str">
        <f t="shared" si="120"/>
        <v>C28</v>
      </c>
      <c r="O1253" s="5">
        <f t="shared" si="121"/>
        <v>31.00004120830366</v>
      </c>
      <c r="P1253" s="22">
        <f>O1253/Explications!$C$8</f>
        <v>1.0333347069434553</v>
      </c>
      <c r="Q1253" s="7" t="str">
        <f t="shared" si="122"/>
        <v>C28</v>
      </c>
      <c r="R1253" s="7" t="str">
        <f t="shared" si="123"/>
        <v>C16</v>
      </c>
      <c r="S1253" s="18">
        <f t="shared" si="124"/>
        <v>31.00004120830366</v>
      </c>
      <c r="T1253" s="18">
        <f>S1253/Explications!$C$8</f>
        <v>1.0333347069434553</v>
      </c>
    </row>
    <row r="1254" spans="7:20">
      <c r="G1254" s="7" t="s">
        <v>32</v>
      </c>
      <c r="H1254" s="7" t="s">
        <v>45</v>
      </c>
      <c r="I1254" s="7">
        <v>46.733699999999999</v>
      </c>
      <c r="J1254" s="7">
        <v>-71.270099999999999</v>
      </c>
      <c r="K1254" s="7">
        <v>46.839100000000002</v>
      </c>
      <c r="L1254" s="7">
        <v>-71.245699999999999</v>
      </c>
      <c r="M1254" s="10" t="str">
        <f t="shared" si="119"/>
        <v>C16</v>
      </c>
      <c r="N1254" s="10" t="str">
        <f t="shared" si="120"/>
        <v>C29</v>
      </c>
      <c r="O1254" s="5">
        <f t="shared" si="121"/>
        <v>11.866269744814852</v>
      </c>
      <c r="P1254" s="22">
        <f>O1254/Explications!$C$8</f>
        <v>0.39554232482716173</v>
      </c>
      <c r="Q1254" s="7" t="str">
        <f t="shared" si="122"/>
        <v>C29</v>
      </c>
      <c r="R1254" s="7" t="str">
        <f t="shared" si="123"/>
        <v>C16</v>
      </c>
      <c r="S1254" s="18">
        <f t="shared" si="124"/>
        <v>11.866269744814852</v>
      </c>
      <c r="T1254" s="18">
        <f>S1254/Explications!$C$8</f>
        <v>0.39554232482716173</v>
      </c>
    </row>
    <row r="1255" spans="7:20">
      <c r="G1255" s="7" t="s">
        <v>32</v>
      </c>
      <c r="H1255" s="7" t="s">
        <v>46</v>
      </c>
      <c r="I1255" s="7">
        <v>46.733699999999999</v>
      </c>
      <c r="J1255" s="7">
        <v>-71.270099999999999</v>
      </c>
      <c r="K1255" s="7">
        <v>46.865699999999997</v>
      </c>
      <c r="L1255" s="7">
        <v>-71.27</v>
      </c>
      <c r="M1255" s="10" t="str">
        <f t="shared" si="119"/>
        <v>C16</v>
      </c>
      <c r="N1255" s="10" t="str">
        <f t="shared" si="120"/>
        <v>C30</v>
      </c>
      <c r="O1255" s="5">
        <f t="shared" si="121"/>
        <v>14.677732291121405</v>
      </c>
      <c r="P1255" s="22">
        <f>O1255/Explications!$C$8</f>
        <v>0.48925774303738018</v>
      </c>
      <c r="Q1255" s="7" t="str">
        <f t="shared" si="122"/>
        <v>C30</v>
      </c>
      <c r="R1255" s="7" t="str">
        <f t="shared" si="123"/>
        <v>C16</v>
      </c>
      <c r="S1255" s="18">
        <f t="shared" si="124"/>
        <v>14.677732291121405</v>
      </c>
      <c r="T1255" s="18">
        <f>S1255/Explications!$C$8</f>
        <v>0.48925774303738018</v>
      </c>
    </row>
    <row r="1256" spans="7:20">
      <c r="G1256" s="7" t="s">
        <v>32</v>
      </c>
      <c r="H1256" s="7" t="s">
        <v>47</v>
      </c>
      <c r="I1256" s="7">
        <v>46.733699999999999</v>
      </c>
      <c r="J1256" s="7">
        <v>-71.270099999999999</v>
      </c>
      <c r="K1256" s="7">
        <v>46.805500000000002</v>
      </c>
      <c r="L1256" s="7">
        <v>-71.217299999999994</v>
      </c>
      <c r="M1256" s="10" t="str">
        <f t="shared" si="119"/>
        <v>C16</v>
      </c>
      <c r="N1256" s="10" t="str">
        <f t="shared" si="120"/>
        <v>C31</v>
      </c>
      <c r="O1256" s="5">
        <f t="shared" si="121"/>
        <v>8.9393463605632668</v>
      </c>
      <c r="P1256" s="22">
        <f>O1256/Explications!$C$8</f>
        <v>0.29797821201877556</v>
      </c>
      <c r="Q1256" s="7" t="str">
        <f t="shared" si="122"/>
        <v>C31</v>
      </c>
      <c r="R1256" s="7" t="str">
        <f t="shared" si="123"/>
        <v>C16</v>
      </c>
      <c r="S1256" s="18">
        <f t="shared" si="124"/>
        <v>8.9393463605632668</v>
      </c>
      <c r="T1256" s="18">
        <f>S1256/Explications!$C$8</f>
        <v>0.29797821201877556</v>
      </c>
    </row>
    <row r="1257" spans="7:20">
      <c r="G1257" s="7" t="s">
        <v>32</v>
      </c>
      <c r="H1257" s="7" t="s">
        <v>48</v>
      </c>
      <c r="I1257" s="7">
        <v>46.733699999999999</v>
      </c>
      <c r="J1257" s="7">
        <v>-71.270099999999999</v>
      </c>
      <c r="K1257" s="7">
        <v>46.792299999999997</v>
      </c>
      <c r="L1257" s="7">
        <v>-71.172899999999998</v>
      </c>
      <c r="M1257" s="10" t="str">
        <f t="shared" si="119"/>
        <v>C16</v>
      </c>
      <c r="N1257" s="10" t="str">
        <f t="shared" si="120"/>
        <v>C32</v>
      </c>
      <c r="O1257" s="5">
        <f t="shared" si="121"/>
        <v>9.8627766913983752</v>
      </c>
      <c r="P1257" s="22">
        <f>O1257/Explications!$C$8</f>
        <v>0.32875922304661248</v>
      </c>
      <c r="Q1257" s="7" t="str">
        <f t="shared" si="122"/>
        <v>C32</v>
      </c>
      <c r="R1257" s="7" t="str">
        <f t="shared" si="123"/>
        <v>C16</v>
      </c>
      <c r="S1257" s="18">
        <f t="shared" si="124"/>
        <v>9.8627766913983752</v>
      </c>
      <c r="T1257" s="18">
        <f>S1257/Explications!$C$8</f>
        <v>0.32875922304661248</v>
      </c>
    </row>
    <row r="1258" spans="7:20">
      <c r="G1258" s="7" t="s">
        <v>32</v>
      </c>
      <c r="H1258" s="7" t="s">
        <v>49</v>
      </c>
      <c r="I1258" s="7">
        <v>46.733699999999999</v>
      </c>
      <c r="J1258" s="7">
        <v>-71.270099999999999</v>
      </c>
      <c r="K1258" s="7">
        <v>46.7883</v>
      </c>
      <c r="L1258" s="7">
        <v>-71.131200000000007</v>
      </c>
      <c r="M1258" s="10" t="str">
        <f t="shared" si="119"/>
        <v>C16</v>
      </c>
      <c r="N1258" s="10" t="str">
        <f t="shared" si="120"/>
        <v>C33</v>
      </c>
      <c r="O1258" s="5">
        <f t="shared" si="121"/>
        <v>12.198621379755259</v>
      </c>
      <c r="P1258" s="22">
        <f>O1258/Explications!$C$8</f>
        <v>0.40662071265850863</v>
      </c>
      <c r="Q1258" s="7" t="str">
        <f t="shared" si="122"/>
        <v>C33</v>
      </c>
      <c r="R1258" s="7" t="str">
        <f t="shared" si="123"/>
        <v>C16</v>
      </c>
      <c r="S1258" s="18">
        <f t="shared" si="124"/>
        <v>12.198621379755259</v>
      </c>
      <c r="T1258" s="18">
        <f>S1258/Explications!$C$8</f>
        <v>0.40662071265850863</v>
      </c>
    </row>
    <row r="1259" spans="7:20">
      <c r="G1259" s="7" t="s">
        <v>32</v>
      </c>
      <c r="H1259" s="7" t="s">
        <v>50</v>
      </c>
      <c r="I1259" s="7">
        <v>46.733699999999999</v>
      </c>
      <c r="J1259" s="7">
        <v>-71.270099999999999</v>
      </c>
      <c r="K1259" s="7">
        <v>46.8611</v>
      </c>
      <c r="L1259" s="7">
        <v>-71.268799999999999</v>
      </c>
      <c r="M1259" s="10" t="str">
        <f t="shared" si="119"/>
        <v>C16</v>
      </c>
      <c r="N1259" s="10" t="str">
        <f t="shared" si="120"/>
        <v>C34</v>
      </c>
      <c r="O1259" s="5">
        <f t="shared" si="121"/>
        <v>14.166579287291071</v>
      </c>
      <c r="P1259" s="22">
        <f>O1259/Explications!$C$8</f>
        <v>0.47221930957636904</v>
      </c>
      <c r="Q1259" s="7" t="str">
        <f t="shared" si="122"/>
        <v>C34</v>
      </c>
      <c r="R1259" s="7" t="str">
        <f t="shared" si="123"/>
        <v>C16</v>
      </c>
      <c r="S1259" s="18">
        <f t="shared" si="124"/>
        <v>14.166579287291071</v>
      </c>
      <c r="T1259" s="18">
        <f>S1259/Explications!$C$8</f>
        <v>0.47221930957636904</v>
      </c>
    </row>
    <row r="1260" spans="7:20">
      <c r="G1260" s="7" t="s">
        <v>32</v>
      </c>
      <c r="H1260" s="7" t="s">
        <v>51</v>
      </c>
      <c r="I1260" s="7">
        <v>46.733699999999999</v>
      </c>
      <c r="J1260" s="7">
        <v>-71.270099999999999</v>
      </c>
      <c r="K1260" s="7">
        <v>46.869700000000002</v>
      </c>
      <c r="L1260" s="7">
        <v>-71.205200000000005</v>
      </c>
      <c r="M1260" s="10" t="str">
        <f t="shared" si="119"/>
        <v>C16</v>
      </c>
      <c r="N1260" s="10" t="str">
        <f t="shared" si="120"/>
        <v>C35</v>
      </c>
      <c r="O1260" s="5">
        <f t="shared" si="121"/>
        <v>15.908896769164699</v>
      </c>
      <c r="P1260" s="22">
        <f>O1260/Explications!$C$8</f>
        <v>0.53029655897215666</v>
      </c>
      <c r="Q1260" s="7" t="str">
        <f t="shared" si="122"/>
        <v>C35</v>
      </c>
      <c r="R1260" s="7" t="str">
        <f t="shared" si="123"/>
        <v>C16</v>
      </c>
      <c r="S1260" s="18">
        <f t="shared" si="124"/>
        <v>15.908896769164699</v>
      </c>
      <c r="T1260" s="18">
        <f>S1260/Explications!$C$8</f>
        <v>0.53029655897215666</v>
      </c>
    </row>
    <row r="1261" spans="7:20">
      <c r="G1261" s="7" t="s">
        <v>32</v>
      </c>
      <c r="H1261" s="7" t="s">
        <v>52</v>
      </c>
      <c r="I1261" s="7">
        <v>46.733699999999999</v>
      </c>
      <c r="J1261" s="7">
        <v>-71.270099999999999</v>
      </c>
      <c r="K1261" s="7">
        <v>46.774099999999997</v>
      </c>
      <c r="L1261" s="7">
        <v>-71.174000000000007</v>
      </c>
      <c r="M1261" s="10" t="str">
        <f t="shared" si="119"/>
        <v>C16</v>
      </c>
      <c r="N1261" s="10" t="str">
        <f t="shared" si="120"/>
        <v>C36</v>
      </c>
      <c r="O1261" s="5">
        <f t="shared" si="121"/>
        <v>8.5895746680420633</v>
      </c>
      <c r="P1261" s="22">
        <f>O1261/Explications!$C$8</f>
        <v>0.28631915560140209</v>
      </c>
      <c r="Q1261" s="7" t="str">
        <f t="shared" si="122"/>
        <v>C36</v>
      </c>
      <c r="R1261" s="7" t="str">
        <f t="shared" si="123"/>
        <v>C16</v>
      </c>
      <c r="S1261" s="18">
        <f t="shared" si="124"/>
        <v>8.5895746680420633</v>
      </c>
      <c r="T1261" s="18">
        <f>S1261/Explications!$C$8</f>
        <v>0.28631915560140209</v>
      </c>
    </row>
    <row r="1262" spans="7:20">
      <c r="G1262" s="7" t="s">
        <v>32</v>
      </c>
      <c r="H1262" s="7" t="s">
        <v>53</v>
      </c>
      <c r="I1262" s="7">
        <v>46.733699999999999</v>
      </c>
      <c r="J1262" s="7">
        <v>-71.270099999999999</v>
      </c>
      <c r="K1262" s="7">
        <v>46.808500000000002</v>
      </c>
      <c r="L1262" s="7">
        <v>-71.326599999999999</v>
      </c>
      <c r="M1262" s="10" t="str">
        <f t="shared" si="119"/>
        <v>C16</v>
      </c>
      <c r="N1262" s="10" t="str">
        <f t="shared" si="120"/>
        <v>C37</v>
      </c>
      <c r="O1262" s="5">
        <f t="shared" si="121"/>
        <v>9.3645337942063573</v>
      </c>
      <c r="P1262" s="22">
        <f>O1262/Explications!$C$8</f>
        <v>0.31215112647354526</v>
      </c>
      <c r="Q1262" s="7" t="str">
        <f t="shared" si="122"/>
        <v>C37</v>
      </c>
      <c r="R1262" s="7" t="str">
        <f t="shared" si="123"/>
        <v>C16</v>
      </c>
      <c r="S1262" s="18">
        <f t="shared" si="124"/>
        <v>9.3645337942063573</v>
      </c>
      <c r="T1262" s="18">
        <f>S1262/Explications!$C$8</f>
        <v>0.31215112647354526</v>
      </c>
    </row>
    <row r="1263" spans="7:20">
      <c r="G1263" s="7" t="s">
        <v>32</v>
      </c>
      <c r="H1263" s="7" t="s">
        <v>54</v>
      </c>
      <c r="I1263" s="7">
        <v>46.733699999999999</v>
      </c>
      <c r="J1263" s="7">
        <v>-71.270099999999999</v>
      </c>
      <c r="K1263" s="7">
        <v>46.797499999999999</v>
      </c>
      <c r="L1263" s="7">
        <v>-71.306100000000001</v>
      </c>
      <c r="M1263" s="10" t="str">
        <f t="shared" si="119"/>
        <v>C16</v>
      </c>
      <c r="N1263" s="10" t="str">
        <f t="shared" si="120"/>
        <v>C38</v>
      </c>
      <c r="O1263" s="5">
        <f t="shared" si="121"/>
        <v>7.6057070207220443</v>
      </c>
      <c r="P1263" s="22">
        <f>O1263/Explications!$C$8</f>
        <v>0.2535235673574015</v>
      </c>
      <c r="Q1263" s="7" t="str">
        <f t="shared" si="122"/>
        <v>C38</v>
      </c>
      <c r="R1263" s="7" t="str">
        <f t="shared" si="123"/>
        <v>C16</v>
      </c>
      <c r="S1263" s="18">
        <f t="shared" si="124"/>
        <v>7.6057070207220443</v>
      </c>
      <c r="T1263" s="18">
        <f>S1263/Explications!$C$8</f>
        <v>0.2535235673574015</v>
      </c>
    </row>
    <row r="1264" spans="7:20">
      <c r="G1264" s="7" t="s">
        <v>32</v>
      </c>
      <c r="H1264" s="7" t="s">
        <v>55</v>
      </c>
      <c r="I1264" s="7">
        <v>46.733699999999999</v>
      </c>
      <c r="J1264" s="7">
        <v>-71.270099999999999</v>
      </c>
      <c r="K1264" s="7">
        <v>46.8155</v>
      </c>
      <c r="L1264" s="7">
        <v>-71.268199999999993</v>
      </c>
      <c r="M1264" s="10" t="str">
        <f t="shared" si="119"/>
        <v>C16</v>
      </c>
      <c r="N1264" s="10" t="str">
        <f t="shared" si="120"/>
        <v>C39</v>
      </c>
      <c r="O1264" s="5">
        <f t="shared" si="121"/>
        <v>9.0968957937123278</v>
      </c>
      <c r="P1264" s="22">
        <f>O1264/Explications!$C$8</f>
        <v>0.30322985979041095</v>
      </c>
      <c r="Q1264" s="7" t="str">
        <f t="shared" si="122"/>
        <v>C39</v>
      </c>
      <c r="R1264" s="7" t="str">
        <f t="shared" si="123"/>
        <v>C16</v>
      </c>
      <c r="S1264" s="18">
        <f t="shared" si="124"/>
        <v>9.0968957937123278</v>
      </c>
      <c r="T1264" s="18">
        <f>S1264/Explications!$C$8</f>
        <v>0.30322985979041095</v>
      </c>
    </row>
    <row r="1265" spans="7:20">
      <c r="G1265" s="7" t="s">
        <v>32</v>
      </c>
      <c r="H1265" s="7" t="s">
        <v>56</v>
      </c>
      <c r="I1265" s="7">
        <v>46.733699999999999</v>
      </c>
      <c r="J1265" s="7">
        <v>-71.270099999999999</v>
      </c>
      <c r="K1265" s="7">
        <v>46.866700000000002</v>
      </c>
      <c r="L1265" s="7">
        <v>-71.215900000000005</v>
      </c>
      <c r="M1265" s="10" t="str">
        <f t="shared" si="119"/>
        <v>C16</v>
      </c>
      <c r="N1265" s="10" t="str">
        <f t="shared" si="120"/>
        <v>C40</v>
      </c>
      <c r="O1265" s="5">
        <f t="shared" si="121"/>
        <v>15.353591174718879</v>
      </c>
      <c r="P1265" s="22">
        <f>O1265/Explications!$C$8</f>
        <v>0.5117863724906293</v>
      </c>
      <c r="Q1265" s="7" t="str">
        <f t="shared" si="122"/>
        <v>C40</v>
      </c>
      <c r="R1265" s="7" t="str">
        <f t="shared" si="123"/>
        <v>C16</v>
      </c>
      <c r="S1265" s="18">
        <f t="shared" si="124"/>
        <v>15.353591174718879</v>
      </c>
      <c r="T1265" s="18">
        <f>S1265/Explications!$C$8</f>
        <v>0.5117863724906293</v>
      </c>
    </row>
    <row r="1266" spans="7:20">
      <c r="G1266" s="7" t="s">
        <v>32</v>
      </c>
      <c r="H1266" s="7" t="s">
        <v>57</v>
      </c>
      <c r="I1266" s="7">
        <v>46.733699999999999</v>
      </c>
      <c r="J1266" s="7">
        <v>-71.270099999999999</v>
      </c>
      <c r="K1266" s="7">
        <v>46.762099999999997</v>
      </c>
      <c r="L1266" s="7">
        <v>-71.235399999999998</v>
      </c>
      <c r="M1266" s="10" t="str">
        <f t="shared" si="119"/>
        <v>C16</v>
      </c>
      <c r="N1266" s="10" t="str">
        <f t="shared" si="120"/>
        <v>C41</v>
      </c>
      <c r="O1266" s="5">
        <f t="shared" si="121"/>
        <v>4.1185601471857982</v>
      </c>
      <c r="P1266" s="22">
        <f>O1266/Explications!$C$8</f>
        <v>0.1372853382395266</v>
      </c>
      <c r="Q1266" s="7" t="str">
        <f t="shared" si="122"/>
        <v>C41</v>
      </c>
      <c r="R1266" s="7" t="str">
        <f t="shared" si="123"/>
        <v>C16</v>
      </c>
      <c r="S1266" s="18">
        <f t="shared" si="124"/>
        <v>4.1185601471857982</v>
      </c>
      <c r="T1266" s="18">
        <f>S1266/Explications!$C$8</f>
        <v>0.1372853382395266</v>
      </c>
    </row>
    <row r="1267" spans="7:20">
      <c r="G1267" s="7" t="s">
        <v>32</v>
      </c>
      <c r="H1267" s="7" t="s">
        <v>58</v>
      </c>
      <c r="I1267" s="7">
        <v>46.733699999999999</v>
      </c>
      <c r="J1267" s="7">
        <v>-71.270099999999999</v>
      </c>
      <c r="K1267" s="7">
        <v>46.8157</v>
      </c>
      <c r="L1267" s="7">
        <v>-71.2042</v>
      </c>
      <c r="M1267" s="10" t="str">
        <f t="shared" si="119"/>
        <v>C16</v>
      </c>
      <c r="N1267" s="10" t="str">
        <f t="shared" si="120"/>
        <v>C42</v>
      </c>
      <c r="O1267" s="5">
        <f t="shared" si="121"/>
        <v>10.40785322429703</v>
      </c>
      <c r="P1267" s="22">
        <f>O1267/Explications!$C$8</f>
        <v>0.34692844080990098</v>
      </c>
      <c r="Q1267" s="7" t="str">
        <f t="shared" si="122"/>
        <v>C42</v>
      </c>
      <c r="R1267" s="7" t="str">
        <f t="shared" si="123"/>
        <v>C16</v>
      </c>
      <c r="S1267" s="18">
        <f t="shared" si="124"/>
        <v>10.40785322429703</v>
      </c>
      <c r="T1267" s="18">
        <f>S1267/Explications!$C$8</f>
        <v>0.34692844080990098</v>
      </c>
    </row>
    <row r="1268" spans="7:20">
      <c r="G1268" s="7" t="s">
        <v>32</v>
      </c>
      <c r="H1268" s="7" t="s">
        <v>59</v>
      </c>
      <c r="I1268" s="7">
        <v>46.733699999999999</v>
      </c>
      <c r="J1268" s="7">
        <v>-71.270099999999999</v>
      </c>
      <c r="K1268" s="7">
        <v>46.707000000000001</v>
      </c>
      <c r="L1268" s="7">
        <v>-71.217100000000002</v>
      </c>
      <c r="M1268" s="10" t="str">
        <f t="shared" si="119"/>
        <v>C16</v>
      </c>
      <c r="N1268" s="10" t="str">
        <f t="shared" si="120"/>
        <v>C43</v>
      </c>
      <c r="O1268" s="5">
        <f t="shared" si="121"/>
        <v>5.0137669560026961</v>
      </c>
      <c r="P1268" s="22">
        <f>O1268/Explications!$C$8</f>
        <v>0.16712556520008987</v>
      </c>
      <c r="Q1268" s="7" t="str">
        <f t="shared" si="122"/>
        <v>C43</v>
      </c>
      <c r="R1268" s="7" t="str">
        <f t="shared" si="123"/>
        <v>C16</v>
      </c>
      <c r="S1268" s="18">
        <f t="shared" si="124"/>
        <v>5.0137669560026961</v>
      </c>
      <c r="T1268" s="18">
        <f>S1268/Explications!$C$8</f>
        <v>0.16712556520008987</v>
      </c>
    </row>
    <row r="1269" spans="7:20">
      <c r="G1269" s="7" t="s">
        <v>32</v>
      </c>
      <c r="H1269" s="7" t="s">
        <v>60</v>
      </c>
      <c r="I1269" s="7">
        <v>46.733699999999999</v>
      </c>
      <c r="J1269" s="7">
        <v>-71.270099999999999</v>
      </c>
      <c r="K1269" s="7">
        <v>46.802900000000001</v>
      </c>
      <c r="L1269" s="7">
        <v>-71.228899999999996</v>
      </c>
      <c r="M1269" s="10" t="str">
        <f t="shared" si="119"/>
        <v>C16</v>
      </c>
      <c r="N1269" s="10" t="str">
        <f t="shared" si="120"/>
        <v>C44</v>
      </c>
      <c r="O1269" s="5">
        <f t="shared" si="121"/>
        <v>8.3099185637075124</v>
      </c>
      <c r="P1269" s="22">
        <f>O1269/Explications!$C$8</f>
        <v>0.2769972854569171</v>
      </c>
      <c r="Q1269" s="7" t="str">
        <f t="shared" si="122"/>
        <v>C44</v>
      </c>
      <c r="R1269" s="7" t="str">
        <f t="shared" si="123"/>
        <v>C16</v>
      </c>
      <c r="S1269" s="18">
        <f t="shared" si="124"/>
        <v>8.3099185637075124</v>
      </c>
      <c r="T1269" s="18">
        <f>S1269/Explications!$C$8</f>
        <v>0.2769972854569171</v>
      </c>
    </row>
    <row r="1270" spans="7:20">
      <c r="G1270" s="7" t="s">
        <v>32</v>
      </c>
      <c r="H1270" s="7" t="s">
        <v>61</v>
      </c>
      <c r="I1270" s="7">
        <v>46.733699999999999</v>
      </c>
      <c r="J1270" s="7">
        <v>-71.270099999999999</v>
      </c>
      <c r="K1270" s="7">
        <v>46.796900000000001</v>
      </c>
      <c r="L1270" s="7">
        <v>-71.3078</v>
      </c>
      <c r="M1270" s="10" t="str">
        <f t="shared" si="119"/>
        <v>C16</v>
      </c>
      <c r="N1270" s="10" t="str">
        <f t="shared" si="120"/>
        <v>C45</v>
      </c>
      <c r="O1270" s="5">
        <f t="shared" si="121"/>
        <v>7.5915456729345916</v>
      </c>
      <c r="P1270" s="22">
        <f>O1270/Explications!$C$8</f>
        <v>0.25305152243115303</v>
      </c>
      <c r="Q1270" s="7" t="str">
        <f t="shared" si="122"/>
        <v>C45</v>
      </c>
      <c r="R1270" s="7" t="str">
        <f t="shared" si="123"/>
        <v>C16</v>
      </c>
      <c r="S1270" s="18">
        <f t="shared" si="124"/>
        <v>7.5915456729345916</v>
      </c>
      <c r="T1270" s="18">
        <f>S1270/Explications!$C$8</f>
        <v>0.25305152243115303</v>
      </c>
    </row>
    <row r="1271" spans="7:20">
      <c r="G1271" s="7" t="s">
        <v>32</v>
      </c>
      <c r="H1271" s="7" t="s">
        <v>62</v>
      </c>
      <c r="I1271" s="7">
        <v>46.733699999999999</v>
      </c>
      <c r="J1271" s="7">
        <v>-71.270099999999999</v>
      </c>
      <c r="K1271" s="7">
        <v>46.803600000000003</v>
      </c>
      <c r="L1271" s="7">
        <v>-71.231099999999998</v>
      </c>
      <c r="M1271" s="10" t="str">
        <f t="shared" si="119"/>
        <v>C16</v>
      </c>
      <c r="N1271" s="10" t="str">
        <f t="shared" si="120"/>
        <v>C46</v>
      </c>
      <c r="O1271" s="5">
        <f t="shared" si="121"/>
        <v>8.3207602890332666</v>
      </c>
      <c r="P1271" s="22">
        <f>O1271/Explications!$C$8</f>
        <v>0.27735867630110889</v>
      </c>
      <c r="Q1271" s="7" t="str">
        <f t="shared" si="122"/>
        <v>C46</v>
      </c>
      <c r="R1271" s="7" t="str">
        <f t="shared" si="123"/>
        <v>C16</v>
      </c>
      <c r="S1271" s="18">
        <f t="shared" si="124"/>
        <v>8.3207602890332666</v>
      </c>
      <c r="T1271" s="18">
        <f>S1271/Explications!$C$8</f>
        <v>0.27735867630110889</v>
      </c>
    </row>
    <row r="1272" spans="7:20">
      <c r="G1272" s="7" t="s">
        <v>32</v>
      </c>
      <c r="H1272" s="7" t="s">
        <v>63</v>
      </c>
      <c r="I1272" s="7">
        <v>46.733699999999999</v>
      </c>
      <c r="J1272" s="7">
        <v>-71.270099999999999</v>
      </c>
      <c r="K1272" s="7">
        <v>46.802399999999999</v>
      </c>
      <c r="L1272" s="7">
        <v>-71.269800000000004</v>
      </c>
      <c r="M1272" s="10" t="str">
        <f t="shared" si="119"/>
        <v>C16</v>
      </c>
      <c r="N1272" s="10" t="str">
        <f t="shared" si="120"/>
        <v>C47</v>
      </c>
      <c r="O1272" s="5">
        <f t="shared" si="121"/>
        <v>7.6391256315292795</v>
      </c>
      <c r="P1272" s="22">
        <f>O1272/Explications!$C$8</f>
        <v>0.25463752105097598</v>
      </c>
      <c r="Q1272" s="7" t="str">
        <f t="shared" si="122"/>
        <v>C47</v>
      </c>
      <c r="R1272" s="7" t="str">
        <f t="shared" si="123"/>
        <v>C16</v>
      </c>
      <c r="S1272" s="18">
        <f t="shared" si="124"/>
        <v>7.6391256315292795</v>
      </c>
      <c r="T1272" s="18">
        <f>S1272/Explications!$C$8</f>
        <v>0.25463752105097598</v>
      </c>
    </row>
    <row r="1273" spans="7:20">
      <c r="G1273" s="7" t="s">
        <v>32</v>
      </c>
      <c r="H1273" s="7" t="s">
        <v>64</v>
      </c>
      <c r="I1273" s="7">
        <v>46.733699999999999</v>
      </c>
      <c r="J1273" s="7">
        <v>-71.270099999999999</v>
      </c>
      <c r="K1273" s="7">
        <v>46.826799999999999</v>
      </c>
      <c r="L1273" s="7">
        <v>-71.224199999999996</v>
      </c>
      <c r="M1273" s="10" t="str">
        <f t="shared" si="119"/>
        <v>C16</v>
      </c>
      <c r="N1273" s="10" t="str">
        <f t="shared" si="120"/>
        <v>C48</v>
      </c>
      <c r="O1273" s="5">
        <f t="shared" si="121"/>
        <v>10.9263345190045</v>
      </c>
      <c r="P1273" s="22">
        <f>O1273/Explications!$C$8</f>
        <v>0.36421115063348336</v>
      </c>
      <c r="Q1273" s="7" t="str">
        <f t="shared" si="122"/>
        <v>C48</v>
      </c>
      <c r="R1273" s="7" t="str">
        <f t="shared" si="123"/>
        <v>C16</v>
      </c>
      <c r="S1273" s="18">
        <f t="shared" si="124"/>
        <v>10.9263345190045</v>
      </c>
      <c r="T1273" s="18">
        <f>S1273/Explications!$C$8</f>
        <v>0.36421115063348336</v>
      </c>
    </row>
    <row r="1274" spans="7:20">
      <c r="G1274" s="7" t="s">
        <v>32</v>
      </c>
      <c r="H1274" s="7" t="s">
        <v>65</v>
      </c>
      <c r="I1274" s="7">
        <v>46.733699999999999</v>
      </c>
      <c r="J1274" s="7">
        <v>-71.270099999999999</v>
      </c>
      <c r="K1274" s="7">
        <v>46.864100000000001</v>
      </c>
      <c r="L1274" s="7">
        <v>-71.255499999999998</v>
      </c>
      <c r="M1274" s="10" t="str">
        <f t="shared" si="119"/>
        <v>C16</v>
      </c>
      <c r="N1274" s="10" t="str">
        <f t="shared" si="120"/>
        <v>C49</v>
      </c>
      <c r="O1274" s="5">
        <f t="shared" si="121"/>
        <v>14.542345976494669</v>
      </c>
      <c r="P1274" s="22">
        <f>O1274/Explications!$C$8</f>
        <v>0.48474486588315563</v>
      </c>
      <c r="Q1274" s="7" t="str">
        <f t="shared" si="122"/>
        <v>C49</v>
      </c>
      <c r="R1274" s="7" t="str">
        <f t="shared" si="123"/>
        <v>C16</v>
      </c>
      <c r="S1274" s="18">
        <f t="shared" si="124"/>
        <v>14.542345976494669</v>
      </c>
      <c r="T1274" s="18">
        <f>S1274/Explications!$C$8</f>
        <v>0.48474486588315563</v>
      </c>
    </row>
    <row r="1275" spans="7:20">
      <c r="G1275" s="7" t="s">
        <v>32</v>
      </c>
      <c r="H1275" s="7" t="s">
        <v>66</v>
      </c>
      <c r="I1275" s="7">
        <v>46.733699999999999</v>
      </c>
      <c r="J1275" s="7">
        <v>-71.270099999999999</v>
      </c>
      <c r="K1275" s="7">
        <v>46.843800000000002</v>
      </c>
      <c r="L1275" s="7">
        <v>-71.247299999999996</v>
      </c>
      <c r="M1275" s="10" t="str">
        <f t="shared" si="119"/>
        <v>C16</v>
      </c>
      <c r="N1275" s="10" t="str">
        <f t="shared" si="120"/>
        <v>C50</v>
      </c>
      <c r="O1275" s="5">
        <f t="shared" si="121"/>
        <v>12.365011349531279</v>
      </c>
      <c r="P1275" s="22">
        <f>O1275/Explications!$C$8</f>
        <v>0.41216704498437601</v>
      </c>
      <c r="Q1275" s="7" t="str">
        <f t="shared" si="122"/>
        <v>C50</v>
      </c>
      <c r="R1275" s="7" t="str">
        <f t="shared" si="123"/>
        <v>C16</v>
      </c>
      <c r="S1275" s="18">
        <f t="shared" si="124"/>
        <v>12.365011349531279</v>
      </c>
      <c r="T1275" s="18">
        <f>S1275/Explications!$C$8</f>
        <v>0.41216704498437601</v>
      </c>
    </row>
    <row r="1276" spans="7:20">
      <c r="G1276" s="7" t="s">
        <v>32</v>
      </c>
      <c r="H1276" s="7" t="s">
        <v>67</v>
      </c>
      <c r="I1276" s="7">
        <v>46.733699999999999</v>
      </c>
      <c r="J1276" s="7">
        <v>-71.270099999999999</v>
      </c>
      <c r="K1276" s="7">
        <v>46.765599999999999</v>
      </c>
      <c r="L1276" s="7">
        <v>-71.312100000000001</v>
      </c>
      <c r="M1276" s="10" t="str">
        <f t="shared" si="119"/>
        <v>C16</v>
      </c>
      <c r="N1276" s="10" t="str">
        <f t="shared" si="120"/>
        <v>C51</v>
      </c>
      <c r="O1276" s="5">
        <f t="shared" si="121"/>
        <v>4.7772112908918594</v>
      </c>
      <c r="P1276" s="22">
        <f>O1276/Explications!$C$8</f>
        <v>0.15924037636306199</v>
      </c>
      <c r="Q1276" s="7" t="str">
        <f t="shared" si="122"/>
        <v>C51</v>
      </c>
      <c r="R1276" s="7" t="str">
        <f t="shared" si="123"/>
        <v>C16</v>
      </c>
      <c r="S1276" s="18">
        <f t="shared" si="124"/>
        <v>4.7772112908918594</v>
      </c>
      <c r="T1276" s="18">
        <f>S1276/Explications!$C$8</f>
        <v>0.15924037636306199</v>
      </c>
    </row>
    <row r="1277" spans="7:20">
      <c r="G1277" s="7" t="s">
        <v>32</v>
      </c>
      <c r="H1277" s="7" t="s">
        <v>68</v>
      </c>
      <c r="I1277" s="7">
        <v>46.733699999999999</v>
      </c>
      <c r="J1277" s="7">
        <v>-71.270099999999999</v>
      </c>
      <c r="K1277" s="7">
        <v>46.787599999999998</v>
      </c>
      <c r="L1277" s="7">
        <v>-71.288600000000002</v>
      </c>
      <c r="M1277" s="10" t="str">
        <f t="shared" si="119"/>
        <v>C16</v>
      </c>
      <c r="N1277" s="10" t="str">
        <f t="shared" si="120"/>
        <v>C52</v>
      </c>
      <c r="O1277" s="5">
        <f t="shared" si="121"/>
        <v>6.1568506559200662</v>
      </c>
      <c r="P1277" s="22">
        <f>O1277/Explications!$C$8</f>
        <v>0.20522835519733554</v>
      </c>
      <c r="Q1277" s="7" t="str">
        <f t="shared" si="122"/>
        <v>C52</v>
      </c>
      <c r="R1277" s="7" t="str">
        <f t="shared" si="123"/>
        <v>C16</v>
      </c>
      <c r="S1277" s="18">
        <f t="shared" si="124"/>
        <v>6.1568506559200662</v>
      </c>
      <c r="T1277" s="18">
        <f>S1277/Explications!$C$8</f>
        <v>0.20522835519733554</v>
      </c>
    </row>
    <row r="1278" spans="7:20">
      <c r="G1278" s="7" t="s">
        <v>32</v>
      </c>
      <c r="H1278" s="7" t="s">
        <v>69</v>
      </c>
      <c r="I1278" s="7">
        <v>46.733699999999999</v>
      </c>
      <c r="J1278" s="7">
        <v>-71.270099999999999</v>
      </c>
      <c r="K1278" s="7">
        <v>46.764600000000002</v>
      </c>
      <c r="L1278" s="7">
        <v>-71.308300000000003</v>
      </c>
      <c r="M1278" s="10" t="str">
        <f t="shared" si="119"/>
        <v>C16</v>
      </c>
      <c r="N1278" s="10" t="str">
        <f t="shared" si="120"/>
        <v>C53</v>
      </c>
      <c r="O1278" s="5">
        <f t="shared" si="121"/>
        <v>4.5029267813115741</v>
      </c>
      <c r="P1278" s="22">
        <f>O1278/Explications!$C$8</f>
        <v>0.15009755937705246</v>
      </c>
      <c r="Q1278" s="7" t="str">
        <f t="shared" si="122"/>
        <v>C53</v>
      </c>
      <c r="R1278" s="7" t="str">
        <f t="shared" si="123"/>
        <v>C16</v>
      </c>
      <c r="S1278" s="18">
        <f t="shared" si="124"/>
        <v>4.5029267813115741</v>
      </c>
      <c r="T1278" s="18">
        <f>S1278/Explications!$C$8</f>
        <v>0.15009755937705246</v>
      </c>
    </row>
    <row r="1279" spans="7:20">
      <c r="G1279" s="7" t="s">
        <v>32</v>
      </c>
      <c r="H1279" s="7" t="s">
        <v>70</v>
      </c>
      <c r="I1279" s="7">
        <v>46.733699999999999</v>
      </c>
      <c r="J1279" s="7">
        <v>-71.270099999999999</v>
      </c>
      <c r="K1279" s="7">
        <v>46.849699999999999</v>
      </c>
      <c r="L1279" s="7">
        <v>-71.097399999999993</v>
      </c>
      <c r="M1279" s="10" t="str">
        <f t="shared" si="119"/>
        <v>C16</v>
      </c>
      <c r="N1279" s="10" t="str">
        <f t="shared" si="120"/>
        <v>C54</v>
      </c>
      <c r="O1279" s="5">
        <f t="shared" si="121"/>
        <v>18.418310233449606</v>
      </c>
      <c r="P1279" s="22">
        <f>O1279/Explications!$C$8</f>
        <v>0.61394367444832021</v>
      </c>
      <c r="Q1279" s="7" t="str">
        <f t="shared" si="122"/>
        <v>C54</v>
      </c>
      <c r="R1279" s="7" t="str">
        <f t="shared" si="123"/>
        <v>C16</v>
      </c>
      <c r="S1279" s="18">
        <f t="shared" si="124"/>
        <v>18.418310233449606</v>
      </c>
      <c r="T1279" s="18">
        <f>S1279/Explications!$C$8</f>
        <v>0.61394367444832021</v>
      </c>
    </row>
    <row r="1280" spans="7:20">
      <c r="G1280" s="7" t="s">
        <v>32</v>
      </c>
      <c r="H1280" s="7" t="s">
        <v>71</v>
      </c>
      <c r="I1280" s="7">
        <v>46.733699999999999</v>
      </c>
      <c r="J1280" s="7">
        <v>-71.270099999999999</v>
      </c>
      <c r="K1280" s="7">
        <v>46.788899999999998</v>
      </c>
      <c r="L1280" s="7">
        <v>-71.321399999999997</v>
      </c>
      <c r="M1280" s="10" t="str">
        <f t="shared" si="119"/>
        <v>C16</v>
      </c>
      <c r="N1280" s="10" t="str">
        <f t="shared" si="120"/>
        <v>C55</v>
      </c>
      <c r="O1280" s="5">
        <f t="shared" si="121"/>
        <v>7.2762922357433979</v>
      </c>
      <c r="P1280" s="22">
        <f>O1280/Explications!$C$8</f>
        <v>0.24254307452477994</v>
      </c>
      <c r="Q1280" s="7" t="str">
        <f t="shared" si="122"/>
        <v>C55</v>
      </c>
      <c r="R1280" s="7" t="str">
        <f t="shared" si="123"/>
        <v>C16</v>
      </c>
      <c r="S1280" s="18">
        <f t="shared" si="124"/>
        <v>7.2762922357433979</v>
      </c>
      <c r="T1280" s="18">
        <f>S1280/Explications!$C$8</f>
        <v>0.24254307452477994</v>
      </c>
    </row>
    <row r="1281" spans="7:20">
      <c r="G1281" s="7" t="s">
        <v>32</v>
      </c>
      <c r="H1281" s="7" t="s">
        <v>72</v>
      </c>
      <c r="I1281" s="7">
        <v>46.733699999999999</v>
      </c>
      <c r="J1281" s="7">
        <v>-71.270099999999999</v>
      </c>
      <c r="K1281" s="7">
        <v>46.795400000000001</v>
      </c>
      <c r="L1281" s="7">
        <v>-71.232600000000005</v>
      </c>
      <c r="M1281" s="10" t="str">
        <f t="shared" si="119"/>
        <v>C16</v>
      </c>
      <c r="N1281" s="10" t="str">
        <f t="shared" si="120"/>
        <v>C56</v>
      </c>
      <c r="O1281" s="5">
        <f t="shared" si="121"/>
        <v>7.431560098501004</v>
      </c>
      <c r="P1281" s="22">
        <f>O1281/Explications!$C$8</f>
        <v>0.24771866995003347</v>
      </c>
      <c r="Q1281" s="7" t="str">
        <f t="shared" si="122"/>
        <v>C56</v>
      </c>
      <c r="R1281" s="7" t="str">
        <f t="shared" si="123"/>
        <v>C16</v>
      </c>
      <c r="S1281" s="18">
        <f t="shared" si="124"/>
        <v>7.431560098501004</v>
      </c>
      <c r="T1281" s="18">
        <f>S1281/Explications!$C$8</f>
        <v>0.24771866995003347</v>
      </c>
    </row>
    <row r="1282" spans="7:20">
      <c r="G1282" s="7" t="s">
        <v>32</v>
      </c>
      <c r="H1282" s="7" t="s">
        <v>73</v>
      </c>
      <c r="I1282" s="7">
        <v>46.733699999999999</v>
      </c>
      <c r="J1282" s="7">
        <v>-71.270099999999999</v>
      </c>
      <c r="K1282" s="7">
        <v>46.801200000000001</v>
      </c>
      <c r="L1282" s="7">
        <v>-71.224999999999994</v>
      </c>
      <c r="M1282" s="10" t="str">
        <f t="shared" si="119"/>
        <v>C16</v>
      </c>
      <c r="N1282" s="10" t="str">
        <f t="shared" si="120"/>
        <v>C57</v>
      </c>
      <c r="O1282" s="5">
        <f t="shared" si="121"/>
        <v>8.2543413921430098</v>
      </c>
      <c r="P1282" s="22">
        <f>O1282/Explications!$C$8</f>
        <v>0.27514471307143368</v>
      </c>
      <c r="Q1282" s="7" t="str">
        <f t="shared" si="122"/>
        <v>C57</v>
      </c>
      <c r="R1282" s="7" t="str">
        <f t="shared" si="123"/>
        <v>C16</v>
      </c>
      <c r="S1282" s="18">
        <f t="shared" si="124"/>
        <v>8.2543413921430098</v>
      </c>
      <c r="T1282" s="18">
        <f>S1282/Explications!$C$8</f>
        <v>0.27514471307143368</v>
      </c>
    </row>
    <row r="1283" spans="7:20">
      <c r="G1283" s="7" t="s">
        <v>32</v>
      </c>
      <c r="H1283" s="7" t="s">
        <v>74</v>
      </c>
      <c r="I1283" s="7">
        <v>46.733699999999999</v>
      </c>
      <c r="J1283" s="7">
        <v>-71.270099999999999</v>
      </c>
      <c r="K1283" s="7">
        <v>46.773200000000003</v>
      </c>
      <c r="L1283" s="7">
        <v>-71.275899999999993</v>
      </c>
      <c r="M1283" s="10" t="str">
        <f t="shared" si="119"/>
        <v>C16</v>
      </c>
      <c r="N1283" s="10" t="str">
        <f t="shared" si="120"/>
        <v>C58</v>
      </c>
      <c r="O1283" s="5">
        <f t="shared" si="121"/>
        <v>4.4143701606821963</v>
      </c>
      <c r="P1283" s="22">
        <f>O1283/Explications!$C$8</f>
        <v>0.14714567202273987</v>
      </c>
      <c r="Q1283" s="7" t="str">
        <f t="shared" si="122"/>
        <v>C58</v>
      </c>
      <c r="R1283" s="7" t="str">
        <f t="shared" si="123"/>
        <v>C16</v>
      </c>
      <c r="S1283" s="18">
        <f t="shared" si="124"/>
        <v>4.4143701606821963</v>
      </c>
      <c r="T1283" s="18">
        <f>S1283/Explications!$C$8</f>
        <v>0.14714567202273987</v>
      </c>
    </row>
    <row r="1284" spans="7:20">
      <c r="G1284" s="7" t="s">
        <v>32</v>
      </c>
      <c r="H1284" s="7" t="s">
        <v>75</v>
      </c>
      <c r="I1284" s="7">
        <v>46.733699999999999</v>
      </c>
      <c r="J1284" s="7">
        <v>-71.270099999999999</v>
      </c>
      <c r="K1284" s="7">
        <v>46.814399999999999</v>
      </c>
      <c r="L1284" s="7">
        <v>-71.225700000000003</v>
      </c>
      <c r="M1284" s="10" t="str">
        <f t="shared" ref="M1284:M1347" si="125">G1284</f>
        <v>C16</v>
      </c>
      <c r="N1284" s="10" t="str">
        <f t="shared" ref="N1284:N1347" si="126">H1284</f>
        <v>C59</v>
      </c>
      <c r="O1284" s="5">
        <f t="shared" ref="O1284:O1347" si="127">ACOS(SIN(RADIANS(I1284))*SIN(RADIANS(K1284))+COS(RADIANS(I1284))*COS(RADIANS(K1284))*COS(RADIANS(J1284-L1284)))*6371</f>
        <v>9.5893418196564966</v>
      </c>
      <c r="P1284" s="22">
        <f>O1284/Explications!$C$8</f>
        <v>0.3196447273218832</v>
      </c>
      <c r="Q1284" s="7" t="str">
        <f t="shared" ref="Q1284:Q1347" si="128">N1284</f>
        <v>C59</v>
      </c>
      <c r="R1284" s="7" t="str">
        <f t="shared" ref="R1284:R1347" si="129">M1284</f>
        <v>C16</v>
      </c>
      <c r="S1284" s="18">
        <f t="shared" ref="S1284:S1347" si="130">O1284</f>
        <v>9.5893418196564966</v>
      </c>
      <c r="T1284" s="18">
        <f>S1284/Explications!$C$8</f>
        <v>0.3196447273218832</v>
      </c>
    </row>
    <row r="1285" spans="7:20">
      <c r="G1285" s="7" t="s">
        <v>32</v>
      </c>
      <c r="H1285" s="7" t="s">
        <v>76</v>
      </c>
      <c r="I1285" s="7">
        <v>46.733699999999999</v>
      </c>
      <c r="J1285" s="7">
        <v>-71.270099999999999</v>
      </c>
      <c r="K1285" s="7">
        <v>46.772500000000001</v>
      </c>
      <c r="L1285" s="7">
        <v>-71.276300000000006</v>
      </c>
      <c r="M1285" s="10" t="str">
        <f t="shared" si="125"/>
        <v>C16</v>
      </c>
      <c r="N1285" s="10" t="str">
        <f t="shared" si="126"/>
        <v>C60</v>
      </c>
      <c r="O1285" s="5">
        <f t="shared" si="127"/>
        <v>4.3401426334336399</v>
      </c>
      <c r="P1285" s="22">
        <f>O1285/Explications!$C$8</f>
        <v>0.14467142111445466</v>
      </c>
      <c r="Q1285" s="7" t="str">
        <f t="shared" si="128"/>
        <v>C60</v>
      </c>
      <c r="R1285" s="7" t="str">
        <f t="shared" si="129"/>
        <v>C16</v>
      </c>
      <c r="S1285" s="18">
        <f t="shared" si="130"/>
        <v>4.3401426334336399</v>
      </c>
      <c r="T1285" s="18">
        <f>S1285/Explications!$C$8</f>
        <v>0.14467142111445466</v>
      </c>
    </row>
    <row r="1286" spans="7:20">
      <c r="G1286" s="7" t="s">
        <v>32</v>
      </c>
      <c r="H1286" s="7" t="s">
        <v>77</v>
      </c>
      <c r="I1286" s="7">
        <v>46.733699999999999</v>
      </c>
      <c r="J1286" s="7">
        <v>-71.270099999999999</v>
      </c>
      <c r="K1286" s="7">
        <v>46.810899999999997</v>
      </c>
      <c r="L1286" s="7">
        <v>-71.215599999999995</v>
      </c>
      <c r="M1286" s="10" t="str">
        <f t="shared" si="125"/>
        <v>C16</v>
      </c>
      <c r="N1286" s="10" t="str">
        <f t="shared" si="126"/>
        <v>C61</v>
      </c>
      <c r="O1286" s="5">
        <f t="shared" si="127"/>
        <v>9.5350187364344183</v>
      </c>
      <c r="P1286" s="22">
        <f>O1286/Explications!$C$8</f>
        <v>0.31783395788114727</v>
      </c>
      <c r="Q1286" s="7" t="str">
        <f t="shared" si="128"/>
        <v>C61</v>
      </c>
      <c r="R1286" s="7" t="str">
        <f t="shared" si="129"/>
        <v>C16</v>
      </c>
      <c r="S1286" s="18">
        <f t="shared" si="130"/>
        <v>9.5350187364344183</v>
      </c>
      <c r="T1286" s="18">
        <f>S1286/Explications!$C$8</f>
        <v>0.31783395788114727</v>
      </c>
    </row>
    <row r="1287" spans="7:20">
      <c r="G1287" s="7" t="s">
        <v>32</v>
      </c>
      <c r="H1287" s="7" t="s">
        <v>78</v>
      </c>
      <c r="I1287" s="7">
        <v>46.733699999999999</v>
      </c>
      <c r="J1287" s="7">
        <v>-71.270099999999999</v>
      </c>
      <c r="K1287" s="7">
        <v>46.795200000000001</v>
      </c>
      <c r="L1287" s="7">
        <v>-71.245099999999994</v>
      </c>
      <c r="M1287" s="10" t="str">
        <f t="shared" si="125"/>
        <v>C16</v>
      </c>
      <c r="N1287" s="10" t="str">
        <f t="shared" si="126"/>
        <v>C62</v>
      </c>
      <c r="O1287" s="5">
        <f t="shared" si="127"/>
        <v>7.0986573601913854</v>
      </c>
      <c r="P1287" s="22">
        <f>O1287/Explications!$C$8</f>
        <v>0.23662191200637953</v>
      </c>
      <c r="Q1287" s="7" t="str">
        <f t="shared" si="128"/>
        <v>C62</v>
      </c>
      <c r="R1287" s="7" t="str">
        <f t="shared" si="129"/>
        <v>C16</v>
      </c>
      <c r="S1287" s="18">
        <f t="shared" si="130"/>
        <v>7.0986573601913854</v>
      </c>
      <c r="T1287" s="18">
        <f>S1287/Explications!$C$8</f>
        <v>0.23662191200637953</v>
      </c>
    </row>
    <row r="1288" spans="7:20">
      <c r="G1288" s="7" t="s">
        <v>32</v>
      </c>
      <c r="H1288" s="7" t="s">
        <v>79</v>
      </c>
      <c r="I1288" s="7">
        <v>46.733699999999999</v>
      </c>
      <c r="J1288" s="7">
        <v>-71.270099999999999</v>
      </c>
      <c r="K1288" s="7">
        <v>46.822000000000003</v>
      </c>
      <c r="L1288" s="7">
        <v>-71.345699999999994</v>
      </c>
      <c r="M1288" s="10" t="str">
        <f t="shared" si="125"/>
        <v>C16</v>
      </c>
      <c r="N1288" s="10" t="str">
        <f t="shared" si="126"/>
        <v>C63</v>
      </c>
      <c r="O1288" s="5">
        <f t="shared" si="127"/>
        <v>11.381786594882168</v>
      </c>
      <c r="P1288" s="22">
        <f>O1288/Explications!$C$8</f>
        <v>0.37939288649607228</v>
      </c>
      <c r="Q1288" s="7" t="str">
        <f t="shared" si="128"/>
        <v>C63</v>
      </c>
      <c r="R1288" s="7" t="str">
        <f t="shared" si="129"/>
        <v>C16</v>
      </c>
      <c r="S1288" s="18">
        <f t="shared" si="130"/>
        <v>11.381786594882168</v>
      </c>
      <c r="T1288" s="18">
        <f>S1288/Explications!$C$8</f>
        <v>0.37939288649607228</v>
      </c>
    </row>
    <row r="1289" spans="7:20">
      <c r="G1289" s="7" t="s">
        <v>32</v>
      </c>
      <c r="H1289" s="7" t="s">
        <v>80</v>
      </c>
      <c r="I1289" s="7">
        <v>46.733699999999999</v>
      </c>
      <c r="J1289" s="7">
        <v>-71.270099999999999</v>
      </c>
      <c r="K1289" s="7">
        <v>46.779400000000003</v>
      </c>
      <c r="L1289" s="7">
        <v>-71.350399999999993</v>
      </c>
      <c r="M1289" s="10" t="str">
        <f t="shared" si="125"/>
        <v>C16</v>
      </c>
      <c r="N1289" s="10" t="str">
        <f t="shared" si="126"/>
        <v>C64</v>
      </c>
      <c r="O1289" s="5">
        <f t="shared" si="127"/>
        <v>7.9525559240043906</v>
      </c>
      <c r="P1289" s="22">
        <f>O1289/Explications!$C$8</f>
        <v>0.26508519746681303</v>
      </c>
      <c r="Q1289" s="7" t="str">
        <f t="shared" si="128"/>
        <v>C64</v>
      </c>
      <c r="R1289" s="7" t="str">
        <f t="shared" si="129"/>
        <v>C16</v>
      </c>
      <c r="S1289" s="18">
        <f t="shared" si="130"/>
        <v>7.9525559240043906</v>
      </c>
      <c r="T1289" s="18">
        <f>S1289/Explications!$C$8</f>
        <v>0.26508519746681303</v>
      </c>
    </row>
    <row r="1290" spans="7:20">
      <c r="G1290" s="7" t="s">
        <v>32</v>
      </c>
      <c r="H1290" s="7" t="s">
        <v>81</v>
      </c>
      <c r="I1290" s="7">
        <v>46.733699999999999</v>
      </c>
      <c r="J1290" s="7">
        <v>-71.270099999999999</v>
      </c>
      <c r="K1290" s="7">
        <v>46.772300000000001</v>
      </c>
      <c r="L1290" s="7">
        <v>-71.279799999999994</v>
      </c>
      <c r="M1290" s="10" t="str">
        <f t="shared" si="125"/>
        <v>C16</v>
      </c>
      <c r="N1290" s="10" t="str">
        <f t="shared" si="126"/>
        <v>C65</v>
      </c>
      <c r="O1290" s="5">
        <f t="shared" si="127"/>
        <v>4.3552769572994734</v>
      </c>
      <c r="P1290" s="22">
        <f>O1290/Explications!$C$8</f>
        <v>0.14517589857664912</v>
      </c>
      <c r="Q1290" s="7" t="str">
        <f t="shared" si="128"/>
        <v>C65</v>
      </c>
      <c r="R1290" s="7" t="str">
        <f t="shared" si="129"/>
        <v>C16</v>
      </c>
      <c r="S1290" s="18">
        <f t="shared" si="130"/>
        <v>4.3552769572994734</v>
      </c>
      <c r="T1290" s="18">
        <f>S1290/Explications!$C$8</f>
        <v>0.14517589857664912</v>
      </c>
    </row>
    <row r="1291" spans="7:20">
      <c r="G1291" s="7" t="s">
        <v>32</v>
      </c>
      <c r="H1291" s="7" t="s">
        <v>82</v>
      </c>
      <c r="I1291" s="7">
        <v>46.733699999999999</v>
      </c>
      <c r="J1291" s="7">
        <v>-71.270099999999999</v>
      </c>
      <c r="K1291" s="7">
        <v>46.814900000000002</v>
      </c>
      <c r="L1291" s="7">
        <v>-71.225200000000001</v>
      </c>
      <c r="M1291" s="10" t="str">
        <f t="shared" si="125"/>
        <v>C16</v>
      </c>
      <c r="N1291" s="10" t="str">
        <f t="shared" si="126"/>
        <v>C66</v>
      </c>
      <c r="O1291" s="5">
        <f t="shared" si="127"/>
        <v>9.6548023927368938</v>
      </c>
      <c r="P1291" s="22">
        <f>O1291/Explications!$C$8</f>
        <v>0.3218267464245631</v>
      </c>
      <c r="Q1291" s="7" t="str">
        <f t="shared" si="128"/>
        <v>C66</v>
      </c>
      <c r="R1291" s="7" t="str">
        <f t="shared" si="129"/>
        <v>C16</v>
      </c>
      <c r="S1291" s="18">
        <f t="shared" si="130"/>
        <v>9.6548023927368938</v>
      </c>
      <c r="T1291" s="18">
        <f>S1291/Explications!$C$8</f>
        <v>0.3218267464245631</v>
      </c>
    </row>
    <row r="1292" spans="7:20">
      <c r="G1292" s="7" t="s">
        <v>32</v>
      </c>
      <c r="H1292" s="7" t="s">
        <v>83</v>
      </c>
      <c r="I1292" s="7">
        <v>46.733699999999999</v>
      </c>
      <c r="J1292" s="7">
        <v>-71.270099999999999</v>
      </c>
      <c r="K1292" s="7">
        <v>46.814700000000002</v>
      </c>
      <c r="L1292" s="7">
        <v>-71.207300000000004</v>
      </c>
      <c r="M1292" s="10" t="str">
        <f t="shared" si="125"/>
        <v>C16</v>
      </c>
      <c r="N1292" s="10" t="str">
        <f t="shared" si="126"/>
        <v>C67</v>
      </c>
      <c r="O1292" s="5">
        <f t="shared" si="127"/>
        <v>10.197777052570478</v>
      </c>
      <c r="P1292" s="22">
        <f>O1292/Explications!$C$8</f>
        <v>0.33992590175234927</v>
      </c>
      <c r="Q1292" s="7" t="str">
        <f t="shared" si="128"/>
        <v>C67</v>
      </c>
      <c r="R1292" s="7" t="str">
        <f t="shared" si="129"/>
        <v>C16</v>
      </c>
      <c r="S1292" s="18">
        <f t="shared" si="130"/>
        <v>10.197777052570478</v>
      </c>
      <c r="T1292" s="18">
        <f>S1292/Explications!$C$8</f>
        <v>0.33992590175234927</v>
      </c>
    </row>
    <row r="1293" spans="7:20">
      <c r="G1293" s="7" t="s">
        <v>32</v>
      </c>
      <c r="H1293" s="7" t="s">
        <v>84</v>
      </c>
      <c r="I1293" s="7">
        <v>46.733699999999999</v>
      </c>
      <c r="J1293" s="7">
        <v>-71.270099999999999</v>
      </c>
      <c r="K1293" s="7">
        <v>46.815600000000003</v>
      </c>
      <c r="L1293" s="7">
        <v>-71.2029</v>
      </c>
      <c r="M1293" s="10" t="str">
        <f t="shared" si="125"/>
        <v>C16</v>
      </c>
      <c r="N1293" s="10" t="str">
        <f t="shared" si="126"/>
        <v>C68</v>
      </c>
      <c r="O1293" s="5">
        <f t="shared" si="127"/>
        <v>10.44625673772628</v>
      </c>
      <c r="P1293" s="22">
        <f>O1293/Explications!$C$8</f>
        <v>0.34820855792420935</v>
      </c>
      <c r="Q1293" s="7" t="str">
        <f t="shared" si="128"/>
        <v>C68</v>
      </c>
      <c r="R1293" s="7" t="str">
        <f t="shared" si="129"/>
        <v>C16</v>
      </c>
      <c r="S1293" s="18">
        <f t="shared" si="130"/>
        <v>10.44625673772628</v>
      </c>
      <c r="T1293" s="18">
        <f>S1293/Explications!$C$8</f>
        <v>0.34820855792420935</v>
      </c>
    </row>
    <row r="1294" spans="7:20">
      <c r="G1294" s="7" t="s">
        <v>32</v>
      </c>
      <c r="H1294" s="7" t="s">
        <v>85</v>
      </c>
      <c r="I1294" s="7">
        <v>46.733699999999999</v>
      </c>
      <c r="J1294" s="7">
        <v>-71.270099999999999</v>
      </c>
      <c r="K1294" s="7">
        <v>46.821899999999999</v>
      </c>
      <c r="L1294" s="7">
        <v>-71.249899999999997</v>
      </c>
      <c r="M1294" s="10" t="str">
        <f t="shared" si="125"/>
        <v>C16</v>
      </c>
      <c r="N1294" s="10" t="str">
        <f t="shared" si="126"/>
        <v>C69</v>
      </c>
      <c r="O1294" s="5">
        <f t="shared" si="127"/>
        <v>9.9272891949934419</v>
      </c>
      <c r="P1294" s="22">
        <f>O1294/Explications!$C$8</f>
        <v>0.33090963983311472</v>
      </c>
      <c r="Q1294" s="7" t="str">
        <f t="shared" si="128"/>
        <v>C69</v>
      </c>
      <c r="R1294" s="7" t="str">
        <f t="shared" si="129"/>
        <v>C16</v>
      </c>
      <c r="S1294" s="18">
        <f t="shared" si="130"/>
        <v>9.9272891949934419</v>
      </c>
      <c r="T1294" s="18">
        <f>S1294/Explications!$C$8</f>
        <v>0.33090963983311472</v>
      </c>
    </row>
    <row r="1295" spans="7:20">
      <c r="G1295" s="7" t="s">
        <v>32</v>
      </c>
      <c r="H1295" s="7" t="s">
        <v>86</v>
      </c>
      <c r="I1295" s="7">
        <v>46.733699999999999</v>
      </c>
      <c r="J1295" s="7">
        <v>-71.270099999999999</v>
      </c>
      <c r="K1295" s="7">
        <v>46.8872</v>
      </c>
      <c r="L1295" s="7">
        <v>-71.27</v>
      </c>
      <c r="M1295" s="10" t="str">
        <f t="shared" si="125"/>
        <v>C16</v>
      </c>
      <c r="N1295" s="10" t="str">
        <f t="shared" si="126"/>
        <v>C70</v>
      </c>
      <c r="O1295" s="5">
        <f t="shared" si="127"/>
        <v>17.068422936748512</v>
      </c>
      <c r="P1295" s="22">
        <f>O1295/Explications!$C$8</f>
        <v>0.5689474312249504</v>
      </c>
      <c r="Q1295" s="7" t="str">
        <f t="shared" si="128"/>
        <v>C70</v>
      </c>
      <c r="R1295" s="7" t="str">
        <f t="shared" si="129"/>
        <v>C16</v>
      </c>
      <c r="S1295" s="18">
        <f t="shared" si="130"/>
        <v>17.068422936748512</v>
      </c>
      <c r="T1295" s="18">
        <f>S1295/Explications!$C$8</f>
        <v>0.5689474312249504</v>
      </c>
    </row>
    <row r="1296" spans="7:20">
      <c r="G1296" s="7" t="s">
        <v>32</v>
      </c>
      <c r="H1296" s="7" t="s">
        <v>87</v>
      </c>
      <c r="I1296" s="7">
        <v>46.733699999999999</v>
      </c>
      <c r="J1296" s="7">
        <v>-71.270099999999999</v>
      </c>
      <c r="K1296" s="7">
        <v>46.816299999999998</v>
      </c>
      <c r="L1296" s="7">
        <v>-71.210300000000004</v>
      </c>
      <c r="M1296" s="10" t="str">
        <f t="shared" si="125"/>
        <v>C16</v>
      </c>
      <c r="N1296" s="10" t="str">
        <f t="shared" si="126"/>
        <v>C71</v>
      </c>
      <c r="O1296" s="5">
        <f t="shared" si="127"/>
        <v>10.251705040185273</v>
      </c>
      <c r="P1296" s="22">
        <f>O1296/Explications!$C$8</f>
        <v>0.34172350133950913</v>
      </c>
      <c r="Q1296" s="7" t="str">
        <f t="shared" si="128"/>
        <v>C71</v>
      </c>
      <c r="R1296" s="7" t="str">
        <f t="shared" si="129"/>
        <v>C16</v>
      </c>
      <c r="S1296" s="18">
        <f t="shared" si="130"/>
        <v>10.251705040185273</v>
      </c>
      <c r="T1296" s="18">
        <f>S1296/Explications!$C$8</f>
        <v>0.34172350133950913</v>
      </c>
    </row>
    <row r="1297" spans="7:20">
      <c r="G1297" s="7" t="s">
        <v>32</v>
      </c>
      <c r="H1297" s="7" t="s">
        <v>88</v>
      </c>
      <c r="I1297" s="7">
        <v>46.733699999999999</v>
      </c>
      <c r="J1297" s="7">
        <v>-71.270099999999999</v>
      </c>
      <c r="K1297" s="7">
        <v>46.807000000000002</v>
      </c>
      <c r="L1297" s="7">
        <v>-71.3566</v>
      </c>
      <c r="M1297" s="10" t="str">
        <f t="shared" si="125"/>
        <v>C16</v>
      </c>
      <c r="N1297" s="10" t="str">
        <f t="shared" si="126"/>
        <v>C72</v>
      </c>
      <c r="O1297" s="5">
        <f t="shared" si="127"/>
        <v>10.48006717338547</v>
      </c>
      <c r="P1297" s="22">
        <f>O1297/Explications!$C$8</f>
        <v>0.3493355724461823</v>
      </c>
      <c r="Q1297" s="7" t="str">
        <f t="shared" si="128"/>
        <v>C72</v>
      </c>
      <c r="R1297" s="7" t="str">
        <f t="shared" si="129"/>
        <v>C16</v>
      </c>
      <c r="S1297" s="18">
        <f t="shared" si="130"/>
        <v>10.48006717338547</v>
      </c>
      <c r="T1297" s="18">
        <f>S1297/Explications!$C$8</f>
        <v>0.3493355724461823</v>
      </c>
    </row>
    <row r="1298" spans="7:20">
      <c r="G1298" s="7" t="s">
        <v>32</v>
      </c>
      <c r="H1298" s="7" t="s">
        <v>89</v>
      </c>
      <c r="I1298" s="7">
        <v>46.733699999999999</v>
      </c>
      <c r="J1298" s="7">
        <v>-71.270099999999999</v>
      </c>
      <c r="K1298" s="7">
        <v>46.822899999999997</v>
      </c>
      <c r="L1298" s="7">
        <v>-71.341899999999995</v>
      </c>
      <c r="M1298" s="10" t="str">
        <f t="shared" si="125"/>
        <v>C16</v>
      </c>
      <c r="N1298" s="10" t="str">
        <f t="shared" si="126"/>
        <v>C73</v>
      </c>
      <c r="O1298" s="5">
        <f t="shared" si="127"/>
        <v>11.325712982625118</v>
      </c>
      <c r="P1298" s="22">
        <f>O1298/Explications!$C$8</f>
        <v>0.37752376608750393</v>
      </c>
      <c r="Q1298" s="7" t="str">
        <f t="shared" si="128"/>
        <v>C73</v>
      </c>
      <c r="R1298" s="7" t="str">
        <f t="shared" si="129"/>
        <v>C16</v>
      </c>
      <c r="S1298" s="18">
        <f t="shared" si="130"/>
        <v>11.325712982625118</v>
      </c>
      <c r="T1298" s="18">
        <f>S1298/Explications!$C$8</f>
        <v>0.37752376608750393</v>
      </c>
    </row>
    <row r="1299" spans="7:20">
      <c r="G1299" s="7" t="s">
        <v>32</v>
      </c>
      <c r="H1299" s="7" t="s">
        <v>90</v>
      </c>
      <c r="I1299" s="7">
        <v>46.733699999999999</v>
      </c>
      <c r="J1299" s="7">
        <v>-71.270099999999999</v>
      </c>
      <c r="K1299" s="7">
        <v>46.730699999999999</v>
      </c>
      <c r="L1299" s="7">
        <v>-71.261099999999999</v>
      </c>
      <c r="M1299" s="10" t="str">
        <f t="shared" si="125"/>
        <v>C16</v>
      </c>
      <c r="N1299" s="10" t="str">
        <f t="shared" si="126"/>
        <v>C74</v>
      </c>
      <c r="O1299" s="5">
        <f t="shared" si="127"/>
        <v>0.76274088346055846</v>
      </c>
      <c r="P1299" s="22">
        <f>O1299/Explications!$C$8</f>
        <v>2.542469611535195E-2</v>
      </c>
      <c r="Q1299" s="7" t="str">
        <f t="shared" si="128"/>
        <v>C74</v>
      </c>
      <c r="R1299" s="7" t="str">
        <f t="shared" si="129"/>
        <v>C16</v>
      </c>
      <c r="S1299" s="18">
        <f t="shared" si="130"/>
        <v>0.76274088346055846</v>
      </c>
      <c r="T1299" s="18">
        <f>S1299/Explications!$C$8</f>
        <v>2.542469611535195E-2</v>
      </c>
    </row>
    <row r="1300" spans="7:20">
      <c r="G1300" s="7" t="s">
        <v>32</v>
      </c>
      <c r="H1300" s="7" t="s">
        <v>91</v>
      </c>
      <c r="I1300" s="7">
        <v>46.733699999999999</v>
      </c>
      <c r="J1300" s="7">
        <v>-71.270099999999999</v>
      </c>
      <c r="K1300" s="7">
        <v>46.840600000000002</v>
      </c>
      <c r="L1300" s="7">
        <v>-71.289100000000005</v>
      </c>
      <c r="M1300" s="10" t="str">
        <f t="shared" si="125"/>
        <v>C16</v>
      </c>
      <c r="N1300" s="10" t="str">
        <f t="shared" si="126"/>
        <v>C75</v>
      </c>
      <c r="O1300" s="5">
        <f t="shared" si="127"/>
        <v>11.974437505573706</v>
      </c>
      <c r="P1300" s="22">
        <f>O1300/Explications!$C$8</f>
        <v>0.39914791685245687</v>
      </c>
      <c r="Q1300" s="7" t="str">
        <f t="shared" si="128"/>
        <v>C75</v>
      </c>
      <c r="R1300" s="7" t="str">
        <f t="shared" si="129"/>
        <v>C16</v>
      </c>
      <c r="S1300" s="18">
        <f t="shared" si="130"/>
        <v>11.974437505573706</v>
      </c>
      <c r="T1300" s="18">
        <f>S1300/Explications!$C$8</f>
        <v>0.39914791685245687</v>
      </c>
    </row>
    <row r="1301" spans="7:20">
      <c r="G1301" s="7" t="s">
        <v>32</v>
      </c>
      <c r="H1301" s="7" t="s">
        <v>92</v>
      </c>
      <c r="I1301" s="7">
        <v>46.733699999999999</v>
      </c>
      <c r="J1301" s="7">
        <v>-71.270099999999999</v>
      </c>
      <c r="K1301" s="7">
        <v>46.840600000000002</v>
      </c>
      <c r="L1301" s="7">
        <v>-71.281599999999997</v>
      </c>
      <c r="M1301" s="10" t="str">
        <f t="shared" si="125"/>
        <v>C16</v>
      </c>
      <c r="N1301" s="10" t="str">
        <f t="shared" si="126"/>
        <v>C76</v>
      </c>
      <c r="O1301" s="5">
        <f t="shared" si="127"/>
        <v>11.918940825174126</v>
      </c>
      <c r="P1301" s="22">
        <f>O1301/Explications!$C$8</f>
        <v>0.39729802750580417</v>
      </c>
      <c r="Q1301" s="7" t="str">
        <f t="shared" si="128"/>
        <v>C76</v>
      </c>
      <c r="R1301" s="7" t="str">
        <f t="shared" si="129"/>
        <v>C16</v>
      </c>
      <c r="S1301" s="18">
        <f t="shared" si="130"/>
        <v>11.918940825174126</v>
      </c>
      <c r="T1301" s="18">
        <f>S1301/Explications!$C$8</f>
        <v>0.39729802750580417</v>
      </c>
    </row>
    <row r="1302" spans="7:20">
      <c r="G1302" s="7" t="s">
        <v>32</v>
      </c>
      <c r="H1302" s="7" t="s">
        <v>93</v>
      </c>
      <c r="I1302" s="7">
        <v>46.733699999999999</v>
      </c>
      <c r="J1302" s="7">
        <v>-71.270099999999999</v>
      </c>
      <c r="K1302" s="7">
        <v>46.839399999999998</v>
      </c>
      <c r="L1302" s="7">
        <v>-71.282600000000002</v>
      </c>
      <c r="M1302" s="10" t="str">
        <f t="shared" si="125"/>
        <v>C16</v>
      </c>
      <c r="N1302" s="10" t="str">
        <f t="shared" si="126"/>
        <v>C77</v>
      </c>
      <c r="O1302" s="5">
        <f t="shared" si="127"/>
        <v>11.791772939267386</v>
      </c>
      <c r="P1302" s="22">
        <f>O1302/Explications!$C$8</f>
        <v>0.39305909797557953</v>
      </c>
      <c r="Q1302" s="7" t="str">
        <f t="shared" si="128"/>
        <v>C77</v>
      </c>
      <c r="R1302" s="7" t="str">
        <f t="shared" si="129"/>
        <v>C16</v>
      </c>
      <c r="S1302" s="18">
        <f t="shared" si="130"/>
        <v>11.791772939267386</v>
      </c>
      <c r="T1302" s="18">
        <f>S1302/Explications!$C$8</f>
        <v>0.39305909797557953</v>
      </c>
    </row>
    <row r="1303" spans="7:20">
      <c r="G1303" s="7" t="s">
        <v>32</v>
      </c>
      <c r="H1303" s="7" t="s">
        <v>94</v>
      </c>
      <c r="I1303" s="7">
        <v>46.733699999999999</v>
      </c>
      <c r="J1303" s="7">
        <v>-71.270099999999999</v>
      </c>
      <c r="K1303" s="7">
        <v>46.788499999999999</v>
      </c>
      <c r="L1303" s="7">
        <v>-71.282399999999996</v>
      </c>
      <c r="M1303" s="10" t="str">
        <f t="shared" si="125"/>
        <v>C16</v>
      </c>
      <c r="N1303" s="10" t="str">
        <f t="shared" si="126"/>
        <v>C78</v>
      </c>
      <c r="O1303" s="5">
        <f t="shared" si="127"/>
        <v>6.1650920837072327</v>
      </c>
      <c r="P1303" s="22">
        <f>O1303/Explications!$C$8</f>
        <v>0.20550306945690774</v>
      </c>
      <c r="Q1303" s="7" t="str">
        <f t="shared" si="128"/>
        <v>C78</v>
      </c>
      <c r="R1303" s="7" t="str">
        <f t="shared" si="129"/>
        <v>C16</v>
      </c>
      <c r="S1303" s="18">
        <f t="shared" si="130"/>
        <v>6.1650920837072327</v>
      </c>
      <c r="T1303" s="18">
        <f>S1303/Explications!$C$8</f>
        <v>0.20550306945690774</v>
      </c>
    </row>
    <row r="1304" spans="7:20">
      <c r="G1304" s="7" t="s">
        <v>32</v>
      </c>
      <c r="H1304" s="7" t="s">
        <v>95</v>
      </c>
      <c r="I1304" s="7">
        <v>46.733699999999999</v>
      </c>
      <c r="J1304" s="7">
        <v>-71.270099999999999</v>
      </c>
      <c r="K1304" s="7">
        <v>46.840699999999998</v>
      </c>
      <c r="L1304" s="7">
        <v>-71.325400000000002</v>
      </c>
      <c r="M1304" s="10" t="str">
        <f t="shared" si="125"/>
        <v>C16</v>
      </c>
      <c r="N1304" s="10" t="str">
        <f t="shared" si="126"/>
        <v>C79</v>
      </c>
      <c r="O1304" s="5">
        <f t="shared" si="127"/>
        <v>12.620852157333356</v>
      </c>
      <c r="P1304" s="22">
        <f>O1304/Explications!$C$8</f>
        <v>0.42069507191111188</v>
      </c>
      <c r="Q1304" s="7" t="str">
        <f t="shared" si="128"/>
        <v>C79</v>
      </c>
      <c r="R1304" s="7" t="str">
        <f t="shared" si="129"/>
        <v>C16</v>
      </c>
      <c r="S1304" s="18">
        <f t="shared" si="130"/>
        <v>12.620852157333356</v>
      </c>
      <c r="T1304" s="18">
        <f>S1304/Explications!$C$8</f>
        <v>0.42069507191111188</v>
      </c>
    </row>
    <row r="1305" spans="7:20">
      <c r="G1305" s="7" t="s">
        <v>32</v>
      </c>
      <c r="H1305" s="7" t="s">
        <v>96</v>
      </c>
      <c r="I1305" s="7">
        <v>46.733699999999999</v>
      </c>
      <c r="J1305" s="7">
        <v>-71.270099999999999</v>
      </c>
      <c r="K1305" s="7">
        <v>46.798400000000001</v>
      </c>
      <c r="L1305" s="7">
        <v>-71.183199999999999</v>
      </c>
      <c r="M1305" s="10" t="str">
        <f t="shared" si="125"/>
        <v>C16</v>
      </c>
      <c r="N1305" s="10" t="str">
        <f t="shared" si="126"/>
        <v>C80</v>
      </c>
      <c r="O1305" s="5">
        <f t="shared" si="127"/>
        <v>9.7758455065058474</v>
      </c>
      <c r="P1305" s="22">
        <f>O1305/Explications!$C$8</f>
        <v>0.32586151688352827</v>
      </c>
      <c r="Q1305" s="7" t="str">
        <f t="shared" si="128"/>
        <v>C80</v>
      </c>
      <c r="R1305" s="7" t="str">
        <f t="shared" si="129"/>
        <v>C16</v>
      </c>
      <c r="S1305" s="18">
        <f t="shared" si="130"/>
        <v>9.7758455065058474</v>
      </c>
      <c r="T1305" s="18">
        <f>S1305/Explications!$C$8</f>
        <v>0.32586151688352827</v>
      </c>
    </row>
    <row r="1306" spans="7:20">
      <c r="G1306" s="7" t="s">
        <v>32</v>
      </c>
      <c r="H1306" s="7" t="s">
        <v>97</v>
      </c>
      <c r="I1306" s="7">
        <v>46.733699999999999</v>
      </c>
      <c r="J1306" s="7">
        <v>-71.270099999999999</v>
      </c>
      <c r="K1306" s="7">
        <v>46.724800000000002</v>
      </c>
      <c r="L1306" s="7">
        <v>-71.2988</v>
      </c>
      <c r="M1306" s="10" t="str">
        <f t="shared" si="125"/>
        <v>C16</v>
      </c>
      <c r="N1306" s="10" t="str">
        <f t="shared" si="126"/>
        <v>C81</v>
      </c>
      <c r="O1306" s="5">
        <f t="shared" si="127"/>
        <v>2.4009099046042643</v>
      </c>
      <c r="P1306" s="22">
        <f>O1306/Explications!$C$8</f>
        <v>8.0030330153475479E-2</v>
      </c>
      <c r="Q1306" s="7" t="str">
        <f t="shared" si="128"/>
        <v>C81</v>
      </c>
      <c r="R1306" s="7" t="str">
        <f t="shared" si="129"/>
        <v>C16</v>
      </c>
      <c r="S1306" s="18">
        <f t="shared" si="130"/>
        <v>2.4009099046042643</v>
      </c>
      <c r="T1306" s="18">
        <f>S1306/Explications!$C$8</f>
        <v>8.0030330153475479E-2</v>
      </c>
    </row>
    <row r="1307" spans="7:20">
      <c r="G1307" s="7" t="s">
        <v>32</v>
      </c>
      <c r="H1307" s="7" t="s">
        <v>98</v>
      </c>
      <c r="I1307" s="7">
        <v>46.733699999999999</v>
      </c>
      <c r="J1307" s="7">
        <v>-71.270099999999999</v>
      </c>
      <c r="K1307" s="7">
        <v>46.795499999999997</v>
      </c>
      <c r="L1307" s="7">
        <v>-71.242900000000006</v>
      </c>
      <c r="M1307" s="10" t="str">
        <f t="shared" si="125"/>
        <v>C16</v>
      </c>
      <c r="N1307" s="10" t="str">
        <f t="shared" si="126"/>
        <v>C82</v>
      </c>
      <c r="O1307" s="5">
        <f t="shared" si="127"/>
        <v>7.1773621474964813</v>
      </c>
      <c r="P1307" s="22">
        <f>O1307/Explications!$C$8</f>
        <v>0.23924540491654939</v>
      </c>
      <c r="Q1307" s="7" t="str">
        <f t="shared" si="128"/>
        <v>C82</v>
      </c>
      <c r="R1307" s="7" t="str">
        <f t="shared" si="129"/>
        <v>C16</v>
      </c>
      <c r="S1307" s="18">
        <f t="shared" si="130"/>
        <v>7.1773621474964813</v>
      </c>
      <c r="T1307" s="18">
        <f>S1307/Explications!$C$8</f>
        <v>0.23924540491654939</v>
      </c>
    </row>
    <row r="1308" spans="7:20">
      <c r="G1308" s="7" t="s">
        <v>32</v>
      </c>
      <c r="H1308" s="7" t="s">
        <v>99</v>
      </c>
      <c r="I1308" s="7">
        <v>46.733699999999999</v>
      </c>
      <c r="J1308" s="7">
        <v>-71.270099999999999</v>
      </c>
      <c r="K1308" s="7">
        <v>46.8157</v>
      </c>
      <c r="L1308" s="7">
        <v>-71.201899999999995</v>
      </c>
      <c r="M1308" s="10" t="str">
        <f t="shared" si="125"/>
        <v>C16</v>
      </c>
      <c r="N1308" s="10" t="str">
        <f t="shared" si="126"/>
        <v>C83</v>
      </c>
      <c r="O1308" s="5">
        <f t="shared" si="127"/>
        <v>10.493432401773205</v>
      </c>
      <c r="P1308" s="22">
        <f>O1308/Explications!$C$8</f>
        <v>0.34978108005910685</v>
      </c>
      <c r="Q1308" s="7" t="str">
        <f t="shared" si="128"/>
        <v>C83</v>
      </c>
      <c r="R1308" s="7" t="str">
        <f t="shared" si="129"/>
        <v>C16</v>
      </c>
      <c r="S1308" s="18">
        <f t="shared" si="130"/>
        <v>10.493432401773205</v>
      </c>
      <c r="T1308" s="18">
        <f>S1308/Explications!$C$8</f>
        <v>0.34978108005910685</v>
      </c>
    </row>
    <row r="1309" spans="7:20">
      <c r="G1309" s="7" t="s">
        <v>32</v>
      </c>
      <c r="H1309" s="7" t="s">
        <v>100</v>
      </c>
      <c r="I1309" s="7">
        <v>46.733699999999999</v>
      </c>
      <c r="J1309" s="7">
        <v>-71.270099999999999</v>
      </c>
      <c r="K1309" s="7">
        <v>46.837600000000002</v>
      </c>
      <c r="L1309" s="7">
        <v>-71.196299999999994</v>
      </c>
      <c r="M1309" s="10" t="str">
        <f t="shared" si="125"/>
        <v>C16</v>
      </c>
      <c r="N1309" s="10" t="str">
        <f t="shared" si="126"/>
        <v>C84</v>
      </c>
      <c r="O1309" s="5">
        <f t="shared" si="127"/>
        <v>12.847126980584585</v>
      </c>
      <c r="P1309" s="22">
        <f>O1309/Explications!$C$8</f>
        <v>0.4282375660194862</v>
      </c>
      <c r="Q1309" s="7" t="str">
        <f t="shared" si="128"/>
        <v>C84</v>
      </c>
      <c r="R1309" s="7" t="str">
        <f t="shared" si="129"/>
        <v>C16</v>
      </c>
      <c r="S1309" s="18">
        <f t="shared" si="130"/>
        <v>12.847126980584585</v>
      </c>
      <c r="T1309" s="18">
        <f>S1309/Explications!$C$8</f>
        <v>0.4282375660194862</v>
      </c>
    </row>
    <row r="1310" spans="7:20">
      <c r="G1310" s="7" t="s">
        <v>32</v>
      </c>
      <c r="H1310" s="7" t="s">
        <v>101</v>
      </c>
      <c r="I1310" s="7">
        <v>46.733699999999999</v>
      </c>
      <c r="J1310" s="7">
        <v>-71.270099999999999</v>
      </c>
      <c r="K1310" s="7">
        <v>46.7988</v>
      </c>
      <c r="L1310" s="7">
        <v>-71.318200000000004</v>
      </c>
      <c r="M1310" s="10" t="str">
        <f t="shared" si="125"/>
        <v>C16</v>
      </c>
      <c r="N1310" s="10" t="str">
        <f t="shared" si="126"/>
        <v>C85</v>
      </c>
      <c r="O1310" s="5">
        <f t="shared" si="127"/>
        <v>8.1130688646455464</v>
      </c>
      <c r="P1310" s="22">
        <f>O1310/Explications!$C$8</f>
        <v>0.27043562882151823</v>
      </c>
      <c r="Q1310" s="7" t="str">
        <f t="shared" si="128"/>
        <v>C85</v>
      </c>
      <c r="R1310" s="7" t="str">
        <f t="shared" si="129"/>
        <v>C16</v>
      </c>
      <c r="S1310" s="18">
        <f t="shared" si="130"/>
        <v>8.1130688646455464</v>
      </c>
      <c r="T1310" s="18">
        <f>S1310/Explications!$C$8</f>
        <v>0.27043562882151823</v>
      </c>
    </row>
    <row r="1311" spans="7:20">
      <c r="G1311" s="7" t="s">
        <v>33</v>
      </c>
      <c r="H1311" s="7" t="s">
        <v>34</v>
      </c>
      <c r="I1311" s="7">
        <v>46.8035</v>
      </c>
      <c r="J1311" s="7">
        <v>-71.3553</v>
      </c>
      <c r="K1311" s="7">
        <v>46.730200000000004</v>
      </c>
      <c r="L1311" s="7">
        <v>-71.274100000000004</v>
      </c>
      <c r="M1311" s="10" t="str">
        <f t="shared" si="125"/>
        <v>C17</v>
      </c>
      <c r="N1311" s="10" t="str">
        <f t="shared" si="126"/>
        <v>C18</v>
      </c>
      <c r="O1311" s="5">
        <f t="shared" si="127"/>
        <v>10.231391088240933</v>
      </c>
      <c r="P1311" s="22">
        <f>O1311/Explications!$C$8</f>
        <v>0.34104636960803109</v>
      </c>
      <c r="Q1311" s="7" t="str">
        <f t="shared" si="128"/>
        <v>C18</v>
      </c>
      <c r="R1311" s="7" t="str">
        <f t="shared" si="129"/>
        <v>C17</v>
      </c>
      <c r="S1311" s="18">
        <f t="shared" si="130"/>
        <v>10.231391088240933</v>
      </c>
      <c r="T1311" s="18">
        <f>S1311/Explications!$C$8</f>
        <v>0.34104636960803109</v>
      </c>
    </row>
    <row r="1312" spans="7:20">
      <c r="G1312" s="7" t="s">
        <v>33</v>
      </c>
      <c r="H1312" s="7" t="s">
        <v>35</v>
      </c>
      <c r="I1312" s="7">
        <v>46.8035</v>
      </c>
      <c r="J1312" s="7">
        <v>-71.3553</v>
      </c>
      <c r="K1312" s="7">
        <v>46.785600000000002</v>
      </c>
      <c r="L1312" s="7">
        <v>-71.245500000000007</v>
      </c>
      <c r="M1312" s="10" t="str">
        <f t="shared" si="125"/>
        <v>C17</v>
      </c>
      <c r="N1312" s="10" t="str">
        <f t="shared" si="126"/>
        <v>C19</v>
      </c>
      <c r="O1312" s="5">
        <f t="shared" si="127"/>
        <v>8.5923327306104014</v>
      </c>
      <c r="P1312" s="22">
        <f>O1312/Explications!$C$8</f>
        <v>0.28641109102034673</v>
      </c>
      <c r="Q1312" s="7" t="str">
        <f t="shared" si="128"/>
        <v>C19</v>
      </c>
      <c r="R1312" s="7" t="str">
        <f t="shared" si="129"/>
        <v>C17</v>
      </c>
      <c r="S1312" s="18">
        <f t="shared" si="130"/>
        <v>8.5923327306104014</v>
      </c>
      <c r="T1312" s="18">
        <f>S1312/Explications!$C$8</f>
        <v>0.28641109102034673</v>
      </c>
    </row>
    <row r="1313" spans="7:20">
      <c r="G1313" s="7" t="s">
        <v>33</v>
      </c>
      <c r="H1313" s="7" t="s">
        <v>36</v>
      </c>
      <c r="I1313" s="7">
        <v>46.8035</v>
      </c>
      <c r="J1313" s="7">
        <v>-71.3553</v>
      </c>
      <c r="K1313" s="7">
        <v>46.8215</v>
      </c>
      <c r="L1313" s="7">
        <v>-71.355400000000003</v>
      </c>
      <c r="M1313" s="10" t="str">
        <f t="shared" si="125"/>
        <v>C17</v>
      </c>
      <c r="N1313" s="10" t="str">
        <f t="shared" si="126"/>
        <v>C20</v>
      </c>
      <c r="O1313" s="5">
        <f t="shared" si="127"/>
        <v>2.0015231467122252</v>
      </c>
      <c r="P1313" s="22">
        <f>O1313/Explications!$C$8</f>
        <v>6.6717438223740835E-2</v>
      </c>
      <c r="Q1313" s="7" t="str">
        <f t="shared" si="128"/>
        <v>C20</v>
      </c>
      <c r="R1313" s="7" t="str">
        <f t="shared" si="129"/>
        <v>C17</v>
      </c>
      <c r="S1313" s="18">
        <f t="shared" si="130"/>
        <v>2.0015231467122252</v>
      </c>
      <c r="T1313" s="18">
        <f>S1313/Explications!$C$8</f>
        <v>6.6717438223740835E-2</v>
      </c>
    </row>
    <row r="1314" spans="7:20">
      <c r="G1314" s="7" t="s">
        <v>33</v>
      </c>
      <c r="H1314" s="7" t="s">
        <v>37</v>
      </c>
      <c r="I1314" s="7">
        <v>46.8035</v>
      </c>
      <c r="J1314" s="7">
        <v>-71.3553</v>
      </c>
      <c r="K1314" s="7">
        <v>46.8093</v>
      </c>
      <c r="L1314" s="7">
        <v>-71.2273</v>
      </c>
      <c r="M1314" s="10" t="str">
        <f t="shared" si="125"/>
        <v>C17</v>
      </c>
      <c r="N1314" s="10" t="str">
        <f t="shared" si="126"/>
        <v>C21</v>
      </c>
      <c r="O1314" s="5">
        <f t="shared" si="127"/>
        <v>9.7632893299231878</v>
      </c>
      <c r="P1314" s="22">
        <f>O1314/Explications!$C$8</f>
        <v>0.32544297766410624</v>
      </c>
      <c r="Q1314" s="7" t="str">
        <f t="shared" si="128"/>
        <v>C21</v>
      </c>
      <c r="R1314" s="7" t="str">
        <f t="shared" si="129"/>
        <v>C17</v>
      </c>
      <c r="S1314" s="18">
        <f t="shared" si="130"/>
        <v>9.7632893299231878</v>
      </c>
      <c r="T1314" s="18">
        <f>S1314/Explications!$C$8</f>
        <v>0.32544297766410624</v>
      </c>
    </row>
    <row r="1315" spans="7:20">
      <c r="G1315" s="7" t="s">
        <v>33</v>
      </c>
      <c r="H1315" s="7" t="s">
        <v>38</v>
      </c>
      <c r="I1315" s="7">
        <v>46.8035</v>
      </c>
      <c r="J1315" s="7">
        <v>-71.3553</v>
      </c>
      <c r="K1315" s="7">
        <v>46.781300000000002</v>
      </c>
      <c r="L1315" s="7">
        <v>-71.301000000000002</v>
      </c>
      <c r="M1315" s="10" t="str">
        <f t="shared" si="125"/>
        <v>C17</v>
      </c>
      <c r="N1315" s="10" t="str">
        <f t="shared" si="126"/>
        <v>C22</v>
      </c>
      <c r="O1315" s="5">
        <f t="shared" si="127"/>
        <v>4.8147616291118371</v>
      </c>
      <c r="P1315" s="22">
        <f>O1315/Explications!$C$8</f>
        <v>0.1604920543037279</v>
      </c>
      <c r="Q1315" s="7" t="str">
        <f t="shared" si="128"/>
        <v>C22</v>
      </c>
      <c r="R1315" s="7" t="str">
        <f t="shared" si="129"/>
        <v>C17</v>
      </c>
      <c r="S1315" s="18">
        <f t="shared" si="130"/>
        <v>4.8147616291118371</v>
      </c>
      <c r="T1315" s="18">
        <f>S1315/Explications!$C$8</f>
        <v>0.1604920543037279</v>
      </c>
    </row>
    <row r="1316" spans="7:20">
      <c r="G1316" s="7" t="s">
        <v>33</v>
      </c>
      <c r="H1316" s="7" t="s">
        <v>39</v>
      </c>
      <c r="I1316" s="7">
        <v>46.8035</v>
      </c>
      <c r="J1316" s="7">
        <v>-71.3553</v>
      </c>
      <c r="K1316" s="7">
        <v>46.844900000000003</v>
      </c>
      <c r="L1316" s="7">
        <v>-71.251400000000004</v>
      </c>
      <c r="M1316" s="10" t="str">
        <f t="shared" si="125"/>
        <v>C17</v>
      </c>
      <c r="N1316" s="10" t="str">
        <f t="shared" si="126"/>
        <v>C23</v>
      </c>
      <c r="O1316" s="5">
        <f t="shared" si="127"/>
        <v>9.1478319352240547</v>
      </c>
      <c r="P1316" s="22">
        <f>O1316/Explications!$C$8</f>
        <v>0.30492773117413513</v>
      </c>
      <c r="Q1316" s="7" t="str">
        <f t="shared" si="128"/>
        <v>C23</v>
      </c>
      <c r="R1316" s="7" t="str">
        <f t="shared" si="129"/>
        <v>C17</v>
      </c>
      <c r="S1316" s="18">
        <f t="shared" si="130"/>
        <v>9.1478319352240547</v>
      </c>
      <c r="T1316" s="18">
        <f>S1316/Explications!$C$8</f>
        <v>0.30492773117413513</v>
      </c>
    </row>
    <row r="1317" spans="7:20">
      <c r="G1317" s="7" t="s">
        <v>33</v>
      </c>
      <c r="H1317" s="7" t="s">
        <v>40</v>
      </c>
      <c r="I1317" s="7">
        <v>46.8035</v>
      </c>
      <c r="J1317" s="7">
        <v>-71.3553</v>
      </c>
      <c r="K1317" s="7">
        <v>46.805500000000002</v>
      </c>
      <c r="L1317" s="7">
        <v>-71.2196</v>
      </c>
      <c r="M1317" s="10" t="str">
        <f t="shared" si="125"/>
        <v>C17</v>
      </c>
      <c r="N1317" s="10" t="str">
        <f t="shared" si="126"/>
        <v>C24</v>
      </c>
      <c r="O1317" s="5">
        <f t="shared" si="127"/>
        <v>10.33076376913905</v>
      </c>
      <c r="P1317" s="22">
        <f>O1317/Explications!$C$8</f>
        <v>0.34435879230463501</v>
      </c>
      <c r="Q1317" s="7" t="str">
        <f t="shared" si="128"/>
        <v>C24</v>
      </c>
      <c r="R1317" s="7" t="str">
        <f t="shared" si="129"/>
        <v>C17</v>
      </c>
      <c r="S1317" s="18">
        <f t="shared" si="130"/>
        <v>10.33076376913905</v>
      </c>
      <c r="T1317" s="18">
        <f>S1317/Explications!$C$8</f>
        <v>0.34435879230463501</v>
      </c>
    </row>
    <row r="1318" spans="7:20">
      <c r="G1318" s="7" t="s">
        <v>33</v>
      </c>
      <c r="H1318" s="7" t="s">
        <v>41</v>
      </c>
      <c r="I1318" s="7">
        <v>46.8035</v>
      </c>
      <c r="J1318" s="7">
        <v>-71.3553</v>
      </c>
      <c r="K1318" s="7">
        <v>46.734900000000003</v>
      </c>
      <c r="L1318" s="7">
        <v>-71.266199999999998</v>
      </c>
      <c r="M1318" s="10" t="str">
        <f t="shared" si="125"/>
        <v>C17</v>
      </c>
      <c r="N1318" s="10" t="str">
        <f t="shared" si="126"/>
        <v>C25</v>
      </c>
      <c r="O1318" s="5">
        <f t="shared" si="127"/>
        <v>10.209596372270964</v>
      </c>
      <c r="P1318" s="22">
        <f>O1318/Explications!$C$8</f>
        <v>0.34031987907569877</v>
      </c>
      <c r="Q1318" s="7" t="str">
        <f t="shared" si="128"/>
        <v>C25</v>
      </c>
      <c r="R1318" s="7" t="str">
        <f t="shared" si="129"/>
        <v>C17</v>
      </c>
      <c r="S1318" s="18">
        <f t="shared" si="130"/>
        <v>10.209596372270964</v>
      </c>
      <c r="T1318" s="18">
        <f>S1318/Explications!$C$8</f>
        <v>0.34031987907569877</v>
      </c>
    </row>
    <row r="1319" spans="7:20">
      <c r="G1319" s="7" t="s">
        <v>33</v>
      </c>
      <c r="H1319" s="7" t="s">
        <v>42</v>
      </c>
      <c r="I1319" s="7">
        <v>46.8035</v>
      </c>
      <c r="J1319" s="7">
        <v>-71.3553</v>
      </c>
      <c r="K1319" s="7">
        <v>46.817700000000002</v>
      </c>
      <c r="L1319" s="7">
        <v>-71.214100000000002</v>
      </c>
      <c r="M1319" s="10" t="str">
        <f t="shared" si="125"/>
        <v>C17</v>
      </c>
      <c r="N1319" s="10" t="str">
        <f t="shared" si="126"/>
        <v>C26</v>
      </c>
      <c r="O1319" s="5">
        <f t="shared" si="127"/>
        <v>10.861151921876548</v>
      </c>
      <c r="P1319" s="22">
        <f>O1319/Explications!$C$8</f>
        <v>0.36203839739588495</v>
      </c>
      <c r="Q1319" s="7" t="str">
        <f t="shared" si="128"/>
        <v>C26</v>
      </c>
      <c r="R1319" s="7" t="str">
        <f t="shared" si="129"/>
        <v>C17</v>
      </c>
      <c r="S1319" s="18">
        <f t="shared" si="130"/>
        <v>10.861151921876548</v>
      </c>
      <c r="T1319" s="18">
        <f>S1319/Explications!$C$8</f>
        <v>0.36203839739588495</v>
      </c>
    </row>
    <row r="1320" spans="7:20">
      <c r="G1320" s="7" t="s">
        <v>33</v>
      </c>
      <c r="H1320" s="7" t="s">
        <v>43</v>
      </c>
      <c r="I1320" s="7">
        <v>46.8035</v>
      </c>
      <c r="J1320" s="7">
        <v>-71.3553</v>
      </c>
      <c r="K1320" s="7">
        <v>46.603000000000002</v>
      </c>
      <c r="L1320" s="7">
        <v>-71.490600000000001</v>
      </c>
      <c r="M1320" s="10" t="str">
        <f t="shared" si="125"/>
        <v>C17</v>
      </c>
      <c r="N1320" s="10" t="str">
        <f t="shared" si="126"/>
        <v>C27</v>
      </c>
      <c r="O1320" s="5">
        <f t="shared" si="127"/>
        <v>24.566123781557746</v>
      </c>
      <c r="P1320" s="22">
        <f>O1320/Explications!$C$8</f>
        <v>0.81887079271859153</v>
      </c>
      <c r="Q1320" s="7" t="str">
        <f t="shared" si="128"/>
        <v>C27</v>
      </c>
      <c r="R1320" s="7" t="str">
        <f t="shared" si="129"/>
        <v>C17</v>
      </c>
      <c r="S1320" s="18">
        <f t="shared" si="130"/>
        <v>24.566123781557746</v>
      </c>
      <c r="T1320" s="18">
        <f>S1320/Explications!$C$8</f>
        <v>0.81887079271859153</v>
      </c>
    </row>
    <row r="1321" spans="7:20">
      <c r="G1321" s="7" t="s">
        <v>33</v>
      </c>
      <c r="H1321" s="7" t="s">
        <v>44</v>
      </c>
      <c r="I1321" s="7">
        <v>46.8035</v>
      </c>
      <c r="J1321" s="7">
        <v>-71.3553</v>
      </c>
      <c r="K1321" s="7">
        <v>47.000500000000002</v>
      </c>
      <c r="L1321" s="7">
        <v>-71.388400000000004</v>
      </c>
      <c r="M1321" s="10" t="str">
        <f t="shared" si="125"/>
        <v>C17</v>
      </c>
      <c r="N1321" s="10" t="str">
        <f t="shared" si="126"/>
        <v>C28</v>
      </c>
      <c r="O1321" s="5">
        <f t="shared" si="127"/>
        <v>22.049272482452658</v>
      </c>
      <c r="P1321" s="22">
        <f>O1321/Explications!$C$8</f>
        <v>0.73497574941508859</v>
      </c>
      <c r="Q1321" s="7" t="str">
        <f t="shared" si="128"/>
        <v>C28</v>
      </c>
      <c r="R1321" s="7" t="str">
        <f t="shared" si="129"/>
        <v>C17</v>
      </c>
      <c r="S1321" s="18">
        <f t="shared" si="130"/>
        <v>22.049272482452658</v>
      </c>
      <c r="T1321" s="18">
        <f>S1321/Explications!$C$8</f>
        <v>0.73497574941508859</v>
      </c>
    </row>
    <row r="1322" spans="7:20">
      <c r="G1322" s="7" t="s">
        <v>33</v>
      </c>
      <c r="H1322" s="7" t="s">
        <v>45</v>
      </c>
      <c r="I1322" s="7">
        <v>46.8035</v>
      </c>
      <c r="J1322" s="7">
        <v>-71.3553</v>
      </c>
      <c r="K1322" s="7">
        <v>46.839100000000002</v>
      </c>
      <c r="L1322" s="7">
        <v>-71.245699999999999</v>
      </c>
      <c r="M1322" s="10" t="str">
        <f t="shared" si="125"/>
        <v>C17</v>
      </c>
      <c r="N1322" s="10" t="str">
        <f t="shared" si="126"/>
        <v>C29</v>
      </c>
      <c r="O1322" s="5">
        <f t="shared" si="127"/>
        <v>9.2310922975650289</v>
      </c>
      <c r="P1322" s="22">
        <f>O1322/Explications!$C$8</f>
        <v>0.30770307658550095</v>
      </c>
      <c r="Q1322" s="7" t="str">
        <f t="shared" si="128"/>
        <v>C29</v>
      </c>
      <c r="R1322" s="7" t="str">
        <f t="shared" si="129"/>
        <v>C17</v>
      </c>
      <c r="S1322" s="18">
        <f t="shared" si="130"/>
        <v>9.2310922975650289</v>
      </c>
      <c r="T1322" s="18">
        <f>S1322/Explications!$C$8</f>
        <v>0.30770307658550095</v>
      </c>
    </row>
    <row r="1323" spans="7:20">
      <c r="G1323" s="7" t="s">
        <v>33</v>
      </c>
      <c r="H1323" s="7" t="s">
        <v>46</v>
      </c>
      <c r="I1323" s="7">
        <v>46.8035</v>
      </c>
      <c r="J1323" s="7">
        <v>-71.3553</v>
      </c>
      <c r="K1323" s="7">
        <v>46.865699999999997</v>
      </c>
      <c r="L1323" s="7">
        <v>-71.27</v>
      </c>
      <c r="M1323" s="10" t="str">
        <f t="shared" si="125"/>
        <v>C17</v>
      </c>
      <c r="N1323" s="10" t="str">
        <f t="shared" si="126"/>
        <v>C30</v>
      </c>
      <c r="O1323" s="5">
        <f t="shared" si="127"/>
        <v>9.4836062251692894</v>
      </c>
      <c r="P1323" s="22">
        <f>O1323/Explications!$C$8</f>
        <v>0.31612020750564296</v>
      </c>
      <c r="Q1323" s="7" t="str">
        <f t="shared" si="128"/>
        <v>C30</v>
      </c>
      <c r="R1323" s="7" t="str">
        <f t="shared" si="129"/>
        <v>C17</v>
      </c>
      <c r="S1323" s="18">
        <f t="shared" si="130"/>
        <v>9.4836062251692894</v>
      </c>
      <c r="T1323" s="18">
        <f>S1323/Explications!$C$8</f>
        <v>0.31612020750564296</v>
      </c>
    </row>
    <row r="1324" spans="7:20">
      <c r="G1324" s="7" t="s">
        <v>33</v>
      </c>
      <c r="H1324" s="7" t="s">
        <v>47</v>
      </c>
      <c r="I1324" s="7">
        <v>46.8035</v>
      </c>
      <c r="J1324" s="7">
        <v>-71.3553</v>
      </c>
      <c r="K1324" s="7">
        <v>46.805500000000002</v>
      </c>
      <c r="L1324" s="7">
        <v>-71.217299999999994</v>
      </c>
      <c r="M1324" s="10" t="str">
        <f t="shared" si="125"/>
        <v>C17</v>
      </c>
      <c r="N1324" s="10" t="str">
        <f t="shared" si="126"/>
        <v>C31</v>
      </c>
      <c r="O1324" s="5">
        <f t="shared" si="127"/>
        <v>10.505780949382507</v>
      </c>
      <c r="P1324" s="22">
        <f>O1324/Explications!$C$8</f>
        <v>0.35019269831275024</v>
      </c>
      <c r="Q1324" s="7" t="str">
        <f t="shared" si="128"/>
        <v>C31</v>
      </c>
      <c r="R1324" s="7" t="str">
        <f t="shared" si="129"/>
        <v>C17</v>
      </c>
      <c r="S1324" s="18">
        <f t="shared" si="130"/>
        <v>10.505780949382507</v>
      </c>
      <c r="T1324" s="18">
        <f>S1324/Explications!$C$8</f>
        <v>0.35019269831275024</v>
      </c>
    </row>
    <row r="1325" spans="7:20">
      <c r="G1325" s="7" t="s">
        <v>33</v>
      </c>
      <c r="H1325" s="7" t="s">
        <v>48</v>
      </c>
      <c r="I1325" s="7">
        <v>46.8035</v>
      </c>
      <c r="J1325" s="7">
        <v>-71.3553</v>
      </c>
      <c r="K1325" s="7">
        <v>46.792299999999997</v>
      </c>
      <c r="L1325" s="7">
        <v>-71.172899999999998</v>
      </c>
      <c r="M1325" s="10" t="str">
        <f t="shared" si="125"/>
        <v>C17</v>
      </c>
      <c r="N1325" s="10" t="str">
        <f t="shared" si="126"/>
        <v>C32</v>
      </c>
      <c r="O1325" s="5">
        <f t="shared" si="127"/>
        <v>13.940233056172319</v>
      </c>
      <c r="P1325" s="22">
        <f>O1325/Explications!$C$8</f>
        <v>0.46467443520574397</v>
      </c>
      <c r="Q1325" s="7" t="str">
        <f t="shared" si="128"/>
        <v>C32</v>
      </c>
      <c r="R1325" s="7" t="str">
        <f t="shared" si="129"/>
        <v>C17</v>
      </c>
      <c r="S1325" s="18">
        <f t="shared" si="130"/>
        <v>13.940233056172319</v>
      </c>
      <c r="T1325" s="18">
        <f>S1325/Explications!$C$8</f>
        <v>0.46467443520574397</v>
      </c>
    </row>
    <row r="1326" spans="7:20">
      <c r="G1326" s="7" t="s">
        <v>33</v>
      </c>
      <c r="H1326" s="7" t="s">
        <v>49</v>
      </c>
      <c r="I1326" s="7">
        <v>46.8035</v>
      </c>
      <c r="J1326" s="7">
        <v>-71.3553</v>
      </c>
      <c r="K1326" s="7">
        <v>46.7883</v>
      </c>
      <c r="L1326" s="7">
        <v>-71.131200000000007</v>
      </c>
      <c r="M1326" s="10" t="str">
        <f t="shared" si="125"/>
        <v>C17</v>
      </c>
      <c r="N1326" s="10" t="str">
        <f t="shared" si="126"/>
        <v>C33</v>
      </c>
      <c r="O1326" s="5">
        <f t="shared" si="127"/>
        <v>17.142896894455898</v>
      </c>
      <c r="P1326" s="22">
        <f>O1326/Explications!$C$8</f>
        <v>0.57142989648186326</v>
      </c>
      <c r="Q1326" s="7" t="str">
        <f t="shared" si="128"/>
        <v>C33</v>
      </c>
      <c r="R1326" s="7" t="str">
        <f t="shared" si="129"/>
        <v>C17</v>
      </c>
      <c r="S1326" s="18">
        <f t="shared" si="130"/>
        <v>17.142896894455898</v>
      </c>
      <c r="T1326" s="18">
        <f>S1326/Explications!$C$8</f>
        <v>0.57142989648186326</v>
      </c>
    </row>
    <row r="1327" spans="7:20">
      <c r="G1327" s="7" t="s">
        <v>33</v>
      </c>
      <c r="H1327" s="7" t="s">
        <v>50</v>
      </c>
      <c r="I1327" s="7">
        <v>46.8035</v>
      </c>
      <c r="J1327" s="7">
        <v>-71.3553</v>
      </c>
      <c r="K1327" s="7">
        <v>46.8611</v>
      </c>
      <c r="L1327" s="7">
        <v>-71.268799999999999</v>
      </c>
      <c r="M1327" s="10" t="str">
        <f t="shared" si="125"/>
        <v>C17</v>
      </c>
      <c r="N1327" s="10" t="str">
        <f t="shared" si="126"/>
        <v>C34</v>
      </c>
      <c r="O1327" s="5">
        <f t="shared" si="127"/>
        <v>9.1826858727208638</v>
      </c>
      <c r="P1327" s="22">
        <f>O1327/Explications!$C$8</f>
        <v>0.30608952909069548</v>
      </c>
      <c r="Q1327" s="7" t="str">
        <f t="shared" si="128"/>
        <v>C34</v>
      </c>
      <c r="R1327" s="7" t="str">
        <f t="shared" si="129"/>
        <v>C17</v>
      </c>
      <c r="S1327" s="18">
        <f t="shared" si="130"/>
        <v>9.1826858727208638</v>
      </c>
      <c r="T1327" s="18">
        <f>S1327/Explications!$C$8</f>
        <v>0.30608952909069548</v>
      </c>
    </row>
    <row r="1328" spans="7:20">
      <c r="G1328" s="7" t="s">
        <v>33</v>
      </c>
      <c r="H1328" s="7" t="s">
        <v>51</v>
      </c>
      <c r="I1328" s="7">
        <v>46.8035</v>
      </c>
      <c r="J1328" s="7">
        <v>-71.3553</v>
      </c>
      <c r="K1328" s="7">
        <v>46.869700000000002</v>
      </c>
      <c r="L1328" s="7">
        <v>-71.205200000000005</v>
      </c>
      <c r="M1328" s="10" t="str">
        <f t="shared" si="125"/>
        <v>C17</v>
      </c>
      <c r="N1328" s="10" t="str">
        <f t="shared" si="126"/>
        <v>C35</v>
      </c>
      <c r="O1328" s="5">
        <f t="shared" si="127"/>
        <v>13.584788504365653</v>
      </c>
      <c r="P1328" s="22">
        <f>O1328/Explications!$C$8</f>
        <v>0.45282628347885512</v>
      </c>
      <c r="Q1328" s="7" t="str">
        <f t="shared" si="128"/>
        <v>C35</v>
      </c>
      <c r="R1328" s="7" t="str">
        <f t="shared" si="129"/>
        <v>C17</v>
      </c>
      <c r="S1328" s="18">
        <f t="shared" si="130"/>
        <v>13.584788504365653</v>
      </c>
      <c r="T1328" s="18">
        <f>S1328/Explications!$C$8</f>
        <v>0.45282628347885512</v>
      </c>
    </row>
    <row r="1329" spans="7:20">
      <c r="G1329" s="7" t="s">
        <v>33</v>
      </c>
      <c r="H1329" s="7" t="s">
        <v>52</v>
      </c>
      <c r="I1329" s="7">
        <v>46.8035</v>
      </c>
      <c r="J1329" s="7">
        <v>-71.3553</v>
      </c>
      <c r="K1329" s="7">
        <v>46.774099999999997</v>
      </c>
      <c r="L1329" s="7">
        <v>-71.174000000000007</v>
      </c>
      <c r="M1329" s="10" t="str">
        <f t="shared" si="125"/>
        <v>C17</v>
      </c>
      <c r="N1329" s="10" t="str">
        <f t="shared" si="126"/>
        <v>C36</v>
      </c>
      <c r="O1329" s="5">
        <f t="shared" si="127"/>
        <v>14.184941539857867</v>
      </c>
      <c r="P1329" s="22">
        <f>O1329/Explications!$C$8</f>
        <v>0.47283138466192892</v>
      </c>
      <c r="Q1329" s="7" t="str">
        <f t="shared" si="128"/>
        <v>C36</v>
      </c>
      <c r="R1329" s="7" t="str">
        <f t="shared" si="129"/>
        <v>C17</v>
      </c>
      <c r="S1329" s="18">
        <f t="shared" si="130"/>
        <v>14.184941539857867</v>
      </c>
      <c r="T1329" s="18">
        <f>S1329/Explications!$C$8</f>
        <v>0.47283138466192892</v>
      </c>
    </row>
    <row r="1330" spans="7:20">
      <c r="G1330" s="7" t="s">
        <v>33</v>
      </c>
      <c r="H1330" s="7" t="s">
        <v>53</v>
      </c>
      <c r="I1330" s="7">
        <v>46.8035</v>
      </c>
      <c r="J1330" s="7">
        <v>-71.3553</v>
      </c>
      <c r="K1330" s="7">
        <v>46.808500000000002</v>
      </c>
      <c r="L1330" s="7">
        <v>-71.326599999999999</v>
      </c>
      <c r="M1330" s="10" t="str">
        <f t="shared" si="125"/>
        <v>C17</v>
      </c>
      <c r="N1330" s="10" t="str">
        <f t="shared" si="126"/>
        <v>C37</v>
      </c>
      <c r="O1330" s="5">
        <f t="shared" si="127"/>
        <v>2.2539926023830779</v>
      </c>
      <c r="P1330" s="22">
        <f>O1330/Explications!$C$8</f>
        <v>7.5133086746102598E-2</v>
      </c>
      <c r="Q1330" s="7" t="str">
        <f t="shared" si="128"/>
        <v>C37</v>
      </c>
      <c r="R1330" s="7" t="str">
        <f t="shared" si="129"/>
        <v>C17</v>
      </c>
      <c r="S1330" s="18">
        <f t="shared" si="130"/>
        <v>2.2539926023830779</v>
      </c>
      <c r="T1330" s="18">
        <f>S1330/Explications!$C$8</f>
        <v>7.5133086746102598E-2</v>
      </c>
    </row>
    <row r="1331" spans="7:20">
      <c r="G1331" s="7" t="s">
        <v>33</v>
      </c>
      <c r="H1331" s="7" t="s">
        <v>54</v>
      </c>
      <c r="I1331" s="7">
        <v>46.8035</v>
      </c>
      <c r="J1331" s="7">
        <v>-71.3553</v>
      </c>
      <c r="K1331" s="7">
        <v>46.797499999999999</v>
      </c>
      <c r="L1331" s="7">
        <v>-71.306100000000001</v>
      </c>
      <c r="M1331" s="10" t="str">
        <f t="shared" si="125"/>
        <v>C17</v>
      </c>
      <c r="N1331" s="10" t="str">
        <f t="shared" si="126"/>
        <v>C38</v>
      </c>
      <c r="O1331" s="5">
        <f t="shared" si="127"/>
        <v>3.8039429367183306</v>
      </c>
      <c r="P1331" s="22">
        <f>O1331/Explications!$C$8</f>
        <v>0.12679809789061103</v>
      </c>
      <c r="Q1331" s="7" t="str">
        <f t="shared" si="128"/>
        <v>C38</v>
      </c>
      <c r="R1331" s="7" t="str">
        <f t="shared" si="129"/>
        <v>C17</v>
      </c>
      <c r="S1331" s="18">
        <f t="shared" si="130"/>
        <v>3.8039429367183306</v>
      </c>
      <c r="T1331" s="18">
        <f>S1331/Explications!$C$8</f>
        <v>0.12679809789061103</v>
      </c>
    </row>
    <row r="1332" spans="7:20">
      <c r="G1332" s="7" t="s">
        <v>33</v>
      </c>
      <c r="H1332" s="7" t="s">
        <v>55</v>
      </c>
      <c r="I1332" s="7">
        <v>46.8035</v>
      </c>
      <c r="J1332" s="7">
        <v>-71.3553</v>
      </c>
      <c r="K1332" s="7">
        <v>46.8155</v>
      </c>
      <c r="L1332" s="7">
        <v>-71.268199999999993</v>
      </c>
      <c r="M1332" s="10" t="str">
        <f t="shared" si="125"/>
        <v>C17</v>
      </c>
      <c r="N1332" s="10" t="str">
        <f t="shared" si="126"/>
        <v>C39</v>
      </c>
      <c r="O1332" s="5">
        <f t="shared" si="127"/>
        <v>6.7616864937400374</v>
      </c>
      <c r="P1332" s="22">
        <f>O1332/Explications!$C$8</f>
        <v>0.22538954979133458</v>
      </c>
      <c r="Q1332" s="7" t="str">
        <f t="shared" si="128"/>
        <v>C39</v>
      </c>
      <c r="R1332" s="7" t="str">
        <f t="shared" si="129"/>
        <v>C17</v>
      </c>
      <c r="S1332" s="18">
        <f t="shared" si="130"/>
        <v>6.7616864937400374</v>
      </c>
      <c r="T1332" s="18">
        <f>S1332/Explications!$C$8</f>
        <v>0.22538954979133458</v>
      </c>
    </row>
    <row r="1333" spans="7:20">
      <c r="G1333" s="7" t="s">
        <v>33</v>
      </c>
      <c r="H1333" s="7" t="s">
        <v>56</v>
      </c>
      <c r="I1333" s="7">
        <v>46.8035</v>
      </c>
      <c r="J1333" s="7">
        <v>-71.3553</v>
      </c>
      <c r="K1333" s="7">
        <v>46.866700000000002</v>
      </c>
      <c r="L1333" s="7">
        <v>-71.215900000000005</v>
      </c>
      <c r="M1333" s="10" t="str">
        <f t="shared" si="125"/>
        <v>C17</v>
      </c>
      <c r="N1333" s="10" t="str">
        <f t="shared" si="126"/>
        <v>C40</v>
      </c>
      <c r="O1333" s="5">
        <f t="shared" si="127"/>
        <v>12.721228861241128</v>
      </c>
      <c r="P1333" s="22">
        <f>O1333/Explications!$C$8</f>
        <v>0.42404096204137093</v>
      </c>
      <c r="Q1333" s="7" t="str">
        <f t="shared" si="128"/>
        <v>C40</v>
      </c>
      <c r="R1333" s="7" t="str">
        <f t="shared" si="129"/>
        <v>C17</v>
      </c>
      <c r="S1333" s="18">
        <f t="shared" si="130"/>
        <v>12.721228861241128</v>
      </c>
      <c r="T1333" s="18">
        <f>S1333/Explications!$C$8</f>
        <v>0.42404096204137093</v>
      </c>
    </row>
    <row r="1334" spans="7:20">
      <c r="G1334" s="7" t="s">
        <v>33</v>
      </c>
      <c r="H1334" s="7" t="s">
        <v>57</v>
      </c>
      <c r="I1334" s="7">
        <v>46.8035</v>
      </c>
      <c r="J1334" s="7">
        <v>-71.3553</v>
      </c>
      <c r="K1334" s="7">
        <v>46.762099999999997</v>
      </c>
      <c r="L1334" s="7">
        <v>-71.235399999999998</v>
      </c>
      <c r="M1334" s="10" t="str">
        <f t="shared" si="125"/>
        <v>C17</v>
      </c>
      <c r="N1334" s="10" t="str">
        <f t="shared" si="126"/>
        <v>C41</v>
      </c>
      <c r="O1334" s="5">
        <f t="shared" si="127"/>
        <v>10.224451219772423</v>
      </c>
      <c r="P1334" s="22">
        <f>O1334/Explications!$C$8</f>
        <v>0.34081504065908075</v>
      </c>
      <c r="Q1334" s="7" t="str">
        <f t="shared" si="128"/>
        <v>C41</v>
      </c>
      <c r="R1334" s="7" t="str">
        <f t="shared" si="129"/>
        <v>C17</v>
      </c>
      <c r="S1334" s="18">
        <f t="shared" si="130"/>
        <v>10.224451219772423</v>
      </c>
      <c r="T1334" s="18">
        <f>S1334/Explications!$C$8</f>
        <v>0.34081504065908075</v>
      </c>
    </row>
    <row r="1335" spans="7:20">
      <c r="G1335" s="7" t="s">
        <v>33</v>
      </c>
      <c r="H1335" s="7" t="s">
        <v>58</v>
      </c>
      <c r="I1335" s="7">
        <v>46.8035</v>
      </c>
      <c r="J1335" s="7">
        <v>-71.3553</v>
      </c>
      <c r="K1335" s="7">
        <v>46.8157</v>
      </c>
      <c r="L1335" s="7">
        <v>-71.2042</v>
      </c>
      <c r="M1335" s="10" t="str">
        <f t="shared" si="125"/>
        <v>C17</v>
      </c>
      <c r="N1335" s="10" t="str">
        <f t="shared" si="126"/>
        <v>C42</v>
      </c>
      <c r="O1335" s="5">
        <f t="shared" si="127"/>
        <v>11.579141516924251</v>
      </c>
      <c r="P1335" s="22">
        <f>O1335/Explications!$C$8</f>
        <v>0.38597138389747504</v>
      </c>
      <c r="Q1335" s="7" t="str">
        <f t="shared" si="128"/>
        <v>C42</v>
      </c>
      <c r="R1335" s="7" t="str">
        <f t="shared" si="129"/>
        <v>C17</v>
      </c>
      <c r="S1335" s="18">
        <f t="shared" si="130"/>
        <v>11.579141516924251</v>
      </c>
      <c r="T1335" s="18">
        <f>S1335/Explications!$C$8</f>
        <v>0.38597138389747504</v>
      </c>
    </row>
    <row r="1336" spans="7:20">
      <c r="G1336" s="7" t="s">
        <v>33</v>
      </c>
      <c r="H1336" s="7" t="s">
        <v>59</v>
      </c>
      <c r="I1336" s="7">
        <v>46.8035</v>
      </c>
      <c r="J1336" s="7">
        <v>-71.3553</v>
      </c>
      <c r="K1336" s="7">
        <v>46.707000000000001</v>
      </c>
      <c r="L1336" s="7">
        <v>-71.217100000000002</v>
      </c>
      <c r="M1336" s="10" t="str">
        <f t="shared" si="125"/>
        <v>C17</v>
      </c>
      <c r="N1336" s="10" t="str">
        <f t="shared" si="126"/>
        <v>C43</v>
      </c>
      <c r="O1336" s="5">
        <f t="shared" si="127"/>
        <v>15.032765025086807</v>
      </c>
      <c r="P1336" s="22">
        <f>O1336/Explications!$C$8</f>
        <v>0.50109216750289354</v>
      </c>
      <c r="Q1336" s="7" t="str">
        <f t="shared" si="128"/>
        <v>C43</v>
      </c>
      <c r="R1336" s="7" t="str">
        <f t="shared" si="129"/>
        <v>C17</v>
      </c>
      <c r="S1336" s="18">
        <f t="shared" si="130"/>
        <v>15.032765025086807</v>
      </c>
      <c r="T1336" s="18">
        <f>S1336/Explications!$C$8</f>
        <v>0.50109216750289354</v>
      </c>
    </row>
    <row r="1337" spans="7:20">
      <c r="G1337" s="7" t="s">
        <v>33</v>
      </c>
      <c r="H1337" s="7" t="s">
        <v>60</v>
      </c>
      <c r="I1337" s="7">
        <v>46.8035</v>
      </c>
      <c r="J1337" s="7">
        <v>-71.3553</v>
      </c>
      <c r="K1337" s="7">
        <v>46.802900000000001</v>
      </c>
      <c r="L1337" s="7">
        <v>-71.228899999999996</v>
      </c>
      <c r="M1337" s="10" t="str">
        <f t="shared" si="125"/>
        <v>C17</v>
      </c>
      <c r="N1337" s="10" t="str">
        <f t="shared" si="126"/>
        <v>C44</v>
      </c>
      <c r="O1337" s="5">
        <f t="shared" si="127"/>
        <v>9.6209941333057252</v>
      </c>
      <c r="P1337" s="22">
        <f>O1337/Explications!$C$8</f>
        <v>0.32069980444352419</v>
      </c>
      <c r="Q1337" s="7" t="str">
        <f t="shared" si="128"/>
        <v>C44</v>
      </c>
      <c r="R1337" s="7" t="str">
        <f t="shared" si="129"/>
        <v>C17</v>
      </c>
      <c r="S1337" s="18">
        <f t="shared" si="130"/>
        <v>9.6209941333057252</v>
      </c>
      <c r="T1337" s="18">
        <f>S1337/Explications!$C$8</f>
        <v>0.32069980444352419</v>
      </c>
    </row>
    <row r="1338" spans="7:20">
      <c r="G1338" s="7" t="s">
        <v>33</v>
      </c>
      <c r="H1338" s="7" t="s">
        <v>61</v>
      </c>
      <c r="I1338" s="7">
        <v>46.8035</v>
      </c>
      <c r="J1338" s="7">
        <v>-71.3553</v>
      </c>
      <c r="K1338" s="7">
        <v>46.796900000000001</v>
      </c>
      <c r="L1338" s="7">
        <v>-71.3078</v>
      </c>
      <c r="M1338" s="10" t="str">
        <f t="shared" si="125"/>
        <v>C17</v>
      </c>
      <c r="N1338" s="10" t="str">
        <f t="shared" si="126"/>
        <v>C45</v>
      </c>
      <c r="O1338" s="5">
        <f t="shared" si="127"/>
        <v>3.6893289417532524</v>
      </c>
      <c r="P1338" s="22">
        <f>O1338/Explications!$C$8</f>
        <v>0.12297763139177507</v>
      </c>
      <c r="Q1338" s="7" t="str">
        <f t="shared" si="128"/>
        <v>C45</v>
      </c>
      <c r="R1338" s="7" t="str">
        <f t="shared" si="129"/>
        <v>C17</v>
      </c>
      <c r="S1338" s="18">
        <f t="shared" si="130"/>
        <v>3.6893289417532524</v>
      </c>
      <c r="T1338" s="18">
        <f>S1338/Explications!$C$8</f>
        <v>0.12297763139177507</v>
      </c>
    </row>
    <row r="1339" spans="7:20">
      <c r="G1339" s="7" t="s">
        <v>33</v>
      </c>
      <c r="H1339" s="7" t="s">
        <v>62</v>
      </c>
      <c r="I1339" s="7">
        <v>46.8035</v>
      </c>
      <c r="J1339" s="7">
        <v>-71.3553</v>
      </c>
      <c r="K1339" s="7">
        <v>46.803600000000003</v>
      </c>
      <c r="L1339" s="7">
        <v>-71.231099999999998</v>
      </c>
      <c r="M1339" s="10" t="str">
        <f t="shared" si="125"/>
        <v>C17</v>
      </c>
      <c r="N1339" s="10" t="str">
        <f t="shared" si="126"/>
        <v>C46</v>
      </c>
      <c r="O1339" s="5">
        <f t="shared" si="127"/>
        <v>9.4532578940370815</v>
      </c>
      <c r="P1339" s="22">
        <f>O1339/Explications!$C$8</f>
        <v>0.31510859646790274</v>
      </c>
      <c r="Q1339" s="7" t="str">
        <f t="shared" si="128"/>
        <v>C46</v>
      </c>
      <c r="R1339" s="7" t="str">
        <f t="shared" si="129"/>
        <v>C17</v>
      </c>
      <c r="S1339" s="18">
        <f t="shared" si="130"/>
        <v>9.4532578940370815</v>
      </c>
      <c r="T1339" s="18">
        <f>S1339/Explications!$C$8</f>
        <v>0.31510859646790274</v>
      </c>
    </row>
    <row r="1340" spans="7:20">
      <c r="G1340" s="7" t="s">
        <v>33</v>
      </c>
      <c r="H1340" s="7" t="s">
        <v>63</v>
      </c>
      <c r="I1340" s="7">
        <v>46.8035</v>
      </c>
      <c r="J1340" s="7">
        <v>-71.3553</v>
      </c>
      <c r="K1340" s="7">
        <v>46.802399999999999</v>
      </c>
      <c r="L1340" s="7">
        <v>-71.269800000000004</v>
      </c>
      <c r="M1340" s="10" t="str">
        <f t="shared" si="125"/>
        <v>C17</v>
      </c>
      <c r="N1340" s="10" t="str">
        <f t="shared" si="126"/>
        <v>C47</v>
      </c>
      <c r="O1340" s="5">
        <f t="shared" si="127"/>
        <v>6.5088953295976726</v>
      </c>
      <c r="P1340" s="22">
        <f>O1340/Explications!$C$8</f>
        <v>0.21696317765325576</v>
      </c>
      <c r="Q1340" s="7" t="str">
        <f t="shared" si="128"/>
        <v>C47</v>
      </c>
      <c r="R1340" s="7" t="str">
        <f t="shared" si="129"/>
        <v>C17</v>
      </c>
      <c r="S1340" s="18">
        <f t="shared" si="130"/>
        <v>6.5088953295976726</v>
      </c>
      <c r="T1340" s="18">
        <f>S1340/Explications!$C$8</f>
        <v>0.21696317765325576</v>
      </c>
    </row>
    <row r="1341" spans="7:20">
      <c r="G1341" s="7" t="s">
        <v>33</v>
      </c>
      <c r="H1341" s="7" t="s">
        <v>64</v>
      </c>
      <c r="I1341" s="7">
        <v>46.8035</v>
      </c>
      <c r="J1341" s="7">
        <v>-71.3553</v>
      </c>
      <c r="K1341" s="7">
        <v>46.826799999999999</v>
      </c>
      <c r="L1341" s="7">
        <v>-71.224199999999996</v>
      </c>
      <c r="M1341" s="10" t="str">
        <f t="shared" si="125"/>
        <v>C17</v>
      </c>
      <c r="N1341" s="10" t="str">
        <f t="shared" si="126"/>
        <v>C48</v>
      </c>
      <c r="O1341" s="5">
        <f t="shared" si="127"/>
        <v>10.307212011251643</v>
      </c>
      <c r="P1341" s="22">
        <f>O1341/Explications!$C$8</f>
        <v>0.34357373370838812</v>
      </c>
      <c r="Q1341" s="7" t="str">
        <f t="shared" si="128"/>
        <v>C48</v>
      </c>
      <c r="R1341" s="7" t="str">
        <f t="shared" si="129"/>
        <v>C17</v>
      </c>
      <c r="S1341" s="18">
        <f t="shared" si="130"/>
        <v>10.307212011251643</v>
      </c>
      <c r="T1341" s="18">
        <f>S1341/Explications!$C$8</f>
        <v>0.34357373370838812</v>
      </c>
    </row>
    <row r="1342" spans="7:20">
      <c r="G1342" s="7" t="s">
        <v>33</v>
      </c>
      <c r="H1342" s="7" t="s">
        <v>65</v>
      </c>
      <c r="I1342" s="7">
        <v>46.8035</v>
      </c>
      <c r="J1342" s="7">
        <v>-71.3553</v>
      </c>
      <c r="K1342" s="7">
        <v>46.864100000000001</v>
      </c>
      <c r="L1342" s="7">
        <v>-71.255499999999998</v>
      </c>
      <c r="M1342" s="10" t="str">
        <f t="shared" si="125"/>
        <v>C17</v>
      </c>
      <c r="N1342" s="10" t="str">
        <f t="shared" si="126"/>
        <v>C49</v>
      </c>
      <c r="O1342" s="5">
        <f t="shared" si="127"/>
        <v>10.150955308061317</v>
      </c>
      <c r="P1342" s="22">
        <f>O1342/Explications!$C$8</f>
        <v>0.33836517693537721</v>
      </c>
      <c r="Q1342" s="7" t="str">
        <f t="shared" si="128"/>
        <v>C49</v>
      </c>
      <c r="R1342" s="7" t="str">
        <f t="shared" si="129"/>
        <v>C17</v>
      </c>
      <c r="S1342" s="18">
        <f t="shared" si="130"/>
        <v>10.150955308061317</v>
      </c>
      <c r="T1342" s="18">
        <f>S1342/Explications!$C$8</f>
        <v>0.33836517693537721</v>
      </c>
    </row>
    <row r="1343" spans="7:20">
      <c r="G1343" s="7" t="s">
        <v>33</v>
      </c>
      <c r="H1343" s="7" t="s">
        <v>66</v>
      </c>
      <c r="I1343" s="7">
        <v>46.8035</v>
      </c>
      <c r="J1343" s="7">
        <v>-71.3553</v>
      </c>
      <c r="K1343" s="7">
        <v>46.843800000000002</v>
      </c>
      <c r="L1343" s="7">
        <v>-71.247299999999996</v>
      </c>
      <c r="M1343" s="10" t="str">
        <f t="shared" si="125"/>
        <v>C17</v>
      </c>
      <c r="N1343" s="10" t="str">
        <f t="shared" si="126"/>
        <v>C50</v>
      </c>
      <c r="O1343" s="5">
        <f t="shared" si="127"/>
        <v>9.3596072447079077</v>
      </c>
      <c r="P1343" s="22">
        <f>O1343/Explications!$C$8</f>
        <v>0.31198690815693025</v>
      </c>
      <c r="Q1343" s="7" t="str">
        <f t="shared" si="128"/>
        <v>C50</v>
      </c>
      <c r="R1343" s="7" t="str">
        <f t="shared" si="129"/>
        <v>C17</v>
      </c>
      <c r="S1343" s="18">
        <f t="shared" si="130"/>
        <v>9.3596072447079077</v>
      </c>
      <c r="T1343" s="18">
        <f>S1343/Explications!$C$8</f>
        <v>0.31198690815693025</v>
      </c>
    </row>
    <row r="1344" spans="7:20">
      <c r="G1344" s="7" t="s">
        <v>33</v>
      </c>
      <c r="H1344" s="7" t="s">
        <v>67</v>
      </c>
      <c r="I1344" s="7">
        <v>46.8035</v>
      </c>
      <c r="J1344" s="7">
        <v>-71.3553</v>
      </c>
      <c r="K1344" s="7">
        <v>46.765599999999999</v>
      </c>
      <c r="L1344" s="7">
        <v>-71.312100000000001</v>
      </c>
      <c r="M1344" s="10" t="str">
        <f t="shared" si="125"/>
        <v>C17</v>
      </c>
      <c r="N1344" s="10" t="str">
        <f t="shared" si="126"/>
        <v>C51</v>
      </c>
      <c r="O1344" s="5">
        <f t="shared" si="127"/>
        <v>5.3459682976302663</v>
      </c>
      <c r="P1344" s="22">
        <f>O1344/Explications!$C$8</f>
        <v>0.17819894325434221</v>
      </c>
      <c r="Q1344" s="7" t="str">
        <f t="shared" si="128"/>
        <v>C51</v>
      </c>
      <c r="R1344" s="7" t="str">
        <f t="shared" si="129"/>
        <v>C17</v>
      </c>
      <c r="S1344" s="18">
        <f t="shared" si="130"/>
        <v>5.3459682976302663</v>
      </c>
      <c r="T1344" s="18">
        <f>S1344/Explications!$C$8</f>
        <v>0.17819894325434221</v>
      </c>
    </row>
    <row r="1345" spans="7:20">
      <c r="G1345" s="7" t="s">
        <v>33</v>
      </c>
      <c r="H1345" s="7" t="s">
        <v>68</v>
      </c>
      <c r="I1345" s="7">
        <v>46.8035</v>
      </c>
      <c r="J1345" s="7">
        <v>-71.3553</v>
      </c>
      <c r="K1345" s="7">
        <v>46.787599999999998</v>
      </c>
      <c r="L1345" s="7">
        <v>-71.288600000000002</v>
      </c>
      <c r="M1345" s="10" t="str">
        <f t="shared" si="125"/>
        <v>C17</v>
      </c>
      <c r="N1345" s="10" t="str">
        <f t="shared" si="126"/>
        <v>C52</v>
      </c>
      <c r="O1345" s="5">
        <f t="shared" si="127"/>
        <v>5.3765082552370478</v>
      </c>
      <c r="P1345" s="22">
        <f>O1345/Explications!$C$8</f>
        <v>0.17921694184123493</v>
      </c>
      <c r="Q1345" s="7" t="str">
        <f t="shared" si="128"/>
        <v>C52</v>
      </c>
      <c r="R1345" s="7" t="str">
        <f t="shared" si="129"/>
        <v>C17</v>
      </c>
      <c r="S1345" s="18">
        <f t="shared" si="130"/>
        <v>5.3765082552370478</v>
      </c>
      <c r="T1345" s="18">
        <f>S1345/Explications!$C$8</f>
        <v>0.17921694184123493</v>
      </c>
    </row>
    <row r="1346" spans="7:20">
      <c r="G1346" s="7" t="s">
        <v>33</v>
      </c>
      <c r="H1346" s="7" t="s">
        <v>69</v>
      </c>
      <c r="I1346" s="7">
        <v>46.8035</v>
      </c>
      <c r="J1346" s="7">
        <v>-71.3553</v>
      </c>
      <c r="K1346" s="7">
        <v>46.764600000000002</v>
      </c>
      <c r="L1346" s="7">
        <v>-71.308300000000003</v>
      </c>
      <c r="M1346" s="10" t="str">
        <f t="shared" si="125"/>
        <v>C17</v>
      </c>
      <c r="N1346" s="10" t="str">
        <f t="shared" si="126"/>
        <v>C53</v>
      </c>
      <c r="O1346" s="5">
        <f t="shared" si="127"/>
        <v>5.6139359615827349</v>
      </c>
      <c r="P1346" s="22">
        <f>O1346/Explications!$C$8</f>
        <v>0.18713119871942449</v>
      </c>
      <c r="Q1346" s="7" t="str">
        <f t="shared" si="128"/>
        <v>C53</v>
      </c>
      <c r="R1346" s="7" t="str">
        <f t="shared" si="129"/>
        <v>C17</v>
      </c>
      <c r="S1346" s="18">
        <f t="shared" si="130"/>
        <v>5.6139359615827349</v>
      </c>
      <c r="T1346" s="18">
        <f>S1346/Explications!$C$8</f>
        <v>0.18713119871942449</v>
      </c>
    </row>
    <row r="1347" spans="7:20">
      <c r="G1347" s="7" t="s">
        <v>33</v>
      </c>
      <c r="H1347" s="7" t="s">
        <v>70</v>
      </c>
      <c r="I1347" s="7">
        <v>46.8035</v>
      </c>
      <c r="J1347" s="7">
        <v>-71.3553</v>
      </c>
      <c r="K1347" s="7">
        <v>46.849699999999999</v>
      </c>
      <c r="L1347" s="7">
        <v>-71.097399999999993</v>
      </c>
      <c r="M1347" s="10" t="str">
        <f t="shared" si="125"/>
        <v>C17</v>
      </c>
      <c r="N1347" s="10" t="str">
        <f t="shared" si="126"/>
        <v>C54</v>
      </c>
      <c r="O1347" s="5">
        <f t="shared" si="127"/>
        <v>20.282520998670631</v>
      </c>
      <c r="P1347" s="22">
        <f>O1347/Explications!$C$8</f>
        <v>0.676084033289021</v>
      </c>
      <c r="Q1347" s="7" t="str">
        <f t="shared" si="128"/>
        <v>C54</v>
      </c>
      <c r="R1347" s="7" t="str">
        <f t="shared" si="129"/>
        <v>C17</v>
      </c>
      <c r="S1347" s="18">
        <f t="shared" si="130"/>
        <v>20.282520998670631</v>
      </c>
      <c r="T1347" s="18">
        <f>S1347/Explications!$C$8</f>
        <v>0.676084033289021</v>
      </c>
    </row>
    <row r="1348" spans="7:20">
      <c r="G1348" s="7" t="s">
        <v>33</v>
      </c>
      <c r="H1348" s="7" t="s">
        <v>71</v>
      </c>
      <c r="I1348" s="7">
        <v>46.8035</v>
      </c>
      <c r="J1348" s="7">
        <v>-71.3553</v>
      </c>
      <c r="K1348" s="7">
        <v>46.788899999999998</v>
      </c>
      <c r="L1348" s="7">
        <v>-71.321399999999997</v>
      </c>
      <c r="M1348" s="10" t="str">
        <f t="shared" ref="M1348:M1411" si="131">G1348</f>
        <v>C17</v>
      </c>
      <c r="N1348" s="10" t="str">
        <f t="shared" ref="N1348:N1411" si="132">H1348</f>
        <v>C55</v>
      </c>
      <c r="O1348" s="5">
        <f t="shared" ref="O1348:O1411" si="133">ACOS(SIN(RADIANS(I1348))*SIN(RADIANS(K1348))+COS(RADIANS(I1348))*COS(RADIANS(K1348))*COS(RADIANS(J1348-L1348)))*6371</f>
        <v>3.0487720565025862</v>
      </c>
      <c r="P1348" s="22">
        <f>O1348/Explications!$C$8</f>
        <v>0.10162573521675287</v>
      </c>
      <c r="Q1348" s="7" t="str">
        <f t="shared" ref="Q1348:Q1411" si="134">N1348</f>
        <v>C55</v>
      </c>
      <c r="R1348" s="7" t="str">
        <f t="shared" ref="R1348:R1411" si="135">M1348</f>
        <v>C17</v>
      </c>
      <c r="S1348" s="18">
        <f t="shared" ref="S1348:S1411" si="136">O1348</f>
        <v>3.0487720565025862</v>
      </c>
      <c r="T1348" s="18">
        <f>S1348/Explications!$C$8</f>
        <v>0.10162573521675287</v>
      </c>
    </row>
    <row r="1349" spans="7:20">
      <c r="G1349" s="7" t="s">
        <v>33</v>
      </c>
      <c r="H1349" s="7" t="s">
        <v>72</v>
      </c>
      <c r="I1349" s="7">
        <v>46.8035</v>
      </c>
      <c r="J1349" s="7">
        <v>-71.3553</v>
      </c>
      <c r="K1349" s="7">
        <v>46.795400000000001</v>
      </c>
      <c r="L1349" s="7">
        <v>-71.232600000000005</v>
      </c>
      <c r="M1349" s="10" t="str">
        <f t="shared" si="131"/>
        <v>C17</v>
      </c>
      <c r="N1349" s="10" t="str">
        <f t="shared" si="132"/>
        <v>C56</v>
      </c>
      <c r="O1349" s="5">
        <f t="shared" si="133"/>
        <v>9.3831211519656836</v>
      </c>
      <c r="P1349" s="22">
        <f>O1349/Explications!$C$8</f>
        <v>0.31277070506552279</v>
      </c>
      <c r="Q1349" s="7" t="str">
        <f t="shared" si="134"/>
        <v>C56</v>
      </c>
      <c r="R1349" s="7" t="str">
        <f t="shared" si="135"/>
        <v>C17</v>
      </c>
      <c r="S1349" s="18">
        <f t="shared" si="136"/>
        <v>9.3831211519656836</v>
      </c>
      <c r="T1349" s="18">
        <f>S1349/Explications!$C$8</f>
        <v>0.31277070506552279</v>
      </c>
    </row>
    <row r="1350" spans="7:20">
      <c r="G1350" s="7" t="s">
        <v>33</v>
      </c>
      <c r="H1350" s="7" t="s">
        <v>73</v>
      </c>
      <c r="I1350" s="7">
        <v>46.8035</v>
      </c>
      <c r="J1350" s="7">
        <v>-71.3553</v>
      </c>
      <c r="K1350" s="7">
        <v>46.801200000000001</v>
      </c>
      <c r="L1350" s="7">
        <v>-71.224999999999994</v>
      </c>
      <c r="M1350" s="10" t="str">
        <f t="shared" si="131"/>
        <v>C17</v>
      </c>
      <c r="N1350" s="10" t="str">
        <f t="shared" si="132"/>
        <v>C57</v>
      </c>
      <c r="O1350" s="5">
        <f t="shared" si="133"/>
        <v>9.9210595166928908</v>
      </c>
      <c r="P1350" s="22">
        <f>O1350/Explications!$C$8</f>
        <v>0.33070198388976302</v>
      </c>
      <c r="Q1350" s="7" t="str">
        <f t="shared" si="134"/>
        <v>C57</v>
      </c>
      <c r="R1350" s="7" t="str">
        <f t="shared" si="135"/>
        <v>C17</v>
      </c>
      <c r="S1350" s="18">
        <f t="shared" si="136"/>
        <v>9.9210595166928908</v>
      </c>
      <c r="T1350" s="18">
        <f>S1350/Explications!$C$8</f>
        <v>0.33070198388976302</v>
      </c>
    </row>
    <row r="1351" spans="7:20">
      <c r="G1351" s="7" t="s">
        <v>33</v>
      </c>
      <c r="H1351" s="7" t="s">
        <v>74</v>
      </c>
      <c r="I1351" s="7">
        <v>46.8035</v>
      </c>
      <c r="J1351" s="7">
        <v>-71.3553</v>
      </c>
      <c r="K1351" s="7">
        <v>46.773200000000003</v>
      </c>
      <c r="L1351" s="7">
        <v>-71.275899999999993</v>
      </c>
      <c r="M1351" s="10" t="str">
        <f t="shared" si="131"/>
        <v>C17</v>
      </c>
      <c r="N1351" s="10" t="str">
        <f t="shared" si="132"/>
        <v>C58</v>
      </c>
      <c r="O1351" s="5">
        <f t="shared" si="133"/>
        <v>6.9205973143871322</v>
      </c>
      <c r="P1351" s="22">
        <f>O1351/Explications!$C$8</f>
        <v>0.23068657714623775</v>
      </c>
      <c r="Q1351" s="7" t="str">
        <f t="shared" si="134"/>
        <v>C58</v>
      </c>
      <c r="R1351" s="7" t="str">
        <f t="shared" si="135"/>
        <v>C17</v>
      </c>
      <c r="S1351" s="18">
        <f t="shared" si="136"/>
        <v>6.9205973143871322</v>
      </c>
      <c r="T1351" s="18">
        <f>S1351/Explications!$C$8</f>
        <v>0.23068657714623775</v>
      </c>
    </row>
    <row r="1352" spans="7:20">
      <c r="G1352" s="7" t="s">
        <v>33</v>
      </c>
      <c r="H1352" s="7" t="s">
        <v>75</v>
      </c>
      <c r="I1352" s="7">
        <v>46.8035</v>
      </c>
      <c r="J1352" s="7">
        <v>-71.3553</v>
      </c>
      <c r="K1352" s="7">
        <v>46.814399999999999</v>
      </c>
      <c r="L1352" s="7">
        <v>-71.225700000000003</v>
      </c>
      <c r="M1352" s="10" t="str">
        <f t="shared" si="131"/>
        <v>C17</v>
      </c>
      <c r="N1352" s="10" t="str">
        <f t="shared" si="132"/>
        <v>C59</v>
      </c>
      <c r="O1352" s="5">
        <f t="shared" si="133"/>
        <v>9.9374613122843893</v>
      </c>
      <c r="P1352" s="22">
        <f>O1352/Explications!$C$8</f>
        <v>0.33124871040947962</v>
      </c>
      <c r="Q1352" s="7" t="str">
        <f t="shared" si="134"/>
        <v>C59</v>
      </c>
      <c r="R1352" s="7" t="str">
        <f t="shared" si="135"/>
        <v>C17</v>
      </c>
      <c r="S1352" s="18">
        <f t="shared" si="136"/>
        <v>9.9374613122843893</v>
      </c>
      <c r="T1352" s="18">
        <f>S1352/Explications!$C$8</f>
        <v>0.33124871040947962</v>
      </c>
    </row>
    <row r="1353" spans="7:20">
      <c r="G1353" s="7" t="s">
        <v>33</v>
      </c>
      <c r="H1353" s="7" t="s">
        <v>76</v>
      </c>
      <c r="I1353" s="7">
        <v>46.8035</v>
      </c>
      <c r="J1353" s="7">
        <v>-71.3553</v>
      </c>
      <c r="K1353" s="7">
        <v>46.772500000000001</v>
      </c>
      <c r="L1353" s="7">
        <v>-71.276300000000006</v>
      </c>
      <c r="M1353" s="10" t="str">
        <f t="shared" si="131"/>
        <v>C17</v>
      </c>
      <c r="N1353" s="10" t="str">
        <f t="shared" si="132"/>
        <v>C60</v>
      </c>
      <c r="O1353" s="5">
        <f t="shared" si="133"/>
        <v>6.9324184041947703</v>
      </c>
      <c r="P1353" s="22">
        <f>O1353/Explications!$C$8</f>
        <v>0.231080613473159</v>
      </c>
      <c r="Q1353" s="7" t="str">
        <f t="shared" si="134"/>
        <v>C60</v>
      </c>
      <c r="R1353" s="7" t="str">
        <f t="shared" si="135"/>
        <v>C17</v>
      </c>
      <c r="S1353" s="18">
        <f t="shared" si="136"/>
        <v>6.9324184041947703</v>
      </c>
      <c r="T1353" s="18">
        <f>S1353/Explications!$C$8</f>
        <v>0.231080613473159</v>
      </c>
    </row>
    <row r="1354" spans="7:20">
      <c r="G1354" s="7" t="s">
        <v>33</v>
      </c>
      <c r="H1354" s="7" t="s">
        <v>77</v>
      </c>
      <c r="I1354" s="7">
        <v>46.8035</v>
      </c>
      <c r="J1354" s="7">
        <v>-71.3553</v>
      </c>
      <c r="K1354" s="7">
        <v>46.810899999999997</v>
      </c>
      <c r="L1354" s="7">
        <v>-71.215599999999995</v>
      </c>
      <c r="M1354" s="10" t="str">
        <f t="shared" si="131"/>
        <v>C17</v>
      </c>
      <c r="N1354" s="10" t="str">
        <f t="shared" si="132"/>
        <v>C61</v>
      </c>
      <c r="O1354" s="5">
        <f t="shared" si="133"/>
        <v>10.664075926191478</v>
      </c>
      <c r="P1354" s="22">
        <f>O1354/Explications!$C$8</f>
        <v>0.3554691975397159</v>
      </c>
      <c r="Q1354" s="7" t="str">
        <f t="shared" si="134"/>
        <v>C61</v>
      </c>
      <c r="R1354" s="7" t="str">
        <f t="shared" si="135"/>
        <v>C17</v>
      </c>
      <c r="S1354" s="18">
        <f t="shared" si="136"/>
        <v>10.664075926191478</v>
      </c>
      <c r="T1354" s="18">
        <f>S1354/Explications!$C$8</f>
        <v>0.3554691975397159</v>
      </c>
    </row>
    <row r="1355" spans="7:20">
      <c r="G1355" s="7" t="s">
        <v>33</v>
      </c>
      <c r="H1355" s="7" t="s">
        <v>78</v>
      </c>
      <c r="I1355" s="7">
        <v>46.8035</v>
      </c>
      <c r="J1355" s="7">
        <v>-71.3553</v>
      </c>
      <c r="K1355" s="7">
        <v>46.795200000000001</v>
      </c>
      <c r="L1355" s="7">
        <v>-71.245099999999994</v>
      </c>
      <c r="M1355" s="10" t="str">
        <f t="shared" si="131"/>
        <v>C17</v>
      </c>
      <c r="N1355" s="10" t="str">
        <f t="shared" si="132"/>
        <v>C62</v>
      </c>
      <c r="O1355" s="5">
        <f t="shared" si="133"/>
        <v>8.4389413157889557</v>
      </c>
      <c r="P1355" s="22">
        <f>O1355/Explications!$C$8</f>
        <v>0.28129804385963186</v>
      </c>
      <c r="Q1355" s="7" t="str">
        <f t="shared" si="134"/>
        <v>C62</v>
      </c>
      <c r="R1355" s="7" t="str">
        <f t="shared" si="135"/>
        <v>C17</v>
      </c>
      <c r="S1355" s="18">
        <f t="shared" si="136"/>
        <v>8.4389413157889557</v>
      </c>
      <c r="T1355" s="18">
        <f>S1355/Explications!$C$8</f>
        <v>0.28129804385963186</v>
      </c>
    </row>
    <row r="1356" spans="7:20">
      <c r="G1356" s="7" t="s">
        <v>33</v>
      </c>
      <c r="H1356" s="7" t="s">
        <v>79</v>
      </c>
      <c r="I1356" s="7">
        <v>46.8035</v>
      </c>
      <c r="J1356" s="7">
        <v>-71.3553</v>
      </c>
      <c r="K1356" s="7">
        <v>46.822000000000003</v>
      </c>
      <c r="L1356" s="7">
        <v>-71.345699999999994</v>
      </c>
      <c r="M1356" s="10" t="str">
        <f t="shared" si="131"/>
        <v>C17</v>
      </c>
      <c r="N1356" s="10" t="str">
        <f t="shared" si="132"/>
        <v>C63</v>
      </c>
      <c r="O1356" s="5">
        <f t="shared" si="133"/>
        <v>2.1829808365217067</v>
      </c>
      <c r="P1356" s="22">
        <f>O1356/Explications!$C$8</f>
        <v>7.2766027884056894E-2</v>
      </c>
      <c r="Q1356" s="7" t="str">
        <f t="shared" si="134"/>
        <v>C63</v>
      </c>
      <c r="R1356" s="7" t="str">
        <f t="shared" si="135"/>
        <v>C17</v>
      </c>
      <c r="S1356" s="18">
        <f t="shared" si="136"/>
        <v>2.1829808365217067</v>
      </c>
      <c r="T1356" s="18">
        <f>S1356/Explications!$C$8</f>
        <v>7.2766027884056894E-2</v>
      </c>
    </row>
    <row r="1357" spans="7:20">
      <c r="G1357" s="7" t="s">
        <v>33</v>
      </c>
      <c r="H1357" s="7" t="s">
        <v>80</v>
      </c>
      <c r="I1357" s="7">
        <v>46.8035</v>
      </c>
      <c r="J1357" s="7">
        <v>-71.3553</v>
      </c>
      <c r="K1357" s="7">
        <v>46.779400000000003</v>
      </c>
      <c r="L1357" s="7">
        <v>-71.350399999999993</v>
      </c>
      <c r="M1357" s="10" t="str">
        <f t="shared" si="131"/>
        <v>C17</v>
      </c>
      <c r="N1357" s="10" t="str">
        <f t="shared" si="132"/>
        <v>C64</v>
      </c>
      <c r="O1357" s="5">
        <f t="shared" si="133"/>
        <v>2.7056373416895485</v>
      </c>
      <c r="P1357" s="22">
        <f>O1357/Explications!$C$8</f>
        <v>9.0187911389651612E-2</v>
      </c>
      <c r="Q1357" s="7" t="str">
        <f t="shared" si="134"/>
        <v>C64</v>
      </c>
      <c r="R1357" s="7" t="str">
        <f t="shared" si="135"/>
        <v>C17</v>
      </c>
      <c r="S1357" s="18">
        <f t="shared" si="136"/>
        <v>2.7056373416895485</v>
      </c>
      <c r="T1357" s="18">
        <f>S1357/Explications!$C$8</f>
        <v>9.0187911389651612E-2</v>
      </c>
    </row>
    <row r="1358" spans="7:20">
      <c r="G1358" s="7" t="s">
        <v>33</v>
      </c>
      <c r="H1358" s="7" t="s">
        <v>81</v>
      </c>
      <c r="I1358" s="7">
        <v>46.8035</v>
      </c>
      <c r="J1358" s="7">
        <v>-71.3553</v>
      </c>
      <c r="K1358" s="7">
        <v>46.772300000000001</v>
      </c>
      <c r="L1358" s="7">
        <v>-71.279799999999994</v>
      </c>
      <c r="M1358" s="10" t="str">
        <f t="shared" si="131"/>
        <v>C17</v>
      </c>
      <c r="N1358" s="10" t="str">
        <f t="shared" si="132"/>
        <v>C65</v>
      </c>
      <c r="O1358" s="5">
        <f t="shared" si="133"/>
        <v>6.7140055823584479</v>
      </c>
      <c r="P1358" s="22">
        <f>O1358/Explications!$C$8</f>
        <v>0.22380018607861493</v>
      </c>
      <c r="Q1358" s="7" t="str">
        <f t="shared" si="134"/>
        <v>C65</v>
      </c>
      <c r="R1358" s="7" t="str">
        <f t="shared" si="135"/>
        <v>C17</v>
      </c>
      <c r="S1358" s="18">
        <f t="shared" si="136"/>
        <v>6.7140055823584479</v>
      </c>
      <c r="T1358" s="18">
        <f>S1358/Explications!$C$8</f>
        <v>0.22380018607861493</v>
      </c>
    </row>
    <row r="1359" spans="7:20">
      <c r="G1359" s="7" t="s">
        <v>33</v>
      </c>
      <c r="H1359" s="7" t="s">
        <v>82</v>
      </c>
      <c r="I1359" s="7">
        <v>46.8035</v>
      </c>
      <c r="J1359" s="7">
        <v>-71.3553</v>
      </c>
      <c r="K1359" s="7">
        <v>46.814900000000002</v>
      </c>
      <c r="L1359" s="7">
        <v>-71.225200000000001</v>
      </c>
      <c r="M1359" s="10" t="str">
        <f t="shared" si="131"/>
        <v>C17</v>
      </c>
      <c r="N1359" s="10" t="str">
        <f t="shared" si="132"/>
        <v>C66</v>
      </c>
      <c r="O1359" s="5">
        <f t="shared" si="133"/>
        <v>9.9820932167979279</v>
      </c>
      <c r="P1359" s="22">
        <f>O1359/Explications!$C$8</f>
        <v>0.33273644055993096</v>
      </c>
      <c r="Q1359" s="7" t="str">
        <f t="shared" si="134"/>
        <v>C66</v>
      </c>
      <c r="R1359" s="7" t="str">
        <f t="shared" si="135"/>
        <v>C17</v>
      </c>
      <c r="S1359" s="18">
        <f t="shared" si="136"/>
        <v>9.9820932167979279</v>
      </c>
      <c r="T1359" s="18">
        <f>S1359/Explications!$C$8</f>
        <v>0.33273644055993096</v>
      </c>
    </row>
    <row r="1360" spans="7:20">
      <c r="G1360" s="7" t="s">
        <v>33</v>
      </c>
      <c r="H1360" s="7" t="s">
        <v>83</v>
      </c>
      <c r="I1360" s="7">
        <v>46.8035</v>
      </c>
      <c r="J1360" s="7">
        <v>-71.3553</v>
      </c>
      <c r="K1360" s="7">
        <v>46.814700000000002</v>
      </c>
      <c r="L1360" s="7">
        <v>-71.207300000000004</v>
      </c>
      <c r="M1360" s="10" t="str">
        <f t="shared" si="131"/>
        <v>C17</v>
      </c>
      <c r="N1360" s="10" t="str">
        <f t="shared" si="132"/>
        <v>C67</v>
      </c>
      <c r="O1360" s="5">
        <f t="shared" si="133"/>
        <v>11.332221369458296</v>
      </c>
      <c r="P1360" s="22">
        <f>O1360/Explications!$C$8</f>
        <v>0.37774071231527651</v>
      </c>
      <c r="Q1360" s="7" t="str">
        <f t="shared" si="134"/>
        <v>C67</v>
      </c>
      <c r="R1360" s="7" t="str">
        <f t="shared" si="135"/>
        <v>C17</v>
      </c>
      <c r="S1360" s="18">
        <f t="shared" si="136"/>
        <v>11.332221369458296</v>
      </c>
      <c r="T1360" s="18">
        <f>S1360/Explications!$C$8</f>
        <v>0.37774071231527651</v>
      </c>
    </row>
    <row r="1361" spans="7:20">
      <c r="G1361" s="7" t="s">
        <v>33</v>
      </c>
      <c r="H1361" s="7" t="s">
        <v>84</v>
      </c>
      <c r="I1361" s="7">
        <v>46.8035</v>
      </c>
      <c r="J1361" s="7">
        <v>-71.3553</v>
      </c>
      <c r="K1361" s="7">
        <v>46.815600000000003</v>
      </c>
      <c r="L1361" s="7">
        <v>-71.2029</v>
      </c>
      <c r="M1361" s="10" t="str">
        <f t="shared" si="131"/>
        <v>C17</v>
      </c>
      <c r="N1361" s="10" t="str">
        <f t="shared" si="132"/>
        <v>C68</v>
      </c>
      <c r="O1361" s="5">
        <f t="shared" si="133"/>
        <v>11.676126018127512</v>
      </c>
      <c r="P1361" s="22">
        <f>O1361/Explications!$C$8</f>
        <v>0.38920420060425037</v>
      </c>
      <c r="Q1361" s="7" t="str">
        <f t="shared" si="134"/>
        <v>C68</v>
      </c>
      <c r="R1361" s="7" t="str">
        <f t="shared" si="135"/>
        <v>C17</v>
      </c>
      <c r="S1361" s="18">
        <f t="shared" si="136"/>
        <v>11.676126018127512</v>
      </c>
      <c r="T1361" s="18">
        <f>S1361/Explications!$C$8</f>
        <v>0.38920420060425037</v>
      </c>
    </row>
    <row r="1362" spans="7:20">
      <c r="G1362" s="7" t="s">
        <v>33</v>
      </c>
      <c r="H1362" s="7" t="s">
        <v>85</v>
      </c>
      <c r="I1362" s="7">
        <v>46.8035</v>
      </c>
      <c r="J1362" s="7">
        <v>-71.3553</v>
      </c>
      <c r="K1362" s="7">
        <v>46.821899999999999</v>
      </c>
      <c r="L1362" s="7">
        <v>-71.249899999999997</v>
      </c>
      <c r="M1362" s="10" t="str">
        <f t="shared" si="131"/>
        <v>C17</v>
      </c>
      <c r="N1362" s="10" t="str">
        <f t="shared" si="132"/>
        <v>C69</v>
      </c>
      <c r="O1362" s="5">
        <f t="shared" si="133"/>
        <v>8.2777931743155797</v>
      </c>
      <c r="P1362" s="22">
        <f>O1362/Explications!$C$8</f>
        <v>0.27592643914385268</v>
      </c>
      <c r="Q1362" s="7" t="str">
        <f t="shared" si="134"/>
        <v>C69</v>
      </c>
      <c r="R1362" s="7" t="str">
        <f t="shared" si="135"/>
        <v>C17</v>
      </c>
      <c r="S1362" s="18">
        <f t="shared" si="136"/>
        <v>8.2777931743155797</v>
      </c>
      <c r="T1362" s="18">
        <f>S1362/Explications!$C$8</f>
        <v>0.27592643914385268</v>
      </c>
    </row>
    <row r="1363" spans="7:20">
      <c r="G1363" s="7" t="s">
        <v>33</v>
      </c>
      <c r="H1363" s="7" t="s">
        <v>86</v>
      </c>
      <c r="I1363" s="7">
        <v>46.8035</v>
      </c>
      <c r="J1363" s="7">
        <v>-71.3553</v>
      </c>
      <c r="K1363" s="7">
        <v>46.8872</v>
      </c>
      <c r="L1363" s="7">
        <v>-71.27</v>
      </c>
      <c r="M1363" s="10" t="str">
        <f t="shared" si="131"/>
        <v>C17</v>
      </c>
      <c r="N1363" s="10" t="str">
        <f t="shared" si="132"/>
        <v>C70</v>
      </c>
      <c r="O1363" s="5">
        <f t="shared" si="133"/>
        <v>11.344907180960192</v>
      </c>
      <c r="P1363" s="22">
        <f>O1363/Explications!$C$8</f>
        <v>0.37816357269867307</v>
      </c>
      <c r="Q1363" s="7" t="str">
        <f t="shared" si="134"/>
        <v>C70</v>
      </c>
      <c r="R1363" s="7" t="str">
        <f t="shared" si="135"/>
        <v>C17</v>
      </c>
      <c r="S1363" s="18">
        <f t="shared" si="136"/>
        <v>11.344907180960192</v>
      </c>
      <c r="T1363" s="18">
        <f>S1363/Explications!$C$8</f>
        <v>0.37816357269867307</v>
      </c>
    </row>
    <row r="1364" spans="7:20">
      <c r="G1364" s="7" t="s">
        <v>33</v>
      </c>
      <c r="H1364" s="7" t="s">
        <v>87</v>
      </c>
      <c r="I1364" s="7">
        <v>46.8035</v>
      </c>
      <c r="J1364" s="7">
        <v>-71.3553</v>
      </c>
      <c r="K1364" s="7">
        <v>46.816299999999998</v>
      </c>
      <c r="L1364" s="7">
        <v>-71.210300000000004</v>
      </c>
      <c r="M1364" s="10" t="str">
        <f t="shared" si="131"/>
        <v>C17</v>
      </c>
      <c r="N1364" s="10" t="str">
        <f t="shared" si="132"/>
        <v>C71</v>
      </c>
      <c r="O1364" s="5">
        <f t="shared" si="133"/>
        <v>11.126510206201138</v>
      </c>
      <c r="P1364" s="22">
        <f>O1364/Explications!$C$8</f>
        <v>0.37088367354003793</v>
      </c>
      <c r="Q1364" s="7" t="str">
        <f t="shared" si="134"/>
        <v>C71</v>
      </c>
      <c r="R1364" s="7" t="str">
        <f t="shared" si="135"/>
        <v>C17</v>
      </c>
      <c r="S1364" s="18">
        <f t="shared" si="136"/>
        <v>11.126510206201138</v>
      </c>
      <c r="T1364" s="18">
        <f>S1364/Explications!$C$8</f>
        <v>0.37088367354003793</v>
      </c>
    </row>
    <row r="1365" spans="7:20">
      <c r="G1365" s="7" t="s">
        <v>33</v>
      </c>
      <c r="H1365" s="7" t="s">
        <v>88</v>
      </c>
      <c r="I1365" s="7">
        <v>46.8035</v>
      </c>
      <c r="J1365" s="7">
        <v>-71.3553</v>
      </c>
      <c r="K1365" s="7">
        <v>46.807000000000002</v>
      </c>
      <c r="L1365" s="7">
        <v>-71.3566</v>
      </c>
      <c r="M1365" s="10" t="str">
        <f t="shared" si="131"/>
        <v>C17</v>
      </c>
      <c r="N1365" s="10" t="str">
        <f t="shared" si="132"/>
        <v>C72</v>
      </c>
      <c r="O1365" s="5">
        <f t="shared" si="133"/>
        <v>0.40156284423634703</v>
      </c>
      <c r="P1365" s="22">
        <f>O1365/Explications!$C$8</f>
        <v>1.3385428141211568E-2</v>
      </c>
      <c r="Q1365" s="7" t="str">
        <f t="shared" si="134"/>
        <v>C72</v>
      </c>
      <c r="R1365" s="7" t="str">
        <f t="shared" si="135"/>
        <v>C17</v>
      </c>
      <c r="S1365" s="18">
        <f t="shared" si="136"/>
        <v>0.40156284423634703</v>
      </c>
      <c r="T1365" s="18">
        <f>S1365/Explications!$C$8</f>
        <v>1.3385428141211568E-2</v>
      </c>
    </row>
    <row r="1366" spans="7:20">
      <c r="G1366" s="7" t="s">
        <v>33</v>
      </c>
      <c r="H1366" s="7" t="s">
        <v>89</v>
      </c>
      <c r="I1366" s="7">
        <v>46.8035</v>
      </c>
      <c r="J1366" s="7">
        <v>-71.3553</v>
      </c>
      <c r="K1366" s="7">
        <v>46.822899999999997</v>
      </c>
      <c r="L1366" s="7">
        <v>-71.341899999999995</v>
      </c>
      <c r="M1366" s="10" t="str">
        <f t="shared" si="131"/>
        <v>C17</v>
      </c>
      <c r="N1366" s="10" t="str">
        <f t="shared" si="132"/>
        <v>C73</v>
      </c>
      <c r="O1366" s="5">
        <f t="shared" si="133"/>
        <v>2.3860611899830149</v>
      </c>
      <c r="P1366" s="22">
        <f>O1366/Explications!$C$8</f>
        <v>7.9535372999433834E-2</v>
      </c>
      <c r="Q1366" s="7" t="str">
        <f t="shared" si="134"/>
        <v>C73</v>
      </c>
      <c r="R1366" s="7" t="str">
        <f t="shared" si="135"/>
        <v>C17</v>
      </c>
      <c r="S1366" s="18">
        <f t="shared" si="136"/>
        <v>2.3860611899830149</v>
      </c>
      <c r="T1366" s="18">
        <f>S1366/Explications!$C$8</f>
        <v>7.9535372999433834E-2</v>
      </c>
    </row>
    <row r="1367" spans="7:20">
      <c r="G1367" s="7" t="s">
        <v>33</v>
      </c>
      <c r="H1367" s="7" t="s">
        <v>90</v>
      </c>
      <c r="I1367" s="7">
        <v>46.8035</v>
      </c>
      <c r="J1367" s="7">
        <v>-71.3553</v>
      </c>
      <c r="K1367" s="7">
        <v>46.730699999999999</v>
      </c>
      <c r="L1367" s="7">
        <v>-71.261099999999999</v>
      </c>
      <c r="M1367" s="10" t="str">
        <f t="shared" si="131"/>
        <v>C17</v>
      </c>
      <c r="N1367" s="10" t="str">
        <f t="shared" si="132"/>
        <v>C74</v>
      </c>
      <c r="O1367" s="5">
        <f t="shared" si="133"/>
        <v>10.816901811164039</v>
      </c>
      <c r="P1367" s="22">
        <f>O1367/Explications!$C$8</f>
        <v>0.36056339370546797</v>
      </c>
      <c r="Q1367" s="7" t="str">
        <f t="shared" si="134"/>
        <v>C74</v>
      </c>
      <c r="R1367" s="7" t="str">
        <f t="shared" si="135"/>
        <v>C17</v>
      </c>
      <c r="S1367" s="18">
        <f t="shared" si="136"/>
        <v>10.816901811164039</v>
      </c>
      <c r="T1367" s="18">
        <f>S1367/Explications!$C$8</f>
        <v>0.36056339370546797</v>
      </c>
    </row>
    <row r="1368" spans="7:20">
      <c r="G1368" s="7" t="s">
        <v>33</v>
      </c>
      <c r="H1368" s="7" t="s">
        <v>91</v>
      </c>
      <c r="I1368" s="7">
        <v>46.8035</v>
      </c>
      <c r="J1368" s="7">
        <v>-71.3553</v>
      </c>
      <c r="K1368" s="7">
        <v>46.840600000000002</v>
      </c>
      <c r="L1368" s="7">
        <v>-71.289100000000005</v>
      </c>
      <c r="M1368" s="10" t="str">
        <f t="shared" si="131"/>
        <v>C17</v>
      </c>
      <c r="N1368" s="10" t="str">
        <f t="shared" si="132"/>
        <v>C75</v>
      </c>
      <c r="O1368" s="5">
        <f t="shared" si="133"/>
        <v>6.510706068020971</v>
      </c>
      <c r="P1368" s="22">
        <f>O1368/Explications!$C$8</f>
        <v>0.21702353560069904</v>
      </c>
      <c r="Q1368" s="7" t="str">
        <f t="shared" si="134"/>
        <v>C75</v>
      </c>
      <c r="R1368" s="7" t="str">
        <f t="shared" si="135"/>
        <v>C17</v>
      </c>
      <c r="S1368" s="18">
        <f t="shared" si="136"/>
        <v>6.510706068020971</v>
      </c>
      <c r="T1368" s="18">
        <f>S1368/Explications!$C$8</f>
        <v>0.21702353560069904</v>
      </c>
    </row>
    <row r="1369" spans="7:20">
      <c r="G1369" s="7" t="s">
        <v>33</v>
      </c>
      <c r="H1369" s="7" t="s">
        <v>92</v>
      </c>
      <c r="I1369" s="7">
        <v>46.8035</v>
      </c>
      <c r="J1369" s="7">
        <v>-71.3553</v>
      </c>
      <c r="K1369" s="7">
        <v>46.840600000000002</v>
      </c>
      <c r="L1369" s="7">
        <v>-71.281599999999997</v>
      </c>
      <c r="M1369" s="10" t="str">
        <f t="shared" si="131"/>
        <v>C17</v>
      </c>
      <c r="N1369" s="10" t="str">
        <f t="shared" si="132"/>
        <v>C76</v>
      </c>
      <c r="O1369" s="5">
        <f t="shared" si="133"/>
        <v>6.9615829658164232</v>
      </c>
      <c r="P1369" s="22">
        <f>O1369/Explications!$C$8</f>
        <v>0.2320527655272141</v>
      </c>
      <c r="Q1369" s="7" t="str">
        <f t="shared" si="134"/>
        <v>C76</v>
      </c>
      <c r="R1369" s="7" t="str">
        <f t="shared" si="135"/>
        <v>C17</v>
      </c>
      <c r="S1369" s="18">
        <f t="shared" si="136"/>
        <v>6.9615829658164232</v>
      </c>
      <c r="T1369" s="18">
        <f>S1369/Explications!$C$8</f>
        <v>0.2320527655272141</v>
      </c>
    </row>
    <row r="1370" spans="7:20">
      <c r="G1370" s="7" t="s">
        <v>33</v>
      </c>
      <c r="H1370" s="7" t="s">
        <v>93</v>
      </c>
      <c r="I1370" s="7">
        <v>46.8035</v>
      </c>
      <c r="J1370" s="7">
        <v>-71.3553</v>
      </c>
      <c r="K1370" s="7">
        <v>46.839399999999998</v>
      </c>
      <c r="L1370" s="7">
        <v>-71.282600000000002</v>
      </c>
      <c r="M1370" s="10" t="str">
        <f t="shared" si="131"/>
        <v>C17</v>
      </c>
      <c r="N1370" s="10" t="str">
        <f t="shared" si="132"/>
        <v>C77</v>
      </c>
      <c r="O1370" s="5">
        <f t="shared" si="133"/>
        <v>6.8215588011865433</v>
      </c>
      <c r="P1370" s="22">
        <f>O1370/Explications!$C$8</f>
        <v>0.22738529337288477</v>
      </c>
      <c r="Q1370" s="7" t="str">
        <f t="shared" si="134"/>
        <v>C77</v>
      </c>
      <c r="R1370" s="7" t="str">
        <f t="shared" si="135"/>
        <v>C17</v>
      </c>
      <c r="S1370" s="18">
        <f t="shared" si="136"/>
        <v>6.8215588011865433</v>
      </c>
      <c r="T1370" s="18">
        <f>S1370/Explications!$C$8</f>
        <v>0.22738529337288477</v>
      </c>
    </row>
    <row r="1371" spans="7:20">
      <c r="G1371" s="7" t="s">
        <v>33</v>
      </c>
      <c r="H1371" s="7" t="s">
        <v>94</v>
      </c>
      <c r="I1371" s="7">
        <v>46.8035</v>
      </c>
      <c r="J1371" s="7">
        <v>-71.3553</v>
      </c>
      <c r="K1371" s="7">
        <v>46.788499999999999</v>
      </c>
      <c r="L1371" s="7">
        <v>-71.282399999999996</v>
      </c>
      <c r="M1371" s="10" t="str">
        <f t="shared" si="131"/>
        <v>C17</v>
      </c>
      <c r="N1371" s="10" t="str">
        <f t="shared" si="132"/>
        <v>C78</v>
      </c>
      <c r="O1371" s="5">
        <f t="shared" si="133"/>
        <v>5.7946617296546004</v>
      </c>
      <c r="P1371" s="22">
        <f>O1371/Explications!$C$8</f>
        <v>0.19315539098848669</v>
      </c>
      <c r="Q1371" s="7" t="str">
        <f t="shared" si="134"/>
        <v>C78</v>
      </c>
      <c r="R1371" s="7" t="str">
        <f t="shared" si="135"/>
        <v>C17</v>
      </c>
      <c r="S1371" s="18">
        <f t="shared" si="136"/>
        <v>5.7946617296546004</v>
      </c>
      <c r="T1371" s="18">
        <f>S1371/Explications!$C$8</f>
        <v>0.19315539098848669</v>
      </c>
    </row>
    <row r="1372" spans="7:20">
      <c r="G1372" s="7" t="s">
        <v>33</v>
      </c>
      <c r="H1372" s="7" t="s">
        <v>95</v>
      </c>
      <c r="I1372" s="7">
        <v>46.8035</v>
      </c>
      <c r="J1372" s="7">
        <v>-71.3553</v>
      </c>
      <c r="K1372" s="7">
        <v>46.840699999999998</v>
      </c>
      <c r="L1372" s="7">
        <v>-71.325400000000002</v>
      </c>
      <c r="M1372" s="10" t="str">
        <f t="shared" si="131"/>
        <v>C17</v>
      </c>
      <c r="N1372" s="10" t="str">
        <f t="shared" si="132"/>
        <v>C79</v>
      </c>
      <c r="O1372" s="5">
        <f t="shared" si="133"/>
        <v>4.7207885753335237</v>
      </c>
      <c r="P1372" s="22">
        <f>O1372/Explications!$C$8</f>
        <v>0.15735961917778413</v>
      </c>
      <c r="Q1372" s="7" t="str">
        <f t="shared" si="134"/>
        <v>C79</v>
      </c>
      <c r="R1372" s="7" t="str">
        <f t="shared" si="135"/>
        <v>C17</v>
      </c>
      <c r="S1372" s="18">
        <f t="shared" si="136"/>
        <v>4.7207885753335237</v>
      </c>
      <c r="T1372" s="18">
        <f>S1372/Explications!$C$8</f>
        <v>0.15735961917778413</v>
      </c>
    </row>
    <row r="1373" spans="7:20">
      <c r="G1373" s="7" t="s">
        <v>33</v>
      </c>
      <c r="H1373" s="7" t="s">
        <v>96</v>
      </c>
      <c r="I1373" s="7">
        <v>46.8035</v>
      </c>
      <c r="J1373" s="7">
        <v>-71.3553</v>
      </c>
      <c r="K1373" s="7">
        <v>46.798400000000001</v>
      </c>
      <c r="L1373" s="7">
        <v>-71.183199999999999</v>
      </c>
      <c r="M1373" s="10" t="str">
        <f t="shared" si="131"/>
        <v>C17</v>
      </c>
      <c r="N1373" s="10" t="str">
        <f t="shared" si="132"/>
        <v>C80</v>
      </c>
      <c r="O1373" s="5">
        <f t="shared" si="133"/>
        <v>13.111971478023246</v>
      </c>
      <c r="P1373" s="22">
        <f>O1373/Explications!$C$8</f>
        <v>0.4370657159341082</v>
      </c>
      <c r="Q1373" s="7" t="str">
        <f t="shared" si="134"/>
        <v>C80</v>
      </c>
      <c r="R1373" s="7" t="str">
        <f t="shared" si="135"/>
        <v>C17</v>
      </c>
      <c r="S1373" s="18">
        <f t="shared" si="136"/>
        <v>13.111971478023246</v>
      </c>
      <c r="T1373" s="18">
        <f>S1373/Explications!$C$8</f>
        <v>0.4370657159341082</v>
      </c>
    </row>
    <row r="1374" spans="7:20">
      <c r="G1374" s="7" t="s">
        <v>33</v>
      </c>
      <c r="H1374" s="7" t="s">
        <v>97</v>
      </c>
      <c r="I1374" s="7">
        <v>46.8035</v>
      </c>
      <c r="J1374" s="7">
        <v>-71.3553</v>
      </c>
      <c r="K1374" s="7">
        <v>46.724800000000002</v>
      </c>
      <c r="L1374" s="7">
        <v>-71.2988</v>
      </c>
      <c r="M1374" s="10" t="str">
        <f t="shared" si="131"/>
        <v>C17</v>
      </c>
      <c r="N1374" s="10" t="str">
        <f t="shared" si="132"/>
        <v>C81</v>
      </c>
      <c r="O1374" s="5">
        <f t="shared" si="133"/>
        <v>9.7519826584542635</v>
      </c>
      <c r="P1374" s="22">
        <f>O1374/Explications!$C$8</f>
        <v>0.32506608861514213</v>
      </c>
      <c r="Q1374" s="7" t="str">
        <f t="shared" si="134"/>
        <v>C81</v>
      </c>
      <c r="R1374" s="7" t="str">
        <f t="shared" si="135"/>
        <v>C17</v>
      </c>
      <c r="S1374" s="18">
        <f t="shared" si="136"/>
        <v>9.7519826584542635</v>
      </c>
      <c r="T1374" s="18">
        <f>S1374/Explications!$C$8</f>
        <v>0.32506608861514213</v>
      </c>
    </row>
    <row r="1375" spans="7:20">
      <c r="G1375" s="7" t="s">
        <v>33</v>
      </c>
      <c r="H1375" s="7" t="s">
        <v>98</v>
      </c>
      <c r="I1375" s="7">
        <v>46.8035</v>
      </c>
      <c r="J1375" s="7">
        <v>-71.3553</v>
      </c>
      <c r="K1375" s="7">
        <v>46.795499999999997</v>
      </c>
      <c r="L1375" s="7">
        <v>-71.242900000000006</v>
      </c>
      <c r="M1375" s="10" t="str">
        <f t="shared" si="131"/>
        <v>C17</v>
      </c>
      <c r="N1375" s="10" t="str">
        <f t="shared" si="132"/>
        <v>C82</v>
      </c>
      <c r="O1375" s="5">
        <f t="shared" si="133"/>
        <v>8.6018808413383354</v>
      </c>
      <c r="P1375" s="22">
        <f>O1375/Explications!$C$8</f>
        <v>0.28672936137794452</v>
      </c>
      <c r="Q1375" s="7" t="str">
        <f t="shared" si="134"/>
        <v>C82</v>
      </c>
      <c r="R1375" s="7" t="str">
        <f t="shared" si="135"/>
        <v>C17</v>
      </c>
      <c r="S1375" s="18">
        <f t="shared" si="136"/>
        <v>8.6018808413383354</v>
      </c>
      <c r="T1375" s="18">
        <f>S1375/Explications!$C$8</f>
        <v>0.28672936137794452</v>
      </c>
    </row>
    <row r="1376" spans="7:20">
      <c r="G1376" s="7" t="s">
        <v>33</v>
      </c>
      <c r="H1376" s="7" t="s">
        <v>99</v>
      </c>
      <c r="I1376" s="7">
        <v>46.8035</v>
      </c>
      <c r="J1376" s="7">
        <v>-71.3553</v>
      </c>
      <c r="K1376" s="7">
        <v>46.8157</v>
      </c>
      <c r="L1376" s="7">
        <v>-71.201899999999995</v>
      </c>
      <c r="M1376" s="10" t="str">
        <f t="shared" si="131"/>
        <v>C17</v>
      </c>
      <c r="N1376" s="10" t="str">
        <f t="shared" si="132"/>
        <v>C83</v>
      </c>
      <c r="O1376" s="5">
        <f t="shared" si="133"/>
        <v>11.752994431176056</v>
      </c>
      <c r="P1376" s="22">
        <f>O1376/Explications!$C$8</f>
        <v>0.39176648103920186</v>
      </c>
      <c r="Q1376" s="7" t="str">
        <f t="shared" si="134"/>
        <v>C83</v>
      </c>
      <c r="R1376" s="7" t="str">
        <f t="shared" si="135"/>
        <v>C17</v>
      </c>
      <c r="S1376" s="18">
        <f t="shared" si="136"/>
        <v>11.752994431176056</v>
      </c>
      <c r="T1376" s="18">
        <f>S1376/Explications!$C$8</f>
        <v>0.39176648103920186</v>
      </c>
    </row>
    <row r="1377" spans="7:20">
      <c r="G1377" s="7" t="s">
        <v>33</v>
      </c>
      <c r="H1377" s="7" t="s">
        <v>100</v>
      </c>
      <c r="I1377" s="7">
        <v>46.8035</v>
      </c>
      <c r="J1377" s="7">
        <v>-71.3553</v>
      </c>
      <c r="K1377" s="7">
        <v>46.837600000000002</v>
      </c>
      <c r="L1377" s="7">
        <v>-71.196299999999994</v>
      </c>
      <c r="M1377" s="10" t="str">
        <f t="shared" si="131"/>
        <v>C17</v>
      </c>
      <c r="N1377" s="10" t="str">
        <f t="shared" si="132"/>
        <v>C84</v>
      </c>
      <c r="O1377" s="5">
        <f t="shared" si="133"/>
        <v>12.678441216787798</v>
      </c>
      <c r="P1377" s="22">
        <f>O1377/Explications!$C$8</f>
        <v>0.42261470722625993</v>
      </c>
      <c r="Q1377" s="7" t="str">
        <f t="shared" si="134"/>
        <v>C84</v>
      </c>
      <c r="R1377" s="7" t="str">
        <f t="shared" si="135"/>
        <v>C17</v>
      </c>
      <c r="S1377" s="18">
        <f t="shared" si="136"/>
        <v>12.678441216787798</v>
      </c>
      <c r="T1377" s="18">
        <f>S1377/Explications!$C$8</f>
        <v>0.42261470722625993</v>
      </c>
    </row>
    <row r="1378" spans="7:20">
      <c r="G1378" s="7" t="s">
        <v>33</v>
      </c>
      <c r="H1378" s="7" t="s">
        <v>101</v>
      </c>
      <c r="I1378" s="7">
        <v>46.8035</v>
      </c>
      <c r="J1378" s="7">
        <v>-71.3553</v>
      </c>
      <c r="K1378" s="7">
        <v>46.7988</v>
      </c>
      <c r="L1378" s="7">
        <v>-71.318200000000004</v>
      </c>
      <c r="M1378" s="10" t="str">
        <f t="shared" si="131"/>
        <v>C17</v>
      </c>
      <c r="N1378" s="10" t="str">
        <f t="shared" si="132"/>
        <v>C85</v>
      </c>
      <c r="O1378" s="5">
        <f t="shared" si="133"/>
        <v>2.8718760079609678</v>
      </c>
      <c r="P1378" s="22">
        <f>O1378/Explications!$C$8</f>
        <v>9.5729200265365591E-2</v>
      </c>
      <c r="Q1378" s="7" t="str">
        <f t="shared" si="134"/>
        <v>C85</v>
      </c>
      <c r="R1378" s="7" t="str">
        <f t="shared" si="135"/>
        <v>C17</v>
      </c>
      <c r="S1378" s="18">
        <f t="shared" si="136"/>
        <v>2.8718760079609678</v>
      </c>
      <c r="T1378" s="18">
        <f>S1378/Explications!$C$8</f>
        <v>9.5729200265365591E-2</v>
      </c>
    </row>
    <row r="1379" spans="7:20">
      <c r="G1379" s="7" t="s">
        <v>34</v>
      </c>
      <c r="H1379" s="7" t="s">
        <v>35</v>
      </c>
      <c r="I1379" s="7">
        <v>46.730200000000004</v>
      </c>
      <c r="J1379" s="7">
        <v>-71.274100000000004</v>
      </c>
      <c r="K1379" s="7">
        <v>46.785600000000002</v>
      </c>
      <c r="L1379" s="7">
        <v>-71.245500000000007</v>
      </c>
      <c r="M1379" s="10" t="str">
        <f t="shared" si="131"/>
        <v>C18</v>
      </c>
      <c r="N1379" s="10" t="str">
        <f t="shared" si="132"/>
        <v>C19</v>
      </c>
      <c r="O1379" s="5">
        <f t="shared" si="133"/>
        <v>6.5341186119954768</v>
      </c>
      <c r="P1379" s="22">
        <f>O1379/Explications!$C$8</f>
        <v>0.21780395373318256</v>
      </c>
      <c r="Q1379" s="7" t="str">
        <f t="shared" si="134"/>
        <v>C19</v>
      </c>
      <c r="R1379" s="7" t="str">
        <f t="shared" si="135"/>
        <v>C18</v>
      </c>
      <c r="S1379" s="18">
        <f t="shared" si="136"/>
        <v>6.5341186119954768</v>
      </c>
      <c r="T1379" s="18">
        <f>S1379/Explications!$C$8</f>
        <v>0.21780395373318256</v>
      </c>
    </row>
    <row r="1380" spans="7:20">
      <c r="G1380" s="7" t="s">
        <v>34</v>
      </c>
      <c r="H1380" s="7" t="s">
        <v>36</v>
      </c>
      <c r="I1380" s="7">
        <v>46.730200000000004</v>
      </c>
      <c r="J1380" s="7">
        <v>-71.274100000000004</v>
      </c>
      <c r="K1380" s="7">
        <v>46.8215</v>
      </c>
      <c r="L1380" s="7">
        <v>-71.355400000000003</v>
      </c>
      <c r="M1380" s="10" t="str">
        <f t="shared" si="131"/>
        <v>C18</v>
      </c>
      <c r="N1380" s="10" t="str">
        <f t="shared" si="132"/>
        <v>C20</v>
      </c>
      <c r="O1380" s="5">
        <f t="shared" si="133"/>
        <v>11.890996132384736</v>
      </c>
      <c r="P1380" s="22">
        <f>O1380/Explications!$C$8</f>
        <v>0.39636653774615788</v>
      </c>
      <c r="Q1380" s="7" t="str">
        <f t="shared" si="134"/>
        <v>C20</v>
      </c>
      <c r="R1380" s="7" t="str">
        <f t="shared" si="135"/>
        <v>C18</v>
      </c>
      <c r="S1380" s="18">
        <f t="shared" si="136"/>
        <v>11.890996132384736</v>
      </c>
      <c r="T1380" s="18">
        <f>S1380/Explications!$C$8</f>
        <v>0.39636653774615788</v>
      </c>
    </row>
    <row r="1381" spans="7:20">
      <c r="G1381" s="7" t="s">
        <v>34</v>
      </c>
      <c r="H1381" s="7" t="s">
        <v>37</v>
      </c>
      <c r="I1381" s="7">
        <v>46.730200000000004</v>
      </c>
      <c r="J1381" s="7">
        <v>-71.274100000000004</v>
      </c>
      <c r="K1381" s="7">
        <v>46.8093</v>
      </c>
      <c r="L1381" s="7">
        <v>-71.2273</v>
      </c>
      <c r="M1381" s="10" t="str">
        <f t="shared" si="131"/>
        <v>C18</v>
      </c>
      <c r="N1381" s="10" t="str">
        <f t="shared" si="132"/>
        <v>C21</v>
      </c>
      <c r="O1381" s="5">
        <f t="shared" si="133"/>
        <v>9.4902900789058453</v>
      </c>
      <c r="P1381" s="22">
        <f>O1381/Explications!$C$8</f>
        <v>0.31634300263019483</v>
      </c>
      <c r="Q1381" s="7" t="str">
        <f t="shared" si="134"/>
        <v>C21</v>
      </c>
      <c r="R1381" s="7" t="str">
        <f t="shared" si="135"/>
        <v>C18</v>
      </c>
      <c r="S1381" s="18">
        <f t="shared" si="136"/>
        <v>9.4902900789058453</v>
      </c>
      <c r="T1381" s="18">
        <f>S1381/Explications!$C$8</f>
        <v>0.31634300263019483</v>
      </c>
    </row>
    <row r="1382" spans="7:20">
      <c r="G1382" s="7" t="s">
        <v>34</v>
      </c>
      <c r="H1382" s="7" t="s">
        <v>38</v>
      </c>
      <c r="I1382" s="7">
        <v>46.730200000000004</v>
      </c>
      <c r="J1382" s="7">
        <v>-71.274100000000004</v>
      </c>
      <c r="K1382" s="7">
        <v>46.781300000000002</v>
      </c>
      <c r="L1382" s="7">
        <v>-71.301000000000002</v>
      </c>
      <c r="M1382" s="10" t="str">
        <f t="shared" si="131"/>
        <v>C18</v>
      </c>
      <c r="N1382" s="10" t="str">
        <f t="shared" si="132"/>
        <v>C22</v>
      </c>
      <c r="O1382" s="5">
        <f t="shared" si="133"/>
        <v>6.0403052837153091</v>
      </c>
      <c r="P1382" s="22">
        <f>O1382/Explications!$C$8</f>
        <v>0.20134350945717697</v>
      </c>
      <c r="Q1382" s="7" t="str">
        <f t="shared" si="134"/>
        <v>C22</v>
      </c>
      <c r="R1382" s="7" t="str">
        <f t="shared" si="135"/>
        <v>C18</v>
      </c>
      <c r="S1382" s="18">
        <f t="shared" si="136"/>
        <v>6.0403052837153091</v>
      </c>
      <c r="T1382" s="18">
        <f>S1382/Explications!$C$8</f>
        <v>0.20134350945717697</v>
      </c>
    </row>
    <row r="1383" spans="7:20">
      <c r="G1383" s="7" t="s">
        <v>34</v>
      </c>
      <c r="H1383" s="7" t="s">
        <v>39</v>
      </c>
      <c r="I1383" s="7">
        <v>46.730200000000004</v>
      </c>
      <c r="J1383" s="7">
        <v>-71.274100000000004</v>
      </c>
      <c r="K1383" s="7">
        <v>46.844900000000003</v>
      </c>
      <c r="L1383" s="7">
        <v>-71.251400000000004</v>
      </c>
      <c r="M1383" s="10" t="str">
        <f t="shared" si="131"/>
        <v>C18</v>
      </c>
      <c r="N1383" s="10" t="str">
        <f t="shared" si="132"/>
        <v>C23</v>
      </c>
      <c r="O1383" s="5">
        <f t="shared" si="133"/>
        <v>12.870623620778627</v>
      </c>
      <c r="P1383" s="22">
        <f>O1383/Explications!$C$8</f>
        <v>0.42902078735928756</v>
      </c>
      <c r="Q1383" s="7" t="str">
        <f t="shared" si="134"/>
        <v>C23</v>
      </c>
      <c r="R1383" s="7" t="str">
        <f t="shared" si="135"/>
        <v>C18</v>
      </c>
      <c r="S1383" s="18">
        <f t="shared" si="136"/>
        <v>12.870623620778627</v>
      </c>
      <c r="T1383" s="18">
        <f>S1383/Explications!$C$8</f>
        <v>0.42902078735928756</v>
      </c>
    </row>
    <row r="1384" spans="7:20">
      <c r="G1384" s="7" t="s">
        <v>34</v>
      </c>
      <c r="H1384" s="7" t="s">
        <v>40</v>
      </c>
      <c r="I1384" s="7">
        <v>46.730200000000004</v>
      </c>
      <c r="J1384" s="7">
        <v>-71.274100000000004</v>
      </c>
      <c r="K1384" s="7">
        <v>46.805500000000002</v>
      </c>
      <c r="L1384" s="7">
        <v>-71.2196</v>
      </c>
      <c r="M1384" s="10" t="str">
        <f t="shared" si="131"/>
        <v>C18</v>
      </c>
      <c r="N1384" s="10" t="str">
        <f t="shared" si="132"/>
        <v>C24</v>
      </c>
      <c r="O1384" s="5">
        <f t="shared" si="133"/>
        <v>9.345419757681114</v>
      </c>
      <c r="P1384" s="22">
        <f>O1384/Explications!$C$8</f>
        <v>0.31151399192270379</v>
      </c>
      <c r="Q1384" s="7" t="str">
        <f t="shared" si="134"/>
        <v>C24</v>
      </c>
      <c r="R1384" s="7" t="str">
        <f t="shared" si="135"/>
        <v>C18</v>
      </c>
      <c r="S1384" s="18">
        <f t="shared" si="136"/>
        <v>9.345419757681114</v>
      </c>
      <c r="T1384" s="18">
        <f>S1384/Explications!$C$8</f>
        <v>0.31151399192270379</v>
      </c>
    </row>
    <row r="1385" spans="7:20">
      <c r="G1385" s="7" t="s">
        <v>34</v>
      </c>
      <c r="H1385" s="7" t="s">
        <v>41</v>
      </c>
      <c r="I1385" s="7">
        <v>46.730200000000004</v>
      </c>
      <c r="J1385" s="7">
        <v>-71.274100000000004</v>
      </c>
      <c r="K1385" s="7">
        <v>46.734900000000003</v>
      </c>
      <c r="L1385" s="7">
        <v>-71.266199999999998</v>
      </c>
      <c r="M1385" s="10" t="str">
        <f t="shared" si="131"/>
        <v>C18</v>
      </c>
      <c r="N1385" s="10" t="str">
        <f t="shared" si="132"/>
        <v>C25</v>
      </c>
      <c r="O1385" s="5">
        <f t="shared" si="133"/>
        <v>0.79726802894491167</v>
      </c>
      <c r="P1385" s="22">
        <f>O1385/Explications!$C$8</f>
        <v>2.657560096483039E-2</v>
      </c>
      <c r="Q1385" s="7" t="str">
        <f t="shared" si="134"/>
        <v>C25</v>
      </c>
      <c r="R1385" s="7" t="str">
        <f t="shared" si="135"/>
        <v>C18</v>
      </c>
      <c r="S1385" s="18">
        <f t="shared" si="136"/>
        <v>0.79726802894491167</v>
      </c>
      <c r="T1385" s="18">
        <f>S1385/Explications!$C$8</f>
        <v>2.657560096483039E-2</v>
      </c>
    </row>
    <row r="1386" spans="7:20">
      <c r="G1386" s="7" t="s">
        <v>34</v>
      </c>
      <c r="H1386" s="7" t="s">
        <v>42</v>
      </c>
      <c r="I1386" s="7">
        <v>46.730200000000004</v>
      </c>
      <c r="J1386" s="7">
        <v>-71.274100000000004</v>
      </c>
      <c r="K1386" s="7">
        <v>46.817700000000002</v>
      </c>
      <c r="L1386" s="7">
        <v>-71.214100000000002</v>
      </c>
      <c r="M1386" s="10" t="str">
        <f t="shared" si="131"/>
        <v>C18</v>
      </c>
      <c r="N1386" s="10" t="str">
        <f t="shared" si="132"/>
        <v>C26</v>
      </c>
      <c r="O1386" s="5">
        <f t="shared" si="133"/>
        <v>10.749081409068106</v>
      </c>
      <c r="P1386" s="22">
        <f>O1386/Explications!$C$8</f>
        <v>0.35830271363560351</v>
      </c>
      <c r="Q1386" s="7" t="str">
        <f t="shared" si="134"/>
        <v>C26</v>
      </c>
      <c r="R1386" s="7" t="str">
        <f t="shared" si="135"/>
        <v>C18</v>
      </c>
      <c r="S1386" s="18">
        <f t="shared" si="136"/>
        <v>10.749081409068106</v>
      </c>
      <c r="T1386" s="18">
        <f>S1386/Explications!$C$8</f>
        <v>0.35830271363560351</v>
      </c>
    </row>
    <row r="1387" spans="7:20">
      <c r="G1387" s="7" t="s">
        <v>34</v>
      </c>
      <c r="H1387" s="7" t="s">
        <v>43</v>
      </c>
      <c r="I1387" s="7">
        <v>46.730200000000004</v>
      </c>
      <c r="J1387" s="7">
        <v>-71.274100000000004</v>
      </c>
      <c r="K1387" s="7">
        <v>46.603000000000002</v>
      </c>
      <c r="L1387" s="7">
        <v>-71.490600000000001</v>
      </c>
      <c r="M1387" s="10" t="str">
        <f t="shared" si="131"/>
        <v>C18</v>
      </c>
      <c r="N1387" s="10" t="str">
        <f t="shared" si="132"/>
        <v>C27</v>
      </c>
      <c r="O1387" s="5">
        <f t="shared" si="133"/>
        <v>21.747998391014931</v>
      </c>
      <c r="P1387" s="22">
        <f>O1387/Explications!$C$8</f>
        <v>0.7249332797004977</v>
      </c>
      <c r="Q1387" s="7" t="str">
        <f t="shared" si="134"/>
        <v>C27</v>
      </c>
      <c r="R1387" s="7" t="str">
        <f t="shared" si="135"/>
        <v>C18</v>
      </c>
      <c r="S1387" s="18">
        <f t="shared" si="136"/>
        <v>21.747998391014931</v>
      </c>
      <c r="T1387" s="18">
        <f>S1387/Explications!$C$8</f>
        <v>0.7249332797004977</v>
      </c>
    </row>
    <row r="1388" spans="7:20">
      <c r="G1388" s="7" t="s">
        <v>34</v>
      </c>
      <c r="H1388" s="7" t="s">
        <v>44</v>
      </c>
      <c r="I1388" s="7">
        <v>46.730200000000004</v>
      </c>
      <c r="J1388" s="7">
        <v>-71.274100000000004</v>
      </c>
      <c r="K1388" s="7">
        <v>47.000500000000002</v>
      </c>
      <c r="L1388" s="7">
        <v>-71.388400000000004</v>
      </c>
      <c r="M1388" s="10" t="str">
        <f t="shared" si="131"/>
        <v>C18</v>
      </c>
      <c r="N1388" s="10" t="str">
        <f t="shared" si="132"/>
        <v>C28</v>
      </c>
      <c r="O1388" s="5">
        <f t="shared" si="133"/>
        <v>31.286950775067318</v>
      </c>
      <c r="P1388" s="22">
        <f>O1388/Explications!$C$8</f>
        <v>1.0428983591689105</v>
      </c>
      <c r="Q1388" s="7" t="str">
        <f t="shared" si="134"/>
        <v>C28</v>
      </c>
      <c r="R1388" s="7" t="str">
        <f t="shared" si="135"/>
        <v>C18</v>
      </c>
      <c r="S1388" s="18">
        <f t="shared" si="136"/>
        <v>31.286950775067318</v>
      </c>
      <c r="T1388" s="18">
        <f>S1388/Explications!$C$8</f>
        <v>1.0428983591689105</v>
      </c>
    </row>
    <row r="1389" spans="7:20">
      <c r="G1389" s="7" t="s">
        <v>34</v>
      </c>
      <c r="H1389" s="7" t="s">
        <v>45</v>
      </c>
      <c r="I1389" s="7">
        <v>46.730200000000004</v>
      </c>
      <c r="J1389" s="7">
        <v>-71.274100000000004</v>
      </c>
      <c r="K1389" s="7">
        <v>46.839100000000002</v>
      </c>
      <c r="L1389" s="7">
        <v>-71.245699999999999</v>
      </c>
      <c r="M1389" s="10" t="str">
        <f t="shared" si="131"/>
        <v>C18</v>
      </c>
      <c r="N1389" s="10" t="str">
        <f t="shared" si="132"/>
        <v>C29</v>
      </c>
      <c r="O1389" s="5">
        <f t="shared" si="133"/>
        <v>12.300683634825997</v>
      </c>
      <c r="P1389" s="22">
        <f>O1389/Explications!$C$8</f>
        <v>0.41002278782753326</v>
      </c>
      <c r="Q1389" s="7" t="str">
        <f t="shared" si="134"/>
        <v>C29</v>
      </c>
      <c r="R1389" s="7" t="str">
        <f t="shared" si="135"/>
        <v>C18</v>
      </c>
      <c r="S1389" s="18">
        <f t="shared" si="136"/>
        <v>12.300683634825997</v>
      </c>
      <c r="T1389" s="18">
        <f>S1389/Explications!$C$8</f>
        <v>0.41002278782753326</v>
      </c>
    </row>
    <row r="1390" spans="7:20">
      <c r="G1390" s="7" t="s">
        <v>34</v>
      </c>
      <c r="H1390" s="7" t="s">
        <v>46</v>
      </c>
      <c r="I1390" s="7">
        <v>46.730200000000004</v>
      </c>
      <c r="J1390" s="7">
        <v>-71.274100000000004</v>
      </c>
      <c r="K1390" s="7">
        <v>46.865699999999997</v>
      </c>
      <c r="L1390" s="7">
        <v>-71.27</v>
      </c>
      <c r="M1390" s="10" t="str">
        <f t="shared" si="131"/>
        <v>C18</v>
      </c>
      <c r="N1390" s="10" t="str">
        <f t="shared" si="132"/>
        <v>C30</v>
      </c>
      <c r="O1390" s="5">
        <f t="shared" si="133"/>
        <v>15.0701445926892</v>
      </c>
      <c r="P1390" s="22">
        <f>O1390/Explications!$C$8</f>
        <v>0.50233815308964003</v>
      </c>
      <c r="Q1390" s="7" t="str">
        <f t="shared" si="134"/>
        <v>C30</v>
      </c>
      <c r="R1390" s="7" t="str">
        <f t="shared" si="135"/>
        <v>C18</v>
      </c>
      <c r="S1390" s="18">
        <f t="shared" si="136"/>
        <v>15.0701445926892</v>
      </c>
      <c r="T1390" s="18">
        <f>S1390/Explications!$C$8</f>
        <v>0.50233815308964003</v>
      </c>
    </row>
    <row r="1391" spans="7:20">
      <c r="G1391" s="7" t="s">
        <v>34</v>
      </c>
      <c r="H1391" s="7" t="s">
        <v>47</v>
      </c>
      <c r="I1391" s="7">
        <v>46.730200000000004</v>
      </c>
      <c r="J1391" s="7">
        <v>-71.274100000000004</v>
      </c>
      <c r="K1391" s="7">
        <v>46.805500000000002</v>
      </c>
      <c r="L1391" s="7">
        <v>-71.217299999999994</v>
      </c>
      <c r="M1391" s="10" t="str">
        <f t="shared" si="131"/>
        <v>C18</v>
      </c>
      <c r="N1391" s="10" t="str">
        <f t="shared" si="132"/>
        <v>C31</v>
      </c>
      <c r="O1391" s="5">
        <f t="shared" si="133"/>
        <v>9.4245340284858621</v>
      </c>
      <c r="P1391" s="22">
        <f>O1391/Explications!$C$8</f>
        <v>0.31415113428286207</v>
      </c>
      <c r="Q1391" s="7" t="str">
        <f t="shared" si="134"/>
        <v>C31</v>
      </c>
      <c r="R1391" s="7" t="str">
        <f t="shared" si="135"/>
        <v>C18</v>
      </c>
      <c r="S1391" s="18">
        <f t="shared" si="136"/>
        <v>9.4245340284858621</v>
      </c>
      <c r="T1391" s="18">
        <f>S1391/Explications!$C$8</f>
        <v>0.31415113428286207</v>
      </c>
    </row>
    <row r="1392" spans="7:20">
      <c r="G1392" s="7" t="s">
        <v>34</v>
      </c>
      <c r="H1392" s="7" t="s">
        <v>48</v>
      </c>
      <c r="I1392" s="7">
        <v>46.730200000000004</v>
      </c>
      <c r="J1392" s="7">
        <v>-71.274100000000004</v>
      </c>
      <c r="K1392" s="7">
        <v>46.792299999999997</v>
      </c>
      <c r="L1392" s="7">
        <v>-71.172899999999998</v>
      </c>
      <c r="M1392" s="10" t="str">
        <f t="shared" si="131"/>
        <v>C18</v>
      </c>
      <c r="N1392" s="10" t="str">
        <f t="shared" si="132"/>
        <v>C32</v>
      </c>
      <c r="O1392" s="5">
        <f t="shared" si="133"/>
        <v>10.349200210122675</v>
      </c>
      <c r="P1392" s="22">
        <f>O1392/Explications!$C$8</f>
        <v>0.3449733403374225</v>
      </c>
      <c r="Q1392" s="7" t="str">
        <f t="shared" si="134"/>
        <v>C32</v>
      </c>
      <c r="R1392" s="7" t="str">
        <f t="shared" si="135"/>
        <v>C18</v>
      </c>
      <c r="S1392" s="18">
        <f t="shared" si="136"/>
        <v>10.349200210122675</v>
      </c>
      <c r="T1392" s="18">
        <f>S1392/Explications!$C$8</f>
        <v>0.3449733403374225</v>
      </c>
    </row>
    <row r="1393" spans="7:20">
      <c r="G1393" s="7" t="s">
        <v>34</v>
      </c>
      <c r="H1393" s="7" t="s">
        <v>49</v>
      </c>
      <c r="I1393" s="7">
        <v>46.730200000000004</v>
      </c>
      <c r="J1393" s="7">
        <v>-71.274100000000004</v>
      </c>
      <c r="K1393" s="7">
        <v>46.7883</v>
      </c>
      <c r="L1393" s="7">
        <v>-71.131200000000007</v>
      </c>
      <c r="M1393" s="10" t="str">
        <f t="shared" si="131"/>
        <v>C18</v>
      </c>
      <c r="N1393" s="10" t="str">
        <f t="shared" si="132"/>
        <v>C33</v>
      </c>
      <c r="O1393" s="5">
        <f t="shared" si="133"/>
        <v>12.658261713724416</v>
      </c>
      <c r="P1393" s="22">
        <f>O1393/Explications!$C$8</f>
        <v>0.42194205712414717</v>
      </c>
      <c r="Q1393" s="7" t="str">
        <f t="shared" si="134"/>
        <v>C33</v>
      </c>
      <c r="R1393" s="7" t="str">
        <f t="shared" si="135"/>
        <v>C18</v>
      </c>
      <c r="S1393" s="18">
        <f t="shared" si="136"/>
        <v>12.658261713724416</v>
      </c>
      <c r="T1393" s="18">
        <f>S1393/Explications!$C$8</f>
        <v>0.42194205712414717</v>
      </c>
    </row>
    <row r="1394" spans="7:20">
      <c r="G1394" s="7" t="s">
        <v>34</v>
      </c>
      <c r="H1394" s="7" t="s">
        <v>50</v>
      </c>
      <c r="I1394" s="7">
        <v>46.730200000000004</v>
      </c>
      <c r="J1394" s="7">
        <v>-71.274100000000004</v>
      </c>
      <c r="K1394" s="7">
        <v>46.8611</v>
      </c>
      <c r="L1394" s="7">
        <v>-71.268799999999999</v>
      </c>
      <c r="M1394" s="10" t="str">
        <f t="shared" si="131"/>
        <v>C18</v>
      </c>
      <c r="N1394" s="10" t="str">
        <f t="shared" si="132"/>
        <v>C34</v>
      </c>
      <c r="O1394" s="5">
        <f t="shared" si="133"/>
        <v>14.561006514892449</v>
      </c>
      <c r="P1394" s="22">
        <f>O1394/Explications!$C$8</f>
        <v>0.4853668838297483</v>
      </c>
      <c r="Q1394" s="7" t="str">
        <f t="shared" si="134"/>
        <v>C34</v>
      </c>
      <c r="R1394" s="7" t="str">
        <f t="shared" si="135"/>
        <v>C18</v>
      </c>
      <c r="S1394" s="18">
        <f t="shared" si="136"/>
        <v>14.561006514892449</v>
      </c>
      <c r="T1394" s="18">
        <f>S1394/Explications!$C$8</f>
        <v>0.4853668838297483</v>
      </c>
    </row>
    <row r="1395" spans="7:20">
      <c r="G1395" s="7" t="s">
        <v>34</v>
      </c>
      <c r="H1395" s="7" t="s">
        <v>51</v>
      </c>
      <c r="I1395" s="7">
        <v>46.730200000000004</v>
      </c>
      <c r="J1395" s="7">
        <v>-71.274100000000004</v>
      </c>
      <c r="K1395" s="7">
        <v>46.869700000000002</v>
      </c>
      <c r="L1395" s="7">
        <v>-71.205200000000005</v>
      </c>
      <c r="M1395" s="10" t="str">
        <f t="shared" si="131"/>
        <v>C18</v>
      </c>
      <c r="N1395" s="10" t="str">
        <f t="shared" si="132"/>
        <v>C35</v>
      </c>
      <c r="O1395" s="5">
        <f t="shared" si="133"/>
        <v>16.374303129126631</v>
      </c>
      <c r="P1395" s="22">
        <f>O1395/Explications!$C$8</f>
        <v>0.54581010430422106</v>
      </c>
      <c r="Q1395" s="7" t="str">
        <f t="shared" si="134"/>
        <v>C35</v>
      </c>
      <c r="R1395" s="7" t="str">
        <f t="shared" si="135"/>
        <v>C18</v>
      </c>
      <c r="S1395" s="18">
        <f t="shared" si="136"/>
        <v>16.374303129126631</v>
      </c>
      <c r="T1395" s="18">
        <f>S1395/Explications!$C$8</f>
        <v>0.54581010430422106</v>
      </c>
    </row>
    <row r="1396" spans="7:20">
      <c r="G1396" s="7" t="s">
        <v>34</v>
      </c>
      <c r="H1396" s="7" t="s">
        <v>52</v>
      </c>
      <c r="I1396" s="7">
        <v>46.730200000000004</v>
      </c>
      <c r="J1396" s="7">
        <v>-71.274100000000004</v>
      </c>
      <c r="K1396" s="7">
        <v>46.774099999999997</v>
      </c>
      <c r="L1396" s="7">
        <v>-71.174000000000007</v>
      </c>
      <c r="M1396" s="10" t="str">
        <f t="shared" si="131"/>
        <v>C18</v>
      </c>
      <c r="N1396" s="10" t="str">
        <f t="shared" si="132"/>
        <v>C36</v>
      </c>
      <c r="O1396" s="5">
        <f t="shared" si="133"/>
        <v>9.0546982393035957</v>
      </c>
      <c r="P1396" s="22">
        <f>O1396/Explications!$C$8</f>
        <v>0.30182327464345321</v>
      </c>
      <c r="Q1396" s="7" t="str">
        <f t="shared" si="134"/>
        <v>C36</v>
      </c>
      <c r="R1396" s="7" t="str">
        <f t="shared" si="135"/>
        <v>C18</v>
      </c>
      <c r="S1396" s="18">
        <f t="shared" si="136"/>
        <v>9.0546982393035957</v>
      </c>
      <c r="T1396" s="18">
        <f>S1396/Explications!$C$8</f>
        <v>0.30182327464345321</v>
      </c>
    </row>
    <row r="1397" spans="7:20">
      <c r="G1397" s="7" t="s">
        <v>34</v>
      </c>
      <c r="H1397" s="7" t="s">
        <v>53</v>
      </c>
      <c r="I1397" s="7">
        <v>46.730200000000004</v>
      </c>
      <c r="J1397" s="7">
        <v>-71.274100000000004</v>
      </c>
      <c r="K1397" s="7">
        <v>46.808500000000002</v>
      </c>
      <c r="L1397" s="7">
        <v>-71.326599999999999</v>
      </c>
      <c r="M1397" s="10" t="str">
        <f t="shared" si="131"/>
        <v>C18</v>
      </c>
      <c r="N1397" s="10" t="str">
        <f t="shared" si="132"/>
        <v>C37</v>
      </c>
      <c r="O1397" s="5">
        <f t="shared" si="133"/>
        <v>9.5808174157268962</v>
      </c>
      <c r="P1397" s="22">
        <f>O1397/Explications!$C$8</f>
        <v>0.31936058052422989</v>
      </c>
      <c r="Q1397" s="7" t="str">
        <f t="shared" si="134"/>
        <v>C37</v>
      </c>
      <c r="R1397" s="7" t="str">
        <f t="shared" si="135"/>
        <v>C18</v>
      </c>
      <c r="S1397" s="18">
        <f t="shared" si="136"/>
        <v>9.5808174157268962</v>
      </c>
      <c r="T1397" s="18">
        <f>S1397/Explications!$C$8</f>
        <v>0.31936058052422989</v>
      </c>
    </row>
    <row r="1398" spans="7:20">
      <c r="G1398" s="7" t="s">
        <v>34</v>
      </c>
      <c r="H1398" s="7" t="s">
        <v>54</v>
      </c>
      <c r="I1398" s="7">
        <v>46.730200000000004</v>
      </c>
      <c r="J1398" s="7">
        <v>-71.274100000000004</v>
      </c>
      <c r="K1398" s="7">
        <v>46.797499999999999</v>
      </c>
      <c r="L1398" s="7">
        <v>-71.306100000000001</v>
      </c>
      <c r="M1398" s="10" t="str">
        <f t="shared" si="131"/>
        <v>C18</v>
      </c>
      <c r="N1398" s="10" t="str">
        <f t="shared" si="132"/>
        <v>C38</v>
      </c>
      <c r="O1398" s="5">
        <f t="shared" si="133"/>
        <v>7.8703591828168342</v>
      </c>
      <c r="P1398" s="22">
        <f>O1398/Explications!$C$8</f>
        <v>0.26234530609389445</v>
      </c>
      <c r="Q1398" s="7" t="str">
        <f t="shared" si="134"/>
        <v>C38</v>
      </c>
      <c r="R1398" s="7" t="str">
        <f t="shared" si="135"/>
        <v>C18</v>
      </c>
      <c r="S1398" s="18">
        <f t="shared" si="136"/>
        <v>7.8703591828168342</v>
      </c>
      <c r="T1398" s="18">
        <f>S1398/Explications!$C$8</f>
        <v>0.26234530609389445</v>
      </c>
    </row>
    <row r="1399" spans="7:20">
      <c r="G1399" s="7" t="s">
        <v>34</v>
      </c>
      <c r="H1399" s="7" t="s">
        <v>55</v>
      </c>
      <c r="I1399" s="7">
        <v>46.730200000000004</v>
      </c>
      <c r="J1399" s="7">
        <v>-71.274100000000004</v>
      </c>
      <c r="K1399" s="7">
        <v>46.8155</v>
      </c>
      <c r="L1399" s="7">
        <v>-71.268199999999993</v>
      </c>
      <c r="M1399" s="10" t="str">
        <f t="shared" si="131"/>
        <v>C18</v>
      </c>
      <c r="N1399" s="10" t="str">
        <f t="shared" si="132"/>
        <v>C39</v>
      </c>
      <c r="O1399" s="5">
        <f t="shared" si="133"/>
        <v>9.4955640411199358</v>
      </c>
      <c r="P1399" s="22">
        <f>O1399/Explications!$C$8</f>
        <v>0.31651880137066452</v>
      </c>
      <c r="Q1399" s="7" t="str">
        <f t="shared" si="134"/>
        <v>C39</v>
      </c>
      <c r="R1399" s="7" t="str">
        <f t="shared" si="135"/>
        <v>C18</v>
      </c>
      <c r="S1399" s="18">
        <f t="shared" si="136"/>
        <v>9.4955640411199358</v>
      </c>
      <c r="T1399" s="18">
        <f>S1399/Explications!$C$8</f>
        <v>0.31651880137066452</v>
      </c>
    </row>
    <row r="1400" spans="7:20">
      <c r="G1400" s="7" t="s">
        <v>34</v>
      </c>
      <c r="H1400" s="7" t="s">
        <v>56</v>
      </c>
      <c r="I1400" s="7">
        <v>46.730200000000004</v>
      </c>
      <c r="J1400" s="7">
        <v>-71.274100000000004</v>
      </c>
      <c r="K1400" s="7">
        <v>46.866700000000002</v>
      </c>
      <c r="L1400" s="7">
        <v>-71.215900000000005</v>
      </c>
      <c r="M1400" s="10" t="str">
        <f t="shared" si="131"/>
        <v>C18</v>
      </c>
      <c r="N1400" s="10" t="str">
        <f t="shared" si="132"/>
        <v>C40</v>
      </c>
      <c r="O1400" s="5">
        <f t="shared" si="133"/>
        <v>15.811439530626149</v>
      </c>
      <c r="P1400" s="22">
        <f>O1400/Explications!$C$8</f>
        <v>0.52704798435420497</v>
      </c>
      <c r="Q1400" s="7" t="str">
        <f t="shared" si="134"/>
        <v>C40</v>
      </c>
      <c r="R1400" s="7" t="str">
        <f t="shared" si="135"/>
        <v>C18</v>
      </c>
      <c r="S1400" s="18">
        <f t="shared" si="136"/>
        <v>15.811439530626149</v>
      </c>
      <c r="T1400" s="18">
        <f>S1400/Explications!$C$8</f>
        <v>0.52704798435420497</v>
      </c>
    </row>
    <row r="1401" spans="7:20">
      <c r="G1401" s="7" t="s">
        <v>34</v>
      </c>
      <c r="H1401" s="7" t="s">
        <v>57</v>
      </c>
      <c r="I1401" s="7">
        <v>46.730200000000004</v>
      </c>
      <c r="J1401" s="7">
        <v>-71.274100000000004</v>
      </c>
      <c r="K1401" s="7">
        <v>46.762099999999997</v>
      </c>
      <c r="L1401" s="7">
        <v>-71.235399999999998</v>
      </c>
      <c r="M1401" s="10" t="str">
        <f t="shared" si="131"/>
        <v>C18</v>
      </c>
      <c r="N1401" s="10" t="str">
        <f t="shared" si="132"/>
        <v>C41</v>
      </c>
      <c r="O1401" s="5">
        <f t="shared" si="133"/>
        <v>4.612699375132344</v>
      </c>
      <c r="P1401" s="22">
        <f>O1401/Explications!$C$8</f>
        <v>0.15375664583774479</v>
      </c>
      <c r="Q1401" s="7" t="str">
        <f t="shared" si="134"/>
        <v>C41</v>
      </c>
      <c r="R1401" s="7" t="str">
        <f t="shared" si="135"/>
        <v>C18</v>
      </c>
      <c r="S1401" s="18">
        <f t="shared" si="136"/>
        <v>4.612699375132344</v>
      </c>
      <c r="T1401" s="18">
        <f>S1401/Explications!$C$8</f>
        <v>0.15375664583774479</v>
      </c>
    </row>
    <row r="1402" spans="7:20">
      <c r="G1402" s="7" t="s">
        <v>34</v>
      </c>
      <c r="H1402" s="7" t="s">
        <v>58</v>
      </c>
      <c r="I1402" s="7">
        <v>46.730200000000004</v>
      </c>
      <c r="J1402" s="7">
        <v>-71.274100000000004</v>
      </c>
      <c r="K1402" s="7">
        <v>46.8157</v>
      </c>
      <c r="L1402" s="7">
        <v>-71.2042</v>
      </c>
      <c r="M1402" s="10" t="str">
        <f t="shared" si="131"/>
        <v>C18</v>
      </c>
      <c r="N1402" s="10" t="str">
        <f t="shared" si="132"/>
        <v>C42</v>
      </c>
      <c r="O1402" s="5">
        <f t="shared" si="133"/>
        <v>10.896057576899558</v>
      </c>
      <c r="P1402" s="22">
        <f>O1402/Explications!$C$8</f>
        <v>0.36320191922998529</v>
      </c>
      <c r="Q1402" s="7" t="str">
        <f t="shared" si="134"/>
        <v>C42</v>
      </c>
      <c r="R1402" s="7" t="str">
        <f t="shared" si="135"/>
        <v>C18</v>
      </c>
      <c r="S1402" s="18">
        <f t="shared" si="136"/>
        <v>10.896057576899558</v>
      </c>
      <c r="T1402" s="18">
        <f>S1402/Explications!$C$8</f>
        <v>0.36320191922998529</v>
      </c>
    </row>
    <row r="1403" spans="7:20">
      <c r="G1403" s="7" t="s">
        <v>34</v>
      </c>
      <c r="H1403" s="7" t="s">
        <v>59</v>
      </c>
      <c r="I1403" s="7">
        <v>46.730200000000004</v>
      </c>
      <c r="J1403" s="7">
        <v>-71.274100000000004</v>
      </c>
      <c r="K1403" s="7">
        <v>46.707000000000001</v>
      </c>
      <c r="L1403" s="7">
        <v>-71.217100000000002</v>
      </c>
      <c r="M1403" s="10" t="str">
        <f t="shared" si="131"/>
        <v>C18</v>
      </c>
      <c r="N1403" s="10" t="str">
        <f t="shared" si="132"/>
        <v>C43</v>
      </c>
      <c r="O1403" s="5">
        <f t="shared" si="133"/>
        <v>5.0533705970564569</v>
      </c>
      <c r="P1403" s="22">
        <f>O1403/Explications!$C$8</f>
        <v>0.16844568656854855</v>
      </c>
      <c r="Q1403" s="7" t="str">
        <f t="shared" si="134"/>
        <v>C43</v>
      </c>
      <c r="R1403" s="7" t="str">
        <f t="shared" si="135"/>
        <v>C18</v>
      </c>
      <c r="S1403" s="18">
        <f t="shared" si="136"/>
        <v>5.0533705970564569</v>
      </c>
      <c r="T1403" s="18">
        <f>S1403/Explications!$C$8</f>
        <v>0.16844568656854855</v>
      </c>
    </row>
    <row r="1404" spans="7:20">
      <c r="G1404" s="7" t="s">
        <v>34</v>
      </c>
      <c r="H1404" s="7" t="s">
        <v>60</v>
      </c>
      <c r="I1404" s="7">
        <v>46.730200000000004</v>
      </c>
      <c r="J1404" s="7">
        <v>-71.274100000000004</v>
      </c>
      <c r="K1404" s="7">
        <v>46.802900000000001</v>
      </c>
      <c r="L1404" s="7">
        <v>-71.228899999999996</v>
      </c>
      <c r="M1404" s="10" t="str">
        <f t="shared" si="131"/>
        <v>C18</v>
      </c>
      <c r="N1404" s="10" t="str">
        <f t="shared" si="132"/>
        <v>C44</v>
      </c>
      <c r="O1404" s="5">
        <f t="shared" si="133"/>
        <v>8.7864103921454646</v>
      </c>
      <c r="P1404" s="22">
        <f>O1404/Explications!$C$8</f>
        <v>0.29288034640484883</v>
      </c>
      <c r="Q1404" s="7" t="str">
        <f t="shared" si="134"/>
        <v>C44</v>
      </c>
      <c r="R1404" s="7" t="str">
        <f t="shared" si="135"/>
        <v>C18</v>
      </c>
      <c r="S1404" s="18">
        <f t="shared" si="136"/>
        <v>8.7864103921454646</v>
      </c>
      <c r="T1404" s="18">
        <f>S1404/Explications!$C$8</f>
        <v>0.29288034640484883</v>
      </c>
    </row>
    <row r="1405" spans="7:20">
      <c r="G1405" s="7" t="s">
        <v>34</v>
      </c>
      <c r="H1405" s="7" t="s">
        <v>61</v>
      </c>
      <c r="I1405" s="7">
        <v>46.730200000000004</v>
      </c>
      <c r="J1405" s="7">
        <v>-71.274100000000004</v>
      </c>
      <c r="K1405" s="7">
        <v>46.796900000000001</v>
      </c>
      <c r="L1405" s="7">
        <v>-71.3078</v>
      </c>
      <c r="M1405" s="10" t="str">
        <f t="shared" si="131"/>
        <v>C18</v>
      </c>
      <c r="N1405" s="10" t="str">
        <f t="shared" si="132"/>
        <v>C45</v>
      </c>
      <c r="O1405" s="5">
        <f t="shared" si="133"/>
        <v>7.8483459914063793</v>
      </c>
      <c r="P1405" s="22">
        <f>O1405/Explications!$C$8</f>
        <v>0.26161153304687929</v>
      </c>
      <c r="Q1405" s="7" t="str">
        <f t="shared" si="134"/>
        <v>C45</v>
      </c>
      <c r="R1405" s="7" t="str">
        <f t="shared" si="135"/>
        <v>C18</v>
      </c>
      <c r="S1405" s="18">
        <f t="shared" si="136"/>
        <v>7.8483459914063793</v>
      </c>
      <c r="T1405" s="18">
        <f>S1405/Explications!$C$8</f>
        <v>0.26161153304687929</v>
      </c>
    </row>
    <row r="1406" spans="7:20">
      <c r="G1406" s="7" t="s">
        <v>34</v>
      </c>
      <c r="H1406" s="7" t="s">
        <v>62</v>
      </c>
      <c r="I1406" s="7">
        <v>46.730200000000004</v>
      </c>
      <c r="J1406" s="7">
        <v>-71.274100000000004</v>
      </c>
      <c r="K1406" s="7">
        <v>46.803600000000003</v>
      </c>
      <c r="L1406" s="7">
        <v>-71.231099999999998</v>
      </c>
      <c r="M1406" s="10" t="str">
        <f t="shared" si="131"/>
        <v>C18</v>
      </c>
      <c r="N1406" s="10" t="str">
        <f t="shared" si="132"/>
        <v>C46</v>
      </c>
      <c r="O1406" s="5">
        <f t="shared" si="133"/>
        <v>8.7942996348939637</v>
      </c>
      <c r="P1406" s="22">
        <f>O1406/Explications!$C$8</f>
        <v>0.29314332116313213</v>
      </c>
      <c r="Q1406" s="7" t="str">
        <f t="shared" si="134"/>
        <v>C46</v>
      </c>
      <c r="R1406" s="7" t="str">
        <f t="shared" si="135"/>
        <v>C18</v>
      </c>
      <c r="S1406" s="18">
        <f t="shared" si="136"/>
        <v>8.7942996348939637</v>
      </c>
      <c r="T1406" s="18">
        <f>S1406/Explications!$C$8</f>
        <v>0.29314332116313213</v>
      </c>
    </row>
    <row r="1407" spans="7:20">
      <c r="G1407" s="7" t="s">
        <v>34</v>
      </c>
      <c r="H1407" s="7" t="s">
        <v>63</v>
      </c>
      <c r="I1407" s="7">
        <v>46.730200000000004</v>
      </c>
      <c r="J1407" s="7">
        <v>-71.274100000000004</v>
      </c>
      <c r="K1407" s="7">
        <v>46.802399999999999</v>
      </c>
      <c r="L1407" s="7">
        <v>-71.269800000000004</v>
      </c>
      <c r="M1407" s="10" t="str">
        <f t="shared" si="131"/>
        <v>C18</v>
      </c>
      <c r="N1407" s="10" t="str">
        <f t="shared" si="132"/>
        <v>C47</v>
      </c>
      <c r="O1407" s="5">
        <f t="shared" si="133"/>
        <v>8.0349513628207081</v>
      </c>
      <c r="P1407" s="22">
        <f>O1407/Explications!$C$8</f>
        <v>0.26783171209402362</v>
      </c>
      <c r="Q1407" s="7" t="str">
        <f t="shared" si="134"/>
        <v>C47</v>
      </c>
      <c r="R1407" s="7" t="str">
        <f t="shared" si="135"/>
        <v>C18</v>
      </c>
      <c r="S1407" s="18">
        <f t="shared" si="136"/>
        <v>8.0349513628207081</v>
      </c>
      <c r="T1407" s="18">
        <f>S1407/Explications!$C$8</f>
        <v>0.26783171209402362</v>
      </c>
    </row>
    <row r="1408" spans="7:20">
      <c r="G1408" s="7" t="s">
        <v>34</v>
      </c>
      <c r="H1408" s="7" t="s">
        <v>64</v>
      </c>
      <c r="I1408" s="7">
        <v>46.730200000000004</v>
      </c>
      <c r="J1408" s="7">
        <v>-71.274100000000004</v>
      </c>
      <c r="K1408" s="7">
        <v>46.826799999999999</v>
      </c>
      <c r="L1408" s="7">
        <v>-71.224199999999996</v>
      </c>
      <c r="M1408" s="10" t="str">
        <f t="shared" si="131"/>
        <v>C18</v>
      </c>
      <c r="N1408" s="10" t="str">
        <f t="shared" si="132"/>
        <v>C48</v>
      </c>
      <c r="O1408" s="5">
        <f t="shared" si="133"/>
        <v>11.393721394458865</v>
      </c>
      <c r="P1408" s="22">
        <f>O1408/Explications!$C$8</f>
        <v>0.37979071314862883</v>
      </c>
      <c r="Q1408" s="7" t="str">
        <f t="shared" si="134"/>
        <v>C48</v>
      </c>
      <c r="R1408" s="7" t="str">
        <f t="shared" si="135"/>
        <v>C18</v>
      </c>
      <c r="S1408" s="18">
        <f t="shared" si="136"/>
        <v>11.393721394458865</v>
      </c>
      <c r="T1408" s="18">
        <f>S1408/Explications!$C$8</f>
        <v>0.37979071314862883</v>
      </c>
    </row>
    <row r="1409" spans="7:20">
      <c r="G1409" s="7" t="s">
        <v>34</v>
      </c>
      <c r="H1409" s="7" t="s">
        <v>65</v>
      </c>
      <c r="I1409" s="7">
        <v>46.730200000000004</v>
      </c>
      <c r="J1409" s="7">
        <v>-71.274100000000004</v>
      </c>
      <c r="K1409" s="7">
        <v>46.864100000000001</v>
      </c>
      <c r="L1409" s="7">
        <v>-71.255499999999998</v>
      </c>
      <c r="M1409" s="10" t="str">
        <f t="shared" si="131"/>
        <v>C18</v>
      </c>
      <c r="N1409" s="10" t="str">
        <f t="shared" si="132"/>
        <v>C49</v>
      </c>
      <c r="O1409" s="5">
        <f t="shared" si="133"/>
        <v>14.956170403010381</v>
      </c>
      <c r="P1409" s="22">
        <f>O1409/Explications!$C$8</f>
        <v>0.49853901343367935</v>
      </c>
      <c r="Q1409" s="7" t="str">
        <f t="shared" si="134"/>
        <v>C49</v>
      </c>
      <c r="R1409" s="7" t="str">
        <f t="shared" si="135"/>
        <v>C18</v>
      </c>
      <c r="S1409" s="18">
        <f t="shared" si="136"/>
        <v>14.956170403010381</v>
      </c>
      <c r="T1409" s="18">
        <f>S1409/Explications!$C$8</f>
        <v>0.49853901343367935</v>
      </c>
    </row>
    <row r="1410" spans="7:20">
      <c r="G1410" s="7" t="s">
        <v>34</v>
      </c>
      <c r="H1410" s="7" t="s">
        <v>66</v>
      </c>
      <c r="I1410" s="7">
        <v>46.730200000000004</v>
      </c>
      <c r="J1410" s="7">
        <v>-71.274100000000004</v>
      </c>
      <c r="K1410" s="7">
        <v>46.843800000000002</v>
      </c>
      <c r="L1410" s="7">
        <v>-71.247299999999996</v>
      </c>
      <c r="M1410" s="10" t="str">
        <f t="shared" si="131"/>
        <v>C18</v>
      </c>
      <c r="N1410" s="10" t="str">
        <f t="shared" si="132"/>
        <v>C50</v>
      </c>
      <c r="O1410" s="5">
        <f t="shared" si="133"/>
        <v>12.795484268707199</v>
      </c>
      <c r="P1410" s="22">
        <f>O1410/Explications!$C$8</f>
        <v>0.42651614229023999</v>
      </c>
      <c r="Q1410" s="7" t="str">
        <f t="shared" si="134"/>
        <v>C50</v>
      </c>
      <c r="R1410" s="7" t="str">
        <f t="shared" si="135"/>
        <v>C18</v>
      </c>
      <c r="S1410" s="18">
        <f t="shared" si="136"/>
        <v>12.795484268707199</v>
      </c>
      <c r="T1410" s="18">
        <f>S1410/Explications!$C$8</f>
        <v>0.42651614229023999</v>
      </c>
    </row>
    <row r="1411" spans="7:20">
      <c r="G1411" s="7" t="s">
        <v>34</v>
      </c>
      <c r="H1411" s="7" t="s">
        <v>67</v>
      </c>
      <c r="I1411" s="7">
        <v>46.730200000000004</v>
      </c>
      <c r="J1411" s="7">
        <v>-71.274100000000004</v>
      </c>
      <c r="K1411" s="7">
        <v>46.765599999999999</v>
      </c>
      <c r="L1411" s="7">
        <v>-71.312100000000001</v>
      </c>
      <c r="M1411" s="10" t="str">
        <f t="shared" si="131"/>
        <v>C18</v>
      </c>
      <c r="N1411" s="10" t="str">
        <f t="shared" si="132"/>
        <v>C51</v>
      </c>
      <c r="O1411" s="5">
        <f t="shared" si="133"/>
        <v>4.886426447518379</v>
      </c>
      <c r="P1411" s="22">
        <f>O1411/Explications!$C$8</f>
        <v>0.16288088158394595</v>
      </c>
      <c r="Q1411" s="7" t="str">
        <f t="shared" si="134"/>
        <v>C51</v>
      </c>
      <c r="R1411" s="7" t="str">
        <f t="shared" si="135"/>
        <v>C18</v>
      </c>
      <c r="S1411" s="18">
        <f t="shared" si="136"/>
        <v>4.886426447518379</v>
      </c>
      <c r="T1411" s="18">
        <f>S1411/Explications!$C$8</f>
        <v>0.16288088158394595</v>
      </c>
    </row>
    <row r="1412" spans="7:20">
      <c r="G1412" s="7" t="s">
        <v>34</v>
      </c>
      <c r="H1412" s="7" t="s">
        <v>68</v>
      </c>
      <c r="I1412" s="7">
        <v>46.730200000000004</v>
      </c>
      <c r="J1412" s="7">
        <v>-71.274100000000004</v>
      </c>
      <c r="K1412" s="7">
        <v>46.787599999999998</v>
      </c>
      <c r="L1412" s="7">
        <v>-71.288600000000002</v>
      </c>
      <c r="M1412" s="10" t="str">
        <f t="shared" ref="M1412:M1475" si="137">G1412</f>
        <v>C18</v>
      </c>
      <c r="N1412" s="10" t="str">
        <f t="shared" ref="N1412:N1475" si="138">H1412</f>
        <v>C52</v>
      </c>
      <c r="O1412" s="5">
        <f t="shared" ref="O1412:O1475" si="139">ACOS(SIN(RADIANS(I1412))*SIN(RADIANS(K1412))+COS(RADIANS(I1412))*COS(RADIANS(K1412))*COS(RADIANS(J1412-L1412)))*6371</f>
        <v>6.4774596594433484</v>
      </c>
      <c r="P1412" s="22">
        <f>O1412/Explications!$C$8</f>
        <v>0.21591532198144495</v>
      </c>
      <c r="Q1412" s="7" t="str">
        <f t="shared" ref="Q1412:Q1475" si="140">N1412</f>
        <v>C52</v>
      </c>
      <c r="R1412" s="7" t="str">
        <f t="shared" ref="R1412:R1475" si="141">M1412</f>
        <v>C18</v>
      </c>
      <c r="S1412" s="18">
        <f t="shared" ref="S1412:S1475" si="142">O1412</f>
        <v>6.4774596594433484</v>
      </c>
      <c r="T1412" s="18">
        <f>S1412/Explications!$C$8</f>
        <v>0.21591532198144495</v>
      </c>
    </row>
    <row r="1413" spans="7:20">
      <c r="G1413" s="7" t="s">
        <v>34</v>
      </c>
      <c r="H1413" s="7" t="s">
        <v>69</v>
      </c>
      <c r="I1413" s="7">
        <v>46.730200000000004</v>
      </c>
      <c r="J1413" s="7">
        <v>-71.274100000000004</v>
      </c>
      <c r="K1413" s="7">
        <v>46.764600000000002</v>
      </c>
      <c r="L1413" s="7">
        <v>-71.308300000000003</v>
      </c>
      <c r="M1413" s="10" t="str">
        <f t="shared" si="137"/>
        <v>C18</v>
      </c>
      <c r="N1413" s="10" t="str">
        <f t="shared" si="138"/>
        <v>C53</v>
      </c>
      <c r="O1413" s="5">
        <f t="shared" si="139"/>
        <v>4.6283417145634118</v>
      </c>
      <c r="P1413" s="22">
        <f>O1413/Explications!$C$8</f>
        <v>0.15427805715211373</v>
      </c>
      <c r="Q1413" s="7" t="str">
        <f t="shared" si="140"/>
        <v>C53</v>
      </c>
      <c r="R1413" s="7" t="str">
        <f t="shared" si="141"/>
        <v>C18</v>
      </c>
      <c r="S1413" s="18">
        <f t="shared" si="142"/>
        <v>4.6283417145634118</v>
      </c>
      <c r="T1413" s="18">
        <f>S1413/Explications!$C$8</f>
        <v>0.15427805715211373</v>
      </c>
    </row>
    <row r="1414" spans="7:20">
      <c r="G1414" s="7" t="s">
        <v>34</v>
      </c>
      <c r="H1414" s="7" t="s">
        <v>70</v>
      </c>
      <c r="I1414" s="7">
        <v>46.730200000000004</v>
      </c>
      <c r="J1414" s="7">
        <v>-71.274100000000004</v>
      </c>
      <c r="K1414" s="7">
        <v>46.849699999999999</v>
      </c>
      <c r="L1414" s="7">
        <v>-71.097399999999993</v>
      </c>
      <c r="M1414" s="10" t="str">
        <f t="shared" si="137"/>
        <v>C18</v>
      </c>
      <c r="N1414" s="10" t="str">
        <f t="shared" si="138"/>
        <v>C54</v>
      </c>
      <c r="O1414" s="5">
        <f t="shared" si="139"/>
        <v>18.908657445567552</v>
      </c>
      <c r="P1414" s="22">
        <f>O1414/Explications!$C$8</f>
        <v>0.63028858151891842</v>
      </c>
      <c r="Q1414" s="7" t="str">
        <f t="shared" si="140"/>
        <v>C54</v>
      </c>
      <c r="R1414" s="7" t="str">
        <f t="shared" si="141"/>
        <v>C18</v>
      </c>
      <c r="S1414" s="18">
        <f t="shared" si="142"/>
        <v>18.908657445567552</v>
      </c>
      <c r="T1414" s="18">
        <f>S1414/Explications!$C$8</f>
        <v>0.63028858151891842</v>
      </c>
    </row>
    <row r="1415" spans="7:20">
      <c r="G1415" s="7" t="s">
        <v>34</v>
      </c>
      <c r="H1415" s="7" t="s">
        <v>71</v>
      </c>
      <c r="I1415" s="7">
        <v>46.730200000000004</v>
      </c>
      <c r="J1415" s="7">
        <v>-71.274100000000004</v>
      </c>
      <c r="K1415" s="7">
        <v>46.788899999999998</v>
      </c>
      <c r="L1415" s="7">
        <v>-71.321399999999997</v>
      </c>
      <c r="M1415" s="10" t="str">
        <f t="shared" si="137"/>
        <v>C18</v>
      </c>
      <c r="N1415" s="10" t="str">
        <f t="shared" si="138"/>
        <v>C55</v>
      </c>
      <c r="O1415" s="5">
        <f t="shared" si="139"/>
        <v>7.4555934726202864</v>
      </c>
      <c r="P1415" s="22">
        <f>O1415/Explications!$C$8</f>
        <v>0.24851978242067621</v>
      </c>
      <c r="Q1415" s="7" t="str">
        <f t="shared" si="140"/>
        <v>C55</v>
      </c>
      <c r="R1415" s="7" t="str">
        <f t="shared" si="141"/>
        <v>C18</v>
      </c>
      <c r="S1415" s="18">
        <f t="shared" si="142"/>
        <v>7.4555934726202864</v>
      </c>
      <c r="T1415" s="18">
        <f>S1415/Explications!$C$8</f>
        <v>0.24851978242067621</v>
      </c>
    </row>
    <row r="1416" spans="7:20">
      <c r="G1416" s="7" t="s">
        <v>34</v>
      </c>
      <c r="H1416" s="7" t="s">
        <v>72</v>
      </c>
      <c r="I1416" s="7">
        <v>46.730200000000004</v>
      </c>
      <c r="J1416" s="7">
        <v>-71.274100000000004</v>
      </c>
      <c r="K1416" s="7">
        <v>46.795400000000001</v>
      </c>
      <c r="L1416" s="7">
        <v>-71.232600000000005</v>
      </c>
      <c r="M1416" s="10" t="str">
        <f t="shared" si="137"/>
        <v>C18</v>
      </c>
      <c r="N1416" s="10" t="str">
        <f t="shared" si="138"/>
        <v>C56</v>
      </c>
      <c r="O1416" s="5">
        <f t="shared" si="139"/>
        <v>7.9090866233213442</v>
      </c>
      <c r="P1416" s="22">
        <f>O1416/Explications!$C$8</f>
        <v>0.26363622077737814</v>
      </c>
      <c r="Q1416" s="7" t="str">
        <f t="shared" si="140"/>
        <v>C56</v>
      </c>
      <c r="R1416" s="7" t="str">
        <f t="shared" si="141"/>
        <v>C18</v>
      </c>
      <c r="S1416" s="18">
        <f t="shared" si="142"/>
        <v>7.9090866233213442</v>
      </c>
      <c r="T1416" s="18">
        <f>S1416/Explications!$C$8</f>
        <v>0.26363622077737814</v>
      </c>
    </row>
    <row r="1417" spans="7:20">
      <c r="G1417" s="7" t="s">
        <v>34</v>
      </c>
      <c r="H1417" s="7" t="s">
        <v>73</v>
      </c>
      <c r="I1417" s="7">
        <v>46.730200000000004</v>
      </c>
      <c r="J1417" s="7">
        <v>-71.274100000000004</v>
      </c>
      <c r="K1417" s="7">
        <v>46.801200000000001</v>
      </c>
      <c r="L1417" s="7">
        <v>-71.224999999999994</v>
      </c>
      <c r="M1417" s="10" t="str">
        <f t="shared" si="137"/>
        <v>C18</v>
      </c>
      <c r="N1417" s="10" t="str">
        <f t="shared" si="138"/>
        <v>C57</v>
      </c>
      <c r="O1417" s="5">
        <f t="shared" si="139"/>
        <v>8.7358153618985153</v>
      </c>
      <c r="P1417" s="22">
        <f>O1417/Explications!$C$8</f>
        <v>0.29119384539661719</v>
      </c>
      <c r="Q1417" s="7" t="str">
        <f t="shared" si="140"/>
        <v>C57</v>
      </c>
      <c r="R1417" s="7" t="str">
        <f t="shared" si="141"/>
        <v>C18</v>
      </c>
      <c r="S1417" s="18">
        <f t="shared" si="142"/>
        <v>8.7358153618985153</v>
      </c>
      <c r="T1417" s="18">
        <f>S1417/Explications!$C$8</f>
        <v>0.29119384539661719</v>
      </c>
    </row>
    <row r="1418" spans="7:20">
      <c r="G1418" s="7" t="s">
        <v>34</v>
      </c>
      <c r="H1418" s="7" t="s">
        <v>74</v>
      </c>
      <c r="I1418" s="7">
        <v>46.730200000000004</v>
      </c>
      <c r="J1418" s="7">
        <v>-71.274100000000004</v>
      </c>
      <c r="K1418" s="7">
        <v>46.773200000000003</v>
      </c>
      <c r="L1418" s="7">
        <v>-71.275899999999993</v>
      </c>
      <c r="M1418" s="10" t="str">
        <f t="shared" si="137"/>
        <v>C18</v>
      </c>
      <c r="N1418" s="10" t="str">
        <f t="shared" si="138"/>
        <v>C58</v>
      </c>
      <c r="O1418" s="5">
        <f t="shared" si="139"/>
        <v>4.7833480482742123</v>
      </c>
      <c r="P1418" s="22">
        <f>O1418/Explications!$C$8</f>
        <v>0.15944493494247375</v>
      </c>
      <c r="Q1418" s="7" t="str">
        <f t="shared" si="140"/>
        <v>C58</v>
      </c>
      <c r="R1418" s="7" t="str">
        <f t="shared" si="141"/>
        <v>C18</v>
      </c>
      <c r="S1418" s="18">
        <f t="shared" si="142"/>
        <v>4.7833480482742123</v>
      </c>
      <c r="T1418" s="18">
        <f>S1418/Explications!$C$8</f>
        <v>0.15944493494247375</v>
      </c>
    </row>
    <row r="1419" spans="7:20">
      <c r="G1419" s="7" t="s">
        <v>34</v>
      </c>
      <c r="H1419" s="7" t="s">
        <v>75</v>
      </c>
      <c r="I1419" s="7">
        <v>46.730200000000004</v>
      </c>
      <c r="J1419" s="7">
        <v>-71.274100000000004</v>
      </c>
      <c r="K1419" s="7">
        <v>46.814399999999999</v>
      </c>
      <c r="L1419" s="7">
        <v>-71.225700000000003</v>
      </c>
      <c r="M1419" s="10" t="str">
        <f t="shared" si="137"/>
        <v>C18</v>
      </c>
      <c r="N1419" s="10" t="str">
        <f t="shared" si="138"/>
        <v>C59</v>
      </c>
      <c r="O1419" s="5">
        <f t="shared" si="139"/>
        <v>10.062068259007823</v>
      </c>
      <c r="P1419" s="22">
        <f>O1419/Explications!$C$8</f>
        <v>0.33540227530026079</v>
      </c>
      <c r="Q1419" s="7" t="str">
        <f t="shared" si="140"/>
        <v>C59</v>
      </c>
      <c r="R1419" s="7" t="str">
        <f t="shared" si="141"/>
        <v>C18</v>
      </c>
      <c r="S1419" s="18">
        <f t="shared" si="142"/>
        <v>10.062068259007823</v>
      </c>
      <c r="T1419" s="18">
        <f>S1419/Explications!$C$8</f>
        <v>0.33540227530026079</v>
      </c>
    </row>
    <row r="1420" spans="7:20">
      <c r="G1420" s="7" t="s">
        <v>34</v>
      </c>
      <c r="H1420" s="7" t="s">
        <v>76</v>
      </c>
      <c r="I1420" s="7">
        <v>46.730200000000004</v>
      </c>
      <c r="J1420" s="7">
        <v>-71.274100000000004</v>
      </c>
      <c r="K1420" s="7">
        <v>46.772500000000001</v>
      </c>
      <c r="L1420" s="7">
        <v>-71.276300000000006</v>
      </c>
      <c r="M1420" s="10" t="str">
        <f t="shared" si="137"/>
        <v>C18</v>
      </c>
      <c r="N1420" s="10" t="str">
        <f t="shared" si="138"/>
        <v>C60</v>
      </c>
      <c r="O1420" s="5">
        <f t="shared" si="139"/>
        <v>4.706530872206466</v>
      </c>
      <c r="P1420" s="22">
        <f>O1420/Explications!$C$8</f>
        <v>0.15688436240688219</v>
      </c>
      <c r="Q1420" s="7" t="str">
        <f t="shared" si="140"/>
        <v>C60</v>
      </c>
      <c r="R1420" s="7" t="str">
        <f t="shared" si="141"/>
        <v>C18</v>
      </c>
      <c r="S1420" s="18">
        <f t="shared" si="142"/>
        <v>4.706530872206466</v>
      </c>
      <c r="T1420" s="18">
        <f>S1420/Explications!$C$8</f>
        <v>0.15688436240688219</v>
      </c>
    </row>
    <row r="1421" spans="7:20">
      <c r="G1421" s="7" t="s">
        <v>34</v>
      </c>
      <c r="H1421" s="7" t="s">
        <v>77</v>
      </c>
      <c r="I1421" s="7">
        <v>46.730200000000004</v>
      </c>
      <c r="J1421" s="7">
        <v>-71.274100000000004</v>
      </c>
      <c r="K1421" s="7">
        <v>46.810899999999997</v>
      </c>
      <c r="L1421" s="7">
        <v>-71.215599999999995</v>
      </c>
      <c r="M1421" s="10" t="str">
        <f t="shared" si="137"/>
        <v>C18</v>
      </c>
      <c r="N1421" s="10" t="str">
        <f t="shared" si="138"/>
        <v>C61</v>
      </c>
      <c r="O1421" s="5">
        <f t="shared" si="139"/>
        <v>10.018611644509551</v>
      </c>
      <c r="P1421" s="22">
        <f>O1421/Explications!$C$8</f>
        <v>0.33395372148365171</v>
      </c>
      <c r="Q1421" s="7" t="str">
        <f t="shared" si="140"/>
        <v>C61</v>
      </c>
      <c r="R1421" s="7" t="str">
        <f t="shared" si="141"/>
        <v>C18</v>
      </c>
      <c r="S1421" s="18">
        <f t="shared" si="142"/>
        <v>10.018611644509551</v>
      </c>
      <c r="T1421" s="18">
        <f>S1421/Explications!$C$8</f>
        <v>0.33395372148365171</v>
      </c>
    </row>
    <row r="1422" spans="7:20">
      <c r="G1422" s="7" t="s">
        <v>34</v>
      </c>
      <c r="H1422" s="7" t="s">
        <v>78</v>
      </c>
      <c r="I1422" s="7">
        <v>46.730200000000004</v>
      </c>
      <c r="J1422" s="7">
        <v>-71.274100000000004</v>
      </c>
      <c r="K1422" s="7">
        <v>46.795200000000001</v>
      </c>
      <c r="L1422" s="7">
        <v>-71.245099999999994</v>
      </c>
      <c r="M1422" s="10" t="str">
        <f t="shared" si="137"/>
        <v>C18</v>
      </c>
      <c r="N1422" s="10" t="str">
        <f t="shared" si="138"/>
        <v>C62</v>
      </c>
      <c r="O1422" s="5">
        <f t="shared" si="139"/>
        <v>7.5576917122127814</v>
      </c>
      <c r="P1422" s="22">
        <f>O1422/Explications!$C$8</f>
        <v>0.25192305707375939</v>
      </c>
      <c r="Q1422" s="7" t="str">
        <f t="shared" si="140"/>
        <v>C62</v>
      </c>
      <c r="R1422" s="7" t="str">
        <f t="shared" si="141"/>
        <v>C18</v>
      </c>
      <c r="S1422" s="18">
        <f t="shared" si="142"/>
        <v>7.5576917122127814</v>
      </c>
      <c r="T1422" s="18">
        <f>S1422/Explications!$C$8</f>
        <v>0.25192305707375939</v>
      </c>
    </row>
    <row r="1423" spans="7:20">
      <c r="G1423" s="7" t="s">
        <v>34</v>
      </c>
      <c r="H1423" s="7" t="s">
        <v>79</v>
      </c>
      <c r="I1423" s="7">
        <v>46.730200000000004</v>
      </c>
      <c r="J1423" s="7">
        <v>-71.274100000000004</v>
      </c>
      <c r="K1423" s="7">
        <v>46.822000000000003</v>
      </c>
      <c r="L1423" s="7">
        <v>-71.345699999999994</v>
      </c>
      <c r="M1423" s="10" t="str">
        <f t="shared" si="137"/>
        <v>C18</v>
      </c>
      <c r="N1423" s="10" t="str">
        <f t="shared" si="138"/>
        <v>C63</v>
      </c>
      <c r="O1423" s="5">
        <f t="shared" si="139"/>
        <v>11.572663574494834</v>
      </c>
      <c r="P1423" s="22">
        <f>O1423/Explications!$C$8</f>
        <v>0.38575545248316112</v>
      </c>
      <c r="Q1423" s="7" t="str">
        <f t="shared" si="140"/>
        <v>C63</v>
      </c>
      <c r="R1423" s="7" t="str">
        <f t="shared" si="141"/>
        <v>C18</v>
      </c>
      <c r="S1423" s="18">
        <f t="shared" si="142"/>
        <v>11.572663574494834</v>
      </c>
      <c r="T1423" s="18">
        <f>S1423/Explications!$C$8</f>
        <v>0.38575545248316112</v>
      </c>
    </row>
    <row r="1424" spans="7:20">
      <c r="G1424" s="7" t="s">
        <v>34</v>
      </c>
      <c r="H1424" s="7" t="s">
        <v>80</v>
      </c>
      <c r="I1424" s="7">
        <v>46.730200000000004</v>
      </c>
      <c r="J1424" s="7">
        <v>-71.274100000000004</v>
      </c>
      <c r="K1424" s="7">
        <v>46.779400000000003</v>
      </c>
      <c r="L1424" s="7">
        <v>-71.350399999999993</v>
      </c>
      <c r="M1424" s="10" t="str">
        <f t="shared" si="137"/>
        <v>C18</v>
      </c>
      <c r="N1424" s="10" t="str">
        <f t="shared" si="138"/>
        <v>C64</v>
      </c>
      <c r="O1424" s="5">
        <f t="shared" si="139"/>
        <v>7.982289044796838</v>
      </c>
      <c r="P1424" s="22">
        <f>O1424/Explications!$C$8</f>
        <v>0.26607630149322792</v>
      </c>
      <c r="Q1424" s="7" t="str">
        <f t="shared" si="140"/>
        <v>C64</v>
      </c>
      <c r="R1424" s="7" t="str">
        <f t="shared" si="141"/>
        <v>C18</v>
      </c>
      <c r="S1424" s="18">
        <f t="shared" si="142"/>
        <v>7.982289044796838</v>
      </c>
      <c r="T1424" s="18">
        <f>S1424/Explications!$C$8</f>
        <v>0.26607630149322792</v>
      </c>
    </row>
    <row r="1425" spans="7:20">
      <c r="G1425" s="7" t="s">
        <v>34</v>
      </c>
      <c r="H1425" s="7" t="s">
        <v>81</v>
      </c>
      <c r="I1425" s="7">
        <v>46.730200000000004</v>
      </c>
      <c r="J1425" s="7">
        <v>-71.274100000000004</v>
      </c>
      <c r="K1425" s="7">
        <v>46.772300000000001</v>
      </c>
      <c r="L1425" s="7">
        <v>-71.279799999999994</v>
      </c>
      <c r="M1425" s="10" t="str">
        <f t="shared" si="137"/>
        <v>C18</v>
      </c>
      <c r="N1425" s="10" t="str">
        <f t="shared" si="138"/>
        <v>C65</v>
      </c>
      <c r="O1425" s="5">
        <f t="shared" si="139"/>
        <v>4.7014058619759025</v>
      </c>
      <c r="P1425" s="22">
        <f>O1425/Explications!$C$8</f>
        <v>0.15671352873253008</v>
      </c>
      <c r="Q1425" s="7" t="str">
        <f t="shared" si="140"/>
        <v>C65</v>
      </c>
      <c r="R1425" s="7" t="str">
        <f t="shared" si="141"/>
        <v>C18</v>
      </c>
      <c r="S1425" s="18">
        <f t="shared" si="142"/>
        <v>4.7014058619759025</v>
      </c>
      <c r="T1425" s="18">
        <f>S1425/Explications!$C$8</f>
        <v>0.15671352873253008</v>
      </c>
    </row>
    <row r="1426" spans="7:20">
      <c r="G1426" s="7" t="s">
        <v>34</v>
      </c>
      <c r="H1426" s="7" t="s">
        <v>82</v>
      </c>
      <c r="I1426" s="7">
        <v>46.730200000000004</v>
      </c>
      <c r="J1426" s="7">
        <v>-71.274100000000004</v>
      </c>
      <c r="K1426" s="7">
        <v>46.814900000000002</v>
      </c>
      <c r="L1426" s="7">
        <v>-71.225200000000001</v>
      </c>
      <c r="M1426" s="10" t="str">
        <f t="shared" si="137"/>
        <v>C18</v>
      </c>
      <c r="N1426" s="10" t="str">
        <f t="shared" si="138"/>
        <v>C66</v>
      </c>
      <c r="O1426" s="5">
        <f t="shared" si="139"/>
        <v>10.127755021738608</v>
      </c>
      <c r="P1426" s="22">
        <f>O1426/Explications!$C$8</f>
        <v>0.33759183405795362</v>
      </c>
      <c r="Q1426" s="7" t="str">
        <f t="shared" si="140"/>
        <v>C66</v>
      </c>
      <c r="R1426" s="7" t="str">
        <f t="shared" si="141"/>
        <v>C18</v>
      </c>
      <c r="S1426" s="18">
        <f t="shared" si="142"/>
        <v>10.127755021738608</v>
      </c>
      <c r="T1426" s="18">
        <f>S1426/Explications!$C$8</f>
        <v>0.33759183405795362</v>
      </c>
    </row>
    <row r="1427" spans="7:20">
      <c r="G1427" s="7" t="s">
        <v>34</v>
      </c>
      <c r="H1427" s="7" t="s">
        <v>83</v>
      </c>
      <c r="I1427" s="7">
        <v>46.730200000000004</v>
      </c>
      <c r="J1427" s="7">
        <v>-71.274100000000004</v>
      </c>
      <c r="K1427" s="7">
        <v>46.814700000000002</v>
      </c>
      <c r="L1427" s="7">
        <v>-71.207300000000004</v>
      </c>
      <c r="M1427" s="10" t="str">
        <f t="shared" si="137"/>
        <v>C18</v>
      </c>
      <c r="N1427" s="10" t="str">
        <f t="shared" si="138"/>
        <v>C67</v>
      </c>
      <c r="O1427" s="5">
        <f t="shared" si="139"/>
        <v>10.684794775116316</v>
      </c>
      <c r="P1427" s="22">
        <f>O1427/Explications!$C$8</f>
        <v>0.35615982583721056</v>
      </c>
      <c r="Q1427" s="7" t="str">
        <f t="shared" si="140"/>
        <v>C67</v>
      </c>
      <c r="R1427" s="7" t="str">
        <f t="shared" si="141"/>
        <v>C18</v>
      </c>
      <c r="S1427" s="18">
        <f t="shared" si="142"/>
        <v>10.684794775116316</v>
      </c>
      <c r="T1427" s="18">
        <f>S1427/Explications!$C$8</f>
        <v>0.35615982583721056</v>
      </c>
    </row>
    <row r="1428" spans="7:20">
      <c r="G1428" s="7" t="s">
        <v>34</v>
      </c>
      <c r="H1428" s="7" t="s">
        <v>84</v>
      </c>
      <c r="I1428" s="7">
        <v>46.730200000000004</v>
      </c>
      <c r="J1428" s="7">
        <v>-71.274100000000004</v>
      </c>
      <c r="K1428" s="7">
        <v>46.815600000000003</v>
      </c>
      <c r="L1428" s="7">
        <v>-71.2029</v>
      </c>
      <c r="M1428" s="10" t="str">
        <f t="shared" si="137"/>
        <v>C18</v>
      </c>
      <c r="N1428" s="10" t="str">
        <f t="shared" si="138"/>
        <v>C68</v>
      </c>
      <c r="O1428" s="5">
        <f t="shared" si="139"/>
        <v>10.935112060560073</v>
      </c>
      <c r="P1428" s="22">
        <f>O1428/Explications!$C$8</f>
        <v>0.36450373535200242</v>
      </c>
      <c r="Q1428" s="7" t="str">
        <f t="shared" si="140"/>
        <v>C68</v>
      </c>
      <c r="R1428" s="7" t="str">
        <f t="shared" si="141"/>
        <v>C18</v>
      </c>
      <c r="S1428" s="18">
        <f t="shared" si="142"/>
        <v>10.935112060560073</v>
      </c>
      <c r="T1428" s="18">
        <f>S1428/Explications!$C$8</f>
        <v>0.36450373535200242</v>
      </c>
    </row>
    <row r="1429" spans="7:20">
      <c r="G1429" s="7" t="s">
        <v>34</v>
      </c>
      <c r="H1429" s="7" t="s">
        <v>85</v>
      </c>
      <c r="I1429" s="7">
        <v>46.730200000000004</v>
      </c>
      <c r="J1429" s="7">
        <v>-71.274100000000004</v>
      </c>
      <c r="K1429" s="7">
        <v>46.821899999999999</v>
      </c>
      <c r="L1429" s="7">
        <v>-71.249899999999997</v>
      </c>
      <c r="M1429" s="10" t="str">
        <f t="shared" si="137"/>
        <v>C18</v>
      </c>
      <c r="N1429" s="10" t="str">
        <f t="shared" si="138"/>
        <v>C69</v>
      </c>
      <c r="O1429" s="5">
        <f t="shared" si="139"/>
        <v>10.361772935676282</v>
      </c>
      <c r="P1429" s="22">
        <f>O1429/Explications!$C$8</f>
        <v>0.34539243118920937</v>
      </c>
      <c r="Q1429" s="7" t="str">
        <f t="shared" si="140"/>
        <v>C69</v>
      </c>
      <c r="R1429" s="7" t="str">
        <f t="shared" si="141"/>
        <v>C18</v>
      </c>
      <c r="S1429" s="18">
        <f t="shared" si="142"/>
        <v>10.361772935676282</v>
      </c>
      <c r="T1429" s="18">
        <f>S1429/Explications!$C$8</f>
        <v>0.34539243118920937</v>
      </c>
    </row>
    <row r="1430" spans="7:20">
      <c r="G1430" s="7" t="s">
        <v>34</v>
      </c>
      <c r="H1430" s="7" t="s">
        <v>86</v>
      </c>
      <c r="I1430" s="7">
        <v>46.730200000000004</v>
      </c>
      <c r="J1430" s="7">
        <v>-71.274100000000004</v>
      </c>
      <c r="K1430" s="7">
        <v>46.8872</v>
      </c>
      <c r="L1430" s="7">
        <v>-71.27</v>
      </c>
      <c r="M1430" s="10" t="str">
        <f t="shared" si="137"/>
        <v>C18</v>
      </c>
      <c r="N1430" s="10" t="str">
        <f t="shared" si="138"/>
        <v>C70</v>
      </c>
      <c r="O1430" s="5">
        <f t="shared" si="139"/>
        <v>17.460391872296434</v>
      </c>
      <c r="P1430" s="22">
        <f>O1430/Explications!$C$8</f>
        <v>0.58201306240988115</v>
      </c>
      <c r="Q1430" s="7" t="str">
        <f t="shared" si="140"/>
        <v>C70</v>
      </c>
      <c r="R1430" s="7" t="str">
        <f t="shared" si="141"/>
        <v>C18</v>
      </c>
      <c r="S1430" s="18">
        <f t="shared" si="142"/>
        <v>17.460391872296434</v>
      </c>
      <c r="T1430" s="18">
        <f>S1430/Explications!$C$8</f>
        <v>0.58201306240988115</v>
      </c>
    </row>
    <row r="1431" spans="7:20">
      <c r="G1431" s="7" t="s">
        <v>34</v>
      </c>
      <c r="H1431" s="7" t="s">
        <v>87</v>
      </c>
      <c r="I1431" s="7">
        <v>46.730200000000004</v>
      </c>
      <c r="J1431" s="7">
        <v>-71.274100000000004</v>
      </c>
      <c r="K1431" s="7">
        <v>46.816299999999998</v>
      </c>
      <c r="L1431" s="7">
        <v>-71.210300000000004</v>
      </c>
      <c r="M1431" s="10" t="str">
        <f t="shared" si="137"/>
        <v>C18</v>
      </c>
      <c r="N1431" s="10" t="str">
        <f t="shared" si="138"/>
        <v>C71</v>
      </c>
      <c r="O1431" s="5">
        <f t="shared" si="139"/>
        <v>10.736232935372323</v>
      </c>
      <c r="P1431" s="22">
        <f>O1431/Explications!$C$8</f>
        <v>0.35787443117907741</v>
      </c>
      <c r="Q1431" s="7" t="str">
        <f t="shared" si="140"/>
        <v>C71</v>
      </c>
      <c r="R1431" s="7" t="str">
        <f t="shared" si="141"/>
        <v>C18</v>
      </c>
      <c r="S1431" s="18">
        <f t="shared" si="142"/>
        <v>10.736232935372323</v>
      </c>
      <c r="T1431" s="18">
        <f>S1431/Explications!$C$8</f>
        <v>0.35787443117907741</v>
      </c>
    </row>
    <row r="1432" spans="7:20">
      <c r="G1432" s="7" t="s">
        <v>34</v>
      </c>
      <c r="H1432" s="7" t="s">
        <v>88</v>
      </c>
      <c r="I1432" s="7">
        <v>46.730200000000004</v>
      </c>
      <c r="J1432" s="7">
        <v>-71.274100000000004</v>
      </c>
      <c r="K1432" s="7">
        <v>46.807000000000002</v>
      </c>
      <c r="L1432" s="7">
        <v>-71.3566</v>
      </c>
      <c r="M1432" s="10" t="str">
        <f t="shared" si="137"/>
        <v>C18</v>
      </c>
      <c r="N1432" s="10" t="str">
        <f t="shared" si="138"/>
        <v>C72</v>
      </c>
      <c r="O1432" s="5">
        <f t="shared" si="139"/>
        <v>10.602307356869854</v>
      </c>
      <c r="P1432" s="22">
        <f>O1432/Explications!$C$8</f>
        <v>0.35341024522899517</v>
      </c>
      <c r="Q1432" s="7" t="str">
        <f t="shared" si="140"/>
        <v>C72</v>
      </c>
      <c r="R1432" s="7" t="str">
        <f t="shared" si="141"/>
        <v>C18</v>
      </c>
      <c r="S1432" s="18">
        <f t="shared" si="142"/>
        <v>10.602307356869854</v>
      </c>
      <c r="T1432" s="18">
        <f>S1432/Explications!$C$8</f>
        <v>0.35341024522899517</v>
      </c>
    </row>
    <row r="1433" spans="7:20">
      <c r="G1433" s="7" t="s">
        <v>34</v>
      </c>
      <c r="H1433" s="7" t="s">
        <v>89</v>
      </c>
      <c r="I1433" s="7">
        <v>46.730200000000004</v>
      </c>
      <c r="J1433" s="7">
        <v>-71.274100000000004</v>
      </c>
      <c r="K1433" s="7">
        <v>46.822899999999997</v>
      </c>
      <c r="L1433" s="7">
        <v>-71.341899999999995</v>
      </c>
      <c r="M1433" s="10" t="str">
        <f t="shared" si="137"/>
        <v>C18</v>
      </c>
      <c r="N1433" s="10" t="str">
        <f t="shared" si="138"/>
        <v>C73</v>
      </c>
      <c r="O1433" s="5">
        <f t="shared" si="139"/>
        <v>11.528542067355179</v>
      </c>
      <c r="P1433" s="22">
        <f>O1433/Explications!$C$8</f>
        <v>0.38428473557850595</v>
      </c>
      <c r="Q1433" s="7" t="str">
        <f t="shared" si="140"/>
        <v>C73</v>
      </c>
      <c r="R1433" s="7" t="str">
        <f t="shared" si="141"/>
        <v>C18</v>
      </c>
      <c r="S1433" s="18">
        <f t="shared" si="142"/>
        <v>11.528542067355179</v>
      </c>
      <c r="T1433" s="18">
        <f>S1433/Explications!$C$8</f>
        <v>0.38428473557850595</v>
      </c>
    </row>
    <row r="1434" spans="7:20">
      <c r="G1434" s="7" t="s">
        <v>34</v>
      </c>
      <c r="H1434" s="7" t="s">
        <v>90</v>
      </c>
      <c r="I1434" s="7">
        <v>46.730200000000004</v>
      </c>
      <c r="J1434" s="7">
        <v>-71.274100000000004</v>
      </c>
      <c r="K1434" s="7">
        <v>46.730699999999999</v>
      </c>
      <c r="L1434" s="7">
        <v>-71.261099999999999</v>
      </c>
      <c r="M1434" s="10" t="str">
        <f t="shared" si="137"/>
        <v>C18</v>
      </c>
      <c r="N1434" s="10" t="str">
        <f t="shared" si="138"/>
        <v>C74</v>
      </c>
      <c r="O1434" s="5">
        <f t="shared" si="139"/>
        <v>0.99237317920613588</v>
      </c>
      <c r="P1434" s="22">
        <f>O1434/Explications!$C$8</f>
        <v>3.3079105973537866E-2</v>
      </c>
      <c r="Q1434" s="7" t="str">
        <f t="shared" si="140"/>
        <v>C74</v>
      </c>
      <c r="R1434" s="7" t="str">
        <f t="shared" si="141"/>
        <v>C18</v>
      </c>
      <c r="S1434" s="18">
        <f t="shared" si="142"/>
        <v>0.99237317920613588</v>
      </c>
      <c r="T1434" s="18">
        <f>S1434/Explications!$C$8</f>
        <v>3.3079105973537866E-2</v>
      </c>
    </row>
    <row r="1435" spans="7:20">
      <c r="G1435" s="7" t="s">
        <v>34</v>
      </c>
      <c r="H1435" s="7" t="s">
        <v>91</v>
      </c>
      <c r="I1435" s="7">
        <v>46.730200000000004</v>
      </c>
      <c r="J1435" s="7">
        <v>-71.274100000000004</v>
      </c>
      <c r="K1435" s="7">
        <v>46.840600000000002</v>
      </c>
      <c r="L1435" s="7">
        <v>-71.289100000000005</v>
      </c>
      <c r="M1435" s="10" t="str">
        <f t="shared" si="137"/>
        <v>C18</v>
      </c>
      <c r="N1435" s="10" t="str">
        <f t="shared" si="138"/>
        <v>C75</v>
      </c>
      <c r="O1435" s="5">
        <f t="shared" si="139"/>
        <v>12.328931809229585</v>
      </c>
      <c r="P1435" s="22">
        <f>O1435/Explications!$C$8</f>
        <v>0.41096439364098619</v>
      </c>
      <c r="Q1435" s="7" t="str">
        <f t="shared" si="140"/>
        <v>C75</v>
      </c>
      <c r="R1435" s="7" t="str">
        <f t="shared" si="141"/>
        <v>C18</v>
      </c>
      <c r="S1435" s="18">
        <f t="shared" si="142"/>
        <v>12.328931809229585</v>
      </c>
      <c r="T1435" s="18">
        <f>S1435/Explications!$C$8</f>
        <v>0.41096439364098619</v>
      </c>
    </row>
    <row r="1436" spans="7:20">
      <c r="G1436" s="7" t="s">
        <v>34</v>
      </c>
      <c r="H1436" s="7" t="s">
        <v>92</v>
      </c>
      <c r="I1436" s="7">
        <v>46.730200000000004</v>
      </c>
      <c r="J1436" s="7">
        <v>-71.274100000000004</v>
      </c>
      <c r="K1436" s="7">
        <v>46.840600000000002</v>
      </c>
      <c r="L1436" s="7">
        <v>-71.281599999999997</v>
      </c>
      <c r="M1436" s="10" t="str">
        <f t="shared" si="137"/>
        <v>C18</v>
      </c>
      <c r="N1436" s="10" t="str">
        <f t="shared" si="138"/>
        <v>C76</v>
      </c>
      <c r="O1436" s="5">
        <f t="shared" si="139"/>
        <v>12.289194317214879</v>
      </c>
      <c r="P1436" s="22">
        <f>O1436/Explications!$C$8</f>
        <v>0.40963981057382931</v>
      </c>
      <c r="Q1436" s="7" t="str">
        <f t="shared" si="140"/>
        <v>C76</v>
      </c>
      <c r="R1436" s="7" t="str">
        <f t="shared" si="141"/>
        <v>C18</v>
      </c>
      <c r="S1436" s="18">
        <f t="shared" si="142"/>
        <v>12.289194317214879</v>
      </c>
      <c r="T1436" s="18">
        <f>S1436/Explications!$C$8</f>
        <v>0.40963981057382931</v>
      </c>
    </row>
    <row r="1437" spans="7:20">
      <c r="G1437" s="7" t="s">
        <v>34</v>
      </c>
      <c r="H1437" s="7" t="s">
        <v>93</v>
      </c>
      <c r="I1437" s="7">
        <v>46.730200000000004</v>
      </c>
      <c r="J1437" s="7">
        <v>-71.274100000000004</v>
      </c>
      <c r="K1437" s="7">
        <v>46.839399999999998</v>
      </c>
      <c r="L1437" s="7">
        <v>-71.282600000000002</v>
      </c>
      <c r="M1437" s="10" t="str">
        <f t="shared" si="137"/>
        <v>C18</v>
      </c>
      <c r="N1437" s="10" t="str">
        <f t="shared" si="138"/>
        <v>C77</v>
      </c>
      <c r="O1437" s="5">
        <f t="shared" si="139"/>
        <v>12.159721077667285</v>
      </c>
      <c r="P1437" s="22">
        <f>O1437/Explications!$C$8</f>
        <v>0.40532403592224286</v>
      </c>
      <c r="Q1437" s="7" t="str">
        <f t="shared" si="140"/>
        <v>C77</v>
      </c>
      <c r="R1437" s="7" t="str">
        <f t="shared" si="141"/>
        <v>C18</v>
      </c>
      <c r="S1437" s="18">
        <f t="shared" si="142"/>
        <v>12.159721077667285</v>
      </c>
      <c r="T1437" s="18">
        <f>S1437/Explications!$C$8</f>
        <v>0.40532403592224286</v>
      </c>
    </row>
    <row r="1438" spans="7:20">
      <c r="G1438" s="7" t="s">
        <v>34</v>
      </c>
      <c r="H1438" s="7" t="s">
        <v>94</v>
      </c>
      <c r="I1438" s="7">
        <v>46.730200000000004</v>
      </c>
      <c r="J1438" s="7">
        <v>-71.274100000000004</v>
      </c>
      <c r="K1438" s="7">
        <v>46.788499999999999</v>
      </c>
      <c r="L1438" s="7">
        <v>-71.282399999999996</v>
      </c>
      <c r="M1438" s="10" t="str">
        <f t="shared" si="137"/>
        <v>C18</v>
      </c>
      <c r="N1438" s="10" t="str">
        <f t="shared" si="138"/>
        <v>C78</v>
      </c>
      <c r="O1438" s="5">
        <f t="shared" si="139"/>
        <v>6.5134234761875396</v>
      </c>
      <c r="P1438" s="22">
        <f>O1438/Explications!$C$8</f>
        <v>0.21711411587291798</v>
      </c>
      <c r="Q1438" s="7" t="str">
        <f t="shared" si="140"/>
        <v>C78</v>
      </c>
      <c r="R1438" s="7" t="str">
        <f t="shared" si="141"/>
        <v>C18</v>
      </c>
      <c r="S1438" s="18">
        <f t="shared" si="142"/>
        <v>6.5134234761875396</v>
      </c>
      <c r="T1438" s="18">
        <f>S1438/Explications!$C$8</f>
        <v>0.21711411587291798</v>
      </c>
    </row>
    <row r="1439" spans="7:20">
      <c r="G1439" s="7" t="s">
        <v>34</v>
      </c>
      <c r="H1439" s="7" t="s">
        <v>95</v>
      </c>
      <c r="I1439" s="7">
        <v>46.730200000000004</v>
      </c>
      <c r="J1439" s="7">
        <v>-71.274100000000004</v>
      </c>
      <c r="K1439" s="7">
        <v>46.840699999999998</v>
      </c>
      <c r="L1439" s="7">
        <v>-71.325400000000002</v>
      </c>
      <c r="M1439" s="10" t="str">
        <f t="shared" si="137"/>
        <v>C18</v>
      </c>
      <c r="N1439" s="10" t="str">
        <f t="shared" si="138"/>
        <v>C79</v>
      </c>
      <c r="O1439" s="5">
        <f t="shared" si="139"/>
        <v>12.892924764145738</v>
      </c>
      <c r="P1439" s="22">
        <f>O1439/Explications!$C$8</f>
        <v>0.42976415880485791</v>
      </c>
      <c r="Q1439" s="7" t="str">
        <f t="shared" si="140"/>
        <v>C79</v>
      </c>
      <c r="R1439" s="7" t="str">
        <f t="shared" si="141"/>
        <v>C18</v>
      </c>
      <c r="S1439" s="18">
        <f t="shared" si="142"/>
        <v>12.892924764145738</v>
      </c>
      <c r="T1439" s="18">
        <f>S1439/Explications!$C$8</f>
        <v>0.42976415880485791</v>
      </c>
    </row>
    <row r="1440" spans="7:20">
      <c r="G1440" s="7" t="s">
        <v>34</v>
      </c>
      <c r="H1440" s="7" t="s">
        <v>96</v>
      </c>
      <c r="I1440" s="7">
        <v>46.730200000000004</v>
      </c>
      <c r="J1440" s="7">
        <v>-71.274100000000004</v>
      </c>
      <c r="K1440" s="7">
        <v>46.798400000000001</v>
      </c>
      <c r="L1440" s="7">
        <v>-71.183199999999999</v>
      </c>
      <c r="M1440" s="10" t="str">
        <f t="shared" si="137"/>
        <v>C18</v>
      </c>
      <c r="N1440" s="10" t="str">
        <f t="shared" si="138"/>
        <v>C80</v>
      </c>
      <c r="O1440" s="5">
        <f t="shared" si="139"/>
        <v>10.268758428114255</v>
      </c>
      <c r="P1440" s="22">
        <f>O1440/Explications!$C$8</f>
        <v>0.34229194760380849</v>
      </c>
      <c r="Q1440" s="7" t="str">
        <f t="shared" si="140"/>
        <v>C80</v>
      </c>
      <c r="R1440" s="7" t="str">
        <f t="shared" si="141"/>
        <v>C18</v>
      </c>
      <c r="S1440" s="18">
        <f t="shared" si="142"/>
        <v>10.268758428114255</v>
      </c>
      <c r="T1440" s="18">
        <f>S1440/Explications!$C$8</f>
        <v>0.34229194760380849</v>
      </c>
    </row>
    <row r="1441" spans="7:20">
      <c r="G1441" s="7" t="s">
        <v>34</v>
      </c>
      <c r="H1441" s="7" t="s">
        <v>97</v>
      </c>
      <c r="I1441" s="7">
        <v>46.730200000000004</v>
      </c>
      <c r="J1441" s="7">
        <v>-71.274100000000004</v>
      </c>
      <c r="K1441" s="7">
        <v>46.724800000000002</v>
      </c>
      <c r="L1441" s="7">
        <v>-71.2988</v>
      </c>
      <c r="M1441" s="10" t="str">
        <f t="shared" si="137"/>
        <v>C18</v>
      </c>
      <c r="N1441" s="10" t="str">
        <f t="shared" si="138"/>
        <v>C81</v>
      </c>
      <c r="O1441" s="5">
        <f t="shared" si="139"/>
        <v>1.9760861642059149</v>
      </c>
      <c r="P1441" s="22">
        <f>O1441/Explications!$C$8</f>
        <v>6.5869538806863831E-2</v>
      </c>
      <c r="Q1441" s="7" t="str">
        <f t="shared" si="140"/>
        <v>C81</v>
      </c>
      <c r="R1441" s="7" t="str">
        <f t="shared" si="141"/>
        <v>C18</v>
      </c>
      <c r="S1441" s="18">
        <f t="shared" si="142"/>
        <v>1.9760861642059149</v>
      </c>
      <c r="T1441" s="18">
        <f>S1441/Explications!$C$8</f>
        <v>6.5869538806863831E-2</v>
      </c>
    </row>
    <row r="1442" spans="7:20">
      <c r="G1442" s="7" t="s">
        <v>34</v>
      </c>
      <c r="H1442" s="7" t="s">
        <v>98</v>
      </c>
      <c r="I1442" s="7">
        <v>46.730200000000004</v>
      </c>
      <c r="J1442" s="7">
        <v>-71.274100000000004</v>
      </c>
      <c r="K1442" s="7">
        <v>46.795499999999997</v>
      </c>
      <c r="L1442" s="7">
        <v>-71.242900000000006</v>
      </c>
      <c r="M1442" s="10" t="str">
        <f t="shared" si="137"/>
        <v>C18</v>
      </c>
      <c r="N1442" s="10" t="str">
        <f t="shared" si="138"/>
        <v>C82</v>
      </c>
      <c r="O1442" s="5">
        <f t="shared" si="139"/>
        <v>7.6400530854140527</v>
      </c>
      <c r="P1442" s="22">
        <f>O1442/Explications!$C$8</f>
        <v>0.25466843618046842</v>
      </c>
      <c r="Q1442" s="7" t="str">
        <f t="shared" si="140"/>
        <v>C82</v>
      </c>
      <c r="R1442" s="7" t="str">
        <f t="shared" si="141"/>
        <v>C18</v>
      </c>
      <c r="S1442" s="18">
        <f t="shared" si="142"/>
        <v>7.6400530854140527</v>
      </c>
      <c r="T1442" s="18">
        <f>S1442/Explications!$C$8</f>
        <v>0.25466843618046842</v>
      </c>
    </row>
    <row r="1443" spans="7:20">
      <c r="G1443" s="7" t="s">
        <v>34</v>
      </c>
      <c r="H1443" s="7" t="s">
        <v>99</v>
      </c>
      <c r="I1443" s="7">
        <v>46.730200000000004</v>
      </c>
      <c r="J1443" s="7">
        <v>-71.274100000000004</v>
      </c>
      <c r="K1443" s="7">
        <v>46.8157</v>
      </c>
      <c r="L1443" s="7">
        <v>-71.201899999999995</v>
      </c>
      <c r="M1443" s="10" t="str">
        <f t="shared" si="137"/>
        <v>C18</v>
      </c>
      <c r="N1443" s="10" t="str">
        <f t="shared" si="138"/>
        <v>C83</v>
      </c>
      <c r="O1443" s="5">
        <f t="shared" si="139"/>
        <v>10.982696294307463</v>
      </c>
      <c r="P1443" s="22">
        <f>O1443/Explications!$C$8</f>
        <v>0.36608987647691543</v>
      </c>
      <c r="Q1443" s="7" t="str">
        <f t="shared" si="140"/>
        <v>C83</v>
      </c>
      <c r="R1443" s="7" t="str">
        <f t="shared" si="141"/>
        <v>C18</v>
      </c>
      <c r="S1443" s="18">
        <f t="shared" si="142"/>
        <v>10.982696294307463</v>
      </c>
      <c r="T1443" s="18">
        <f>S1443/Explications!$C$8</f>
        <v>0.36608987647691543</v>
      </c>
    </row>
    <row r="1444" spans="7:20">
      <c r="G1444" s="7" t="s">
        <v>34</v>
      </c>
      <c r="H1444" s="7" t="s">
        <v>100</v>
      </c>
      <c r="I1444" s="7">
        <v>46.730200000000004</v>
      </c>
      <c r="J1444" s="7">
        <v>-71.274100000000004</v>
      </c>
      <c r="K1444" s="7">
        <v>46.837600000000002</v>
      </c>
      <c r="L1444" s="7">
        <v>-71.196299999999994</v>
      </c>
      <c r="M1444" s="10" t="str">
        <f t="shared" si="137"/>
        <v>C18</v>
      </c>
      <c r="N1444" s="10" t="str">
        <f t="shared" si="138"/>
        <v>C84</v>
      </c>
      <c r="O1444" s="5">
        <f t="shared" si="139"/>
        <v>13.330803154853999</v>
      </c>
      <c r="P1444" s="22">
        <f>O1444/Explications!$C$8</f>
        <v>0.44436010516179997</v>
      </c>
      <c r="Q1444" s="7" t="str">
        <f t="shared" si="140"/>
        <v>C84</v>
      </c>
      <c r="R1444" s="7" t="str">
        <f t="shared" si="141"/>
        <v>C18</v>
      </c>
      <c r="S1444" s="18">
        <f t="shared" si="142"/>
        <v>13.330803154853999</v>
      </c>
      <c r="T1444" s="18">
        <f>S1444/Explications!$C$8</f>
        <v>0.44436010516179997</v>
      </c>
    </row>
    <row r="1445" spans="7:20">
      <c r="G1445" s="7" t="s">
        <v>34</v>
      </c>
      <c r="H1445" s="7" t="s">
        <v>101</v>
      </c>
      <c r="I1445" s="7">
        <v>46.730200000000004</v>
      </c>
      <c r="J1445" s="7">
        <v>-71.274100000000004</v>
      </c>
      <c r="K1445" s="7">
        <v>46.7988</v>
      </c>
      <c r="L1445" s="7">
        <v>-71.318200000000004</v>
      </c>
      <c r="M1445" s="10" t="str">
        <f t="shared" si="137"/>
        <v>C18</v>
      </c>
      <c r="N1445" s="10" t="str">
        <f t="shared" si="138"/>
        <v>C85</v>
      </c>
      <c r="O1445" s="5">
        <f t="shared" si="139"/>
        <v>8.3348065855129825</v>
      </c>
      <c r="P1445" s="22">
        <f>O1445/Explications!$C$8</f>
        <v>0.27782688618376611</v>
      </c>
      <c r="Q1445" s="7" t="str">
        <f t="shared" si="140"/>
        <v>C85</v>
      </c>
      <c r="R1445" s="7" t="str">
        <f t="shared" si="141"/>
        <v>C18</v>
      </c>
      <c r="S1445" s="18">
        <f t="shared" si="142"/>
        <v>8.3348065855129825</v>
      </c>
      <c r="T1445" s="18">
        <f>S1445/Explications!$C$8</f>
        <v>0.27782688618376611</v>
      </c>
    </row>
    <row r="1446" spans="7:20">
      <c r="G1446" s="7" t="s">
        <v>35</v>
      </c>
      <c r="H1446" s="7" t="s">
        <v>36</v>
      </c>
      <c r="I1446" s="7">
        <v>46.785600000000002</v>
      </c>
      <c r="J1446" s="7">
        <v>-71.245500000000007</v>
      </c>
      <c r="K1446" s="7">
        <v>46.8215</v>
      </c>
      <c r="L1446" s="7">
        <v>-71.355400000000003</v>
      </c>
      <c r="M1446" s="10" t="str">
        <f t="shared" si="137"/>
        <v>C19</v>
      </c>
      <c r="N1446" s="10" t="str">
        <f t="shared" si="138"/>
        <v>C20</v>
      </c>
      <c r="O1446" s="5">
        <f t="shared" si="139"/>
        <v>9.268531791748174</v>
      </c>
      <c r="P1446" s="22">
        <f>O1446/Explications!$C$8</f>
        <v>0.30895105972493914</v>
      </c>
      <c r="Q1446" s="7" t="str">
        <f t="shared" si="140"/>
        <v>C20</v>
      </c>
      <c r="R1446" s="7" t="str">
        <f t="shared" si="141"/>
        <v>C19</v>
      </c>
      <c r="S1446" s="18">
        <f t="shared" si="142"/>
        <v>9.268531791748174</v>
      </c>
      <c r="T1446" s="18">
        <f>S1446/Explications!$C$8</f>
        <v>0.30895105972493914</v>
      </c>
    </row>
    <row r="1447" spans="7:20">
      <c r="G1447" s="7" t="s">
        <v>35</v>
      </c>
      <c r="H1447" s="7" t="s">
        <v>37</v>
      </c>
      <c r="I1447" s="7">
        <v>46.785600000000002</v>
      </c>
      <c r="J1447" s="7">
        <v>-71.245500000000007</v>
      </c>
      <c r="K1447" s="7">
        <v>46.8093</v>
      </c>
      <c r="L1447" s="7">
        <v>-71.2273</v>
      </c>
      <c r="M1447" s="10" t="str">
        <f t="shared" si="137"/>
        <v>C19</v>
      </c>
      <c r="N1447" s="10" t="str">
        <f t="shared" si="138"/>
        <v>C21</v>
      </c>
      <c r="O1447" s="5">
        <f t="shared" si="139"/>
        <v>2.9772954728941605</v>
      </c>
      <c r="P1447" s="22">
        <f>O1447/Explications!$C$8</f>
        <v>9.9243182429805357E-2</v>
      </c>
      <c r="Q1447" s="7" t="str">
        <f t="shared" si="140"/>
        <v>C21</v>
      </c>
      <c r="R1447" s="7" t="str">
        <f t="shared" si="141"/>
        <v>C19</v>
      </c>
      <c r="S1447" s="18">
        <f t="shared" si="142"/>
        <v>2.9772954728941605</v>
      </c>
      <c r="T1447" s="18">
        <f>S1447/Explications!$C$8</f>
        <v>9.9243182429805357E-2</v>
      </c>
    </row>
    <row r="1448" spans="7:20">
      <c r="G1448" s="7" t="s">
        <v>35</v>
      </c>
      <c r="H1448" s="7" t="s">
        <v>38</v>
      </c>
      <c r="I1448" s="7">
        <v>46.785600000000002</v>
      </c>
      <c r="J1448" s="7">
        <v>-71.245500000000007</v>
      </c>
      <c r="K1448" s="7">
        <v>46.781300000000002</v>
      </c>
      <c r="L1448" s="7">
        <v>-71.301000000000002</v>
      </c>
      <c r="M1448" s="10" t="str">
        <f t="shared" si="137"/>
        <v>C19</v>
      </c>
      <c r="N1448" s="10" t="str">
        <f t="shared" si="138"/>
        <v>C22</v>
      </c>
      <c r="O1448" s="5">
        <f t="shared" si="139"/>
        <v>4.2528210119323813</v>
      </c>
      <c r="P1448" s="22">
        <f>O1448/Explications!$C$8</f>
        <v>0.14176070039774605</v>
      </c>
      <c r="Q1448" s="7" t="str">
        <f t="shared" si="140"/>
        <v>C22</v>
      </c>
      <c r="R1448" s="7" t="str">
        <f t="shared" si="141"/>
        <v>C19</v>
      </c>
      <c r="S1448" s="18">
        <f t="shared" si="142"/>
        <v>4.2528210119323813</v>
      </c>
      <c r="T1448" s="18">
        <f>S1448/Explications!$C$8</f>
        <v>0.14176070039774605</v>
      </c>
    </row>
    <row r="1449" spans="7:20">
      <c r="G1449" s="7" t="s">
        <v>35</v>
      </c>
      <c r="H1449" s="7" t="s">
        <v>39</v>
      </c>
      <c r="I1449" s="7">
        <v>46.785600000000002</v>
      </c>
      <c r="J1449" s="7">
        <v>-71.245500000000007</v>
      </c>
      <c r="K1449" s="7">
        <v>46.844900000000003</v>
      </c>
      <c r="L1449" s="7">
        <v>-71.251400000000004</v>
      </c>
      <c r="M1449" s="10" t="str">
        <f t="shared" si="137"/>
        <v>C19</v>
      </c>
      <c r="N1449" s="10" t="str">
        <f t="shared" si="138"/>
        <v>C23</v>
      </c>
      <c r="O1449" s="5">
        <f t="shared" si="139"/>
        <v>6.6091264446437403</v>
      </c>
      <c r="P1449" s="22">
        <f>O1449/Explications!$C$8</f>
        <v>0.22030421482145801</v>
      </c>
      <c r="Q1449" s="7" t="str">
        <f t="shared" si="140"/>
        <v>C23</v>
      </c>
      <c r="R1449" s="7" t="str">
        <f t="shared" si="141"/>
        <v>C19</v>
      </c>
      <c r="S1449" s="18">
        <f t="shared" si="142"/>
        <v>6.6091264446437403</v>
      </c>
      <c r="T1449" s="18">
        <f>S1449/Explications!$C$8</f>
        <v>0.22030421482145801</v>
      </c>
    </row>
    <row r="1450" spans="7:20">
      <c r="G1450" s="7" t="s">
        <v>35</v>
      </c>
      <c r="H1450" s="7" t="s">
        <v>40</v>
      </c>
      <c r="I1450" s="7">
        <v>46.785600000000002</v>
      </c>
      <c r="J1450" s="7">
        <v>-71.245500000000007</v>
      </c>
      <c r="K1450" s="7">
        <v>46.805500000000002</v>
      </c>
      <c r="L1450" s="7">
        <v>-71.2196</v>
      </c>
      <c r="M1450" s="10" t="str">
        <f t="shared" si="137"/>
        <v>C19</v>
      </c>
      <c r="N1450" s="10" t="str">
        <f t="shared" si="138"/>
        <v>C24</v>
      </c>
      <c r="O1450" s="5">
        <f t="shared" si="139"/>
        <v>2.9637291050144556</v>
      </c>
      <c r="P1450" s="22">
        <f>O1450/Explications!$C$8</f>
        <v>9.8790970167148523E-2</v>
      </c>
      <c r="Q1450" s="7" t="str">
        <f t="shared" si="140"/>
        <v>C24</v>
      </c>
      <c r="R1450" s="7" t="str">
        <f t="shared" si="141"/>
        <v>C19</v>
      </c>
      <c r="S1450" s="18">
        <f t="shared" si="142"/>
        <v>2.9637291050144556</v>
      </c>
      <c r="T1450" s="18">
        <f>S1450/Explications!$C$8</f>
        <v>9.8790970167148523E-2</v>
      </c>
    </row>
    <row r="1451" spans="7:20">
      <c r="G1451" s="7" t="s">
        <v>35</v>
      </c>
      <c r="H1451" s="7" t="s">
        <v>41</v>
      </c>
      <c r="I1451" s="7">
        <v>46.785600000000002</v>
      </c>
      <c r="J1451" s="7">
        <v>-71.245500000000007</v>
      </c>
      <c r="K1451" s="7">
        <v>46.734900000000003</v>
      </c>
      <c r="L1451" s="7">
        <v>-71.266199999999998</v>
      </c>
      <c r="M1451" s="10" t="str">
        <f t="shared" si="137"/>
        <v>C19</v>
      </c>
      <c r="N1451" s="10" t="str">
        <f t="shared" si="138"/>
        <v>C25</v>
      </c>
      <c r="O1451" s="5">
        <f t="shared" si="139"/>
        <v>5.8539446317650619</v>
      </c>
      <c r="P1451" s="22">
        <f>O1451/Explications!$C$8</f>
        <v>0.19513148772550207</v>
      </c>
      <c r="Q1451" s="7" t="str">
        <f t="shared" si="140"/>
        <v>C25</v>
      </c>
      <c r="R1451" s="7" t="str">
        <f t="shared" si="141"/>
        <v>C19</v>
      </c>
      <c r="S1451" s="18">
        <f t="shared" si="142"/>
        <v>5.8539446317650619</v>
      </c>
      <c r="T1451" s="18">
        <f>S1451/Explications!$C$8</f>
        <v>0.19513148772550207</v>
      </c>
    </row>
    <row r="1452" spans="7:20">
      <c r="G1452" s="7" t="s">
        <v>35</v>
      </c>
      <c r="H1452" s="7" t="s">
        <v>42</v>
      </c>
      <c r="I1452" s="7">
        <v>46.785600000000002</v>
      </c>
      <c r="J1452" s="7">
        <v>-71.245500000000007</v>
      </c>
      <c r="K1452" s="7">
        <v>46.817700000000002</v>
      </c>
      <c r="L1452" s="7">
        <v>-71.214100000000002</v>
      </c>
      <c r="M1452" s="10" t="str">
        <f t="shared" si="137"/>
        <v>C19</v>
      </c>
      <c r="N1452" s="10" t="str">
        <f t="shared" si="138"/>
        <v>C26</v>
      </c>
      <c r="O1452" s="5">
        <f t="shared" si="139"/>
        <v>4.2956474472952895</v>
      </c>
      <c r="P1452" s="22">
        <f>O1452/Explications!$C$8</f>
        <v>0.1431882482431763</v>
      </c>
      <c r="Q1452" s="7" t="str">
        <f t="shared" si="140"/>
        <v>C26</v>
      </c>
      <c r="R1452" s="7" t="str">
        <f t="shared" si="141"/>
        <v>C19</v>
      </c>
      <c r="S1452" s="18">
        <f t="shared" si="142"/>
        <v>4.2956474472952895</v>
      </c>
      <c r="T1452" s="18">
        <f>S1452/Explications!$C$8</f>
        <v>0.1431882482431763</v>
      </c>
    </row>
    <row r="1453" spans="7:20">
      <c r="G1453" s="7" t="s">
        <v>35</v>
      </c>
      <c r="H1453" s="7" t="s">
        <v>43</v>
      </c>
      <c r="I1453" s="7">
        <v>46.785600000000002</v>
      </c>
      <c r="J1453" s="7">
        <v>-71.245500000000007</v>
      </c>
      <c r="K1453" s="7">
        <v>46.603000000000002</v>
      </c>
      <c r="L1453" s="7">
        <v>-71.490600000000001</v>
      </c>
      <c r="M1453" s="10" t="str">
        <f t="shared" si="137"/>
        <v>C19</v>
      </c>
      <c r="N1453" s="10" t="str">
        <f t="shared" si="138"/>
        <v>C27</v>
      </c>
      <c r="O1453" s="5">
        <f t="shared" si="139"/>
        <v>27.59879976480477</v>
      </c>
      <c r="P1453" s="22">
        <f>O1453/Explications!$C$8</f>
        <v>0.919959992160159</v>
      </c>
      <c r="Q1453" s="7" t="str">
        <f t="shared" si="140"/>
        <v>C27</v>
      </c>
      <c r="R1453" s="7" t="str">
        <f t="shared" si="141"/>
        <v>C19</v>
      </c>
      <c r="S1453" s="18">
        <f t="shared" si="142"/>
        <v>27.59879976480477</v>
      </c>
      <c r="T1453" s="18">
        <f>S1453/Explications!$C$8</f>
        <v>0.919959992160159</v>
      </c>
    </row>
    <row r="1454" spans="7:20">
      <c r="G1454" s="7" t="s">
        <v>35</v>
      </c>
      <c r="H1454" s="7" t="s">
        <v>44</v>
      </c>
      <c r="I1454" s="7">
        <v>46.785600000000002</v>
      </c>
      <c r="J1454" s="7">
        <v>-71.245500000000007</v>
      </c>
      <c r="K1454" s="7">
        <v>47.000500000000002</v>
      </c>
      <c r="L1454" s="7">
        <v>-71.388400000000004</v>
      </c>
      <c r="M1454" s="10" t="str">
        <f t="shared" si="137"/>
        <v>C19</v>
      </c>
      <c r="N1454" s="10" t="str">
        <f t="shared" si="138"/>
        <v>C28</v>
      </c>
      <c r="O1454" s="5">
        <f t="shared" si="139"/>
        <v>26.247176599798223</v>
      </c>
      <c r="P1454" s="22">
        <f>O1454/Explications!$C$8</f>
        <v>0.87490588665994073</v>
      </c>
      <c r="Q1454" s="7" t="str">
        <f t="shared" si="140"/>
        <v>C28</v>
      </c>
      <c r="R1454" s="7" t="str">
        <f t="shared" si="141"/>
        <v>C19</v>
      </c>
      <c r="S1454" s="18">
        <f t="shared" si="142"/>
        <v>26.247176599798223</v>
      </c>
      <c r="T1454" s="18">
        <f>S1454/Explications!$C$8</f>
        <v>0.87490588665994073</v>
      </c>
    </row>
    <row r="1455" spans="7:20">
      <c r="G1455" s="7" t="s">
        <v>35</v>
      </c>
      <c r="H1455" s="7" t="s">
        <v>45</v>
      </c>
      <c r="I1455" s="7">
        <v>46.785600000000002</v>
      </c>
      <c r="J1455" s="7">
        <v>-71.245500000000007</v>
      </c>
      <c r="K1455" s="7">
        <v>46.839100000000002</v>
      </c>
      <c r="L1455" s="7">
        <v>-71.245699999999999</v>
      </c>
      <c r="M1455" s="10" t="str">
        <f t="shared" si="137"/>
        <v>C19</v>
      </c>
      <c r="N1455" s="10" t="str">
        <f t="shared" si="138"/>
        <v>C29</v>
      </c>
      <c r="O1455" s="5">
        <f t="shared" si="139"/>
        <v>5.9489480462700586</v>
      </c>
      <c r="P1455" s="22">
        <f>O1455/Explications!$C$8</f>
        <v>0.19829826820900195</v>
      </c>
      <c r="Q1455" s="7" t="str">
        <f t="shared" si="140"/>
        <v>C29</v>
      </c>
      <c r="R1455" s="7" t="str">
        <f t="shared" si="141"/>
        <v>C19</v>
      </c>
      <c r="S1455" s="18">
        <f t="shared" si="142"/>
        <v>5.9489480462700586</v>
      </c>
      <c r="T1455" s="18">
        <f>S1455/Explications!$C$8</f>
        <v>0.19829826820900195</v>
      </c>
    </row>
    <row r="1456" spans="7:20">
      <c r="G1456" s="7" t="s">
        <v>35</v>
      </c>
      <c r="H1456" s="7" t="s">
        <v>46</v>
      </c>
      <c r="I1456" s="7">
        <v>46.785600000000002</v>
      </c>
      <c r="J1456" s="7">
        <v>-71.245500000000007</v>
      </c>
      <c r="K1456" s="7">
        <v>46.865699999999997</v>
      </c>
      <c r="L1456" s="7">
        <v>-71.27</v>
      </c>
      <c r="M1456" s="10" t="str">
        <f t="shared" si="137"/>
        <v>C19</v>
      </c>
      <c r="N1456" s="10" t="str">
        <f t="shared" si="138"/>
        <v>C30</v>
      </c>
      <c r="O1456" s="5">
        <f t="shared" si="139"/>
        <v>9.0996737712946771</v>
      </c>
      <c r="P1456" s="22">
        <f>O1456/Explications!$C$8</f>
        <v>0.30332245904315591</v>
      </c>
      <c r="Q1456" s="7" t="str">
        <f t="shared" si="140"/>
        <v>C30</v>
      </c>
      <c r="R1456" s="7" t="str">
        <f t="shared" si="141"/>
        <v>C19</v>
      </c>
      <c r="S1456" s="18">
        <f t="shared" si="142"/>
        <v>9.0996737712946771</v>
      </c>
      <c r="T1456" s="18">
        <f>S1456/Explications!$C$8</f>
        <v>0.30332245904315591</v>
      </c>
    </row>
    <row r="1457" spans="7:20">
      <c r="G1457" s="7" t="s">
        <v>35</v>
      </c>
      <c r="H1457" s="7" t="s">
        <v>47</v>
      </c>
      <c r="I1457" s="7">
        <v>46.785600000000002</v>
      </c>
      <c r="J1457" s="7">
        <v>-71.245500000000007</v>
      </c>
      <c r="K1457" s="7">
        <v>46.805500000000002</v>
      </c>
      <c r="L1457" s="7">
        <v>-71.217299999999994</v>
      </c>
      <c r="M1457" s="10" t="str">
        <f t="shared" si="137"/>
        <v>C19</v>
      </c>
      <c r="N1457" s="10" t="str">
        <f t="shared" si="138"/>
        <v>C31</v>
      </c>
      <c r="O1457" s="5">
        <f t="shared" si="139"/>
        <v>3.0829780634565669</v>
      </c>
      <c r="P1457" s="22">
        <f>O1457/Explications!$C$8</f>
        <v>0.10276593544855223</v>
      </c>
      <c r="Q1457" s="7" t="str">
        <f t="shared" si="140"/>
        <v>C31</v>
      </c>
      <c r="R1457" s="7" t="str">
        <f t="shared" si="141"/>
        <v>C19</v>
      </c>
      <c r="S1457" s="18">
        <f t="shared" si="142"/>
        <v>3.0829780634565669</v>
      </c>
      <c r="T1457" s="18">
        <f>S1457/Explications!$C$8</f>
        <v>0.10276593544855223</v>
      </c>
    </row>
    <row r="1458" spans="7:20">
      <c r="G1458" s="7" t="s">
        <v>35</v>
      </c>
      <c r="H1458" s="7" t="s">
        <v>48</v>
      </c>
      <c r="I1458" s="7">
        <v>46.785600000000002</v>
      </c>
      <c r="J1458" s="7">
        <v>-71.245500000000007</v>
      </c>
      <c r="K1458" s="7">
        <v>46.792299999999997</v>
      </c>
      <c r="L1458" s="7">
        <v>-71.172899999999998</v>
      </c>
      <c r="M1458" s="10" t="str">
        <f t="shared" si="137"/>
        <v>C19</v>
      </c>
      <c r="N1458" s="10" t="str">
        <f t="shared" si="138"/>
        <v>C32</v>
      </c>
      <c r="O1458" s="5">
        <f t="shared" si="139"/>
        <v>5.577295719654928</v>
      </c>
      <c r="P1458" s="22">
        <f>O1458/Explications!$C$8</f>
        <v>0.18590985732183093</v>
      </c>
      <c r="Q1458" s="7" t="str">
        <f t="shared" si="140"/>
        <v>C32</v>
      </c>
      <c r="R1458" s="7" t="str">
        <f t="shared" si="141"/>
        <v>C19</v>
      </c>
      <c r="S1458" s="18">
        <f t="shared" si="142"/>
        <v>5.577295719654928</v>
      </c>
      <c r="T1458" s="18">
        <f>S1458/Explications!$C$8</f>
        <v>0.18590985732183093</v>
      </c>
    </row>
    <row r="1459" spans="7:20">
      <c r="G1459" s="7" t="s">
        <v>35</v>
      </c>
      <c r="H1459" s="7" t="s">
        <v>49</v>
      </c>
      <c r="I1459" s="7">
        <v>46.785600000000002</v>
      </c>
      <c r="J1459" s="7">
        <v>-71.245500000000007</v>
      </c>
      <c r="K1459" s="7">
        <v>46.7883</v>
      </c>
      <c r="L1459" s="7">
        <v>-71.131200000000007</v>
      </c>
      <c r="M1459" s="10" t="str">
        <f t="shared" si="137"/>
        <v>C19</v>
      </c>
      <c r="N1459" s="10" t="str">
        <f t="shared" si="138"/>
        <v>C33</v>
      </c>
      <c r="O1459" s="5">
        <f t="shared" si="139"/>
        <v>8.7075927531999273</v>
      </c>
      <c r="P1459" s="22">
        <f>O1459/Explications!$C$8</f>
        <v>0.29025309177333092</v>
      </c>
      <c r="Q1459" s="7" t="str">
        <f t="shared" si="140"/>
        <v>C33</v>
      </c>
      <c r="R1459" s="7" t="str">
        <f t="shared" si="141"/>
        <v>C19</v>
      </c>
      <c r="S1459" s="18">
        <f t="shared" si="142"/>
        <v>8.7075927531999273</v>
      </c>
      <c r="T1459" s="18">
        <f>S1459/Explications!$C$8</f>
        <v>0.29025309177333092</v>
      </c>
    </row>
    <row r="1460" spans="7:20">
      <c r="G1460" s="7" t="s">
        <v>35</v>
      </c>
      <c r="H1460" s="7" t="s">
        <v>50</v>
      </c>
      <c r="I1460" s="7">
        <v>46.785600000000002</v>
      </c>
      <c r="J1460" s="7">
        <v>-71.245500000000007</v>
      </c>
      <c r="K1460" s="7">
        <v>46.8611</v>
      </c>
      <c r="L1460" s="7">
        <v>-71.268799999999999</v>
      </c>
      <c r="M1460" s="10" t="str">
        <f t="shared" si="137"/>
        <v>C19</v>
      </c>
      <c r="N1460" s="10" t="str">
        <f t="shared" si="138"/>
        <v>C34</v>
      </c>
      <c r="O1460" s="5">
        <f t="shared" si="139"/>
        <v>8.5803512082680804</v>
      </c>
      <c r="P1460" s="22">
        <f>O1460/Explications!$C$8</f>
        <v>0.28601170694226935</v>
      </c>
      <c r="Q1460" s="7" t="str">
        <f t="shared" si="140"/>
        <v>C34</v>
      </c>
      <c r="R1460" s="7" t="str">
        <f t="shared" si="141"/>
        <v>C19</v>
      </c>
      <c r="S1460" s="18">
        <f t="shared" si="142"/>
        <v>8.5803512082680804</v>
      </c>
      <c r="T1460" s="18">
        <f>S1460/Explications!$C$8</f>
        <v>0.28601170694226935</v>
      </c>
    </row>
    <row r="1461" spans="7:20">
      <c r="G1461" s="7" t="s">
        <v>35</v>
      </c>
      <c r="H1461" s="7" t="s">
        <v>51</v>
      </c>
      <c r="I1461" s="7">
        <v>46.785600000000002</v>
      </c>
      <c r="J1461" s="7">
        <v>-71.245500000000007</v>
      </c>
      <c r="K1461" s="7">
        <v>46.869700000000002</v>
      </c>
      <c r="L1461" s="7">
        <v>-71.205200000000005</v>
      </c>
      <c r="M1461" s="10" t="str">
        <f t="shared" si="137"/>
        <v>C19</v>
      </c>
      <c r="N1461" s="10" t="str">
        <f t="shared" si="138"/>
        <v>C35</v>
      </c>
      <c r="O1461" s="5">
        <f t="shared" si="139"/>
        <v>9.8412745940198718</v>
      </c>
      <c r="P1461" s="22">
        <f>O1461/Explications!$C$8</f>
        <v>0.32804248646732909</v>
      </c>
      <c r="Q1461" s="7" t="str">
        <f t="shared" si="140"/>
        <v>C35</v>
      </c>
      <c r="R1461" s="7" t="str">
        <f t="shared" si="141"/>
        <v>C19</v>
      </c>
      <c r="S1461" s="18">
        <f t="shared" si="142"/>
        <v>9.8412745940198718</v>
      </c>
      <c r="T1461" s="18">
        <f>S1461/Explications!$C$8</f>
        <v>0.32804248646732909</v>
      </c>
    </row>
    <row r="1462" spans="7:20">
      <c r="G1462" s="7" t="s">
        <v>35</v>
      </c>
      <c r="H1462" s="7" t="s">
        <v>52</v>
      </c>
      <c r="I1462" s="7">
        <v>46.785600000000002</v>
      </c>
      <c r="J1462" s="7">
        <v>-71.245500000000007</v>
      </c>
      <c r="K1462" s="7">
        <v>46.774099999999997</v>
      </c>
      <c r="L1462" s="7">
        <v>-71.174000000000007</v>
      </c>
      <c r="M1462" s="10" t="str">
        <f t="shared" si="137"/>
        <v>C19</v>
      </c>
      <c r="N1462" s="10" t="str">
        <f t="shared" si="138"/>
        <v>C36</v>
      </c>
      <c r="O1462" s="5">
        <f t="shared" si="139"/>
        <v>5.5926391983470491</v>
      </c>
      <c r="P1462" s="22">
        <f>O1462/Explications!$C$8</f>
        <v>0.1864213066115683</v>
      </c>
      <c r="Q1462" s="7" t="str">
        <f t="shared" si="140"/>
        <v>C36</v>
      </c>
      <c r="R1462" s="7" t="str">
        <f t="shared" si="141"/>
        <v>C19</v>
      </c>
      <c r="S1462" s="18">
        <f t="shared" si="142"/>
        <v>5.5926391983470491</v>
      </c>
      <c r="T1462" s="18">
        <f>S1462/Explications!$C$8</f>
        <v>0.1864213066115683</v>
      </c>
    </row>
    <row r="1463" spans="7:20">
      <c r="G1463" s="7" t="s">
        <v>35</v>
      </c>
      <c r="H1463" s="7" t="s">
        <v>53</v>
      </c>
      <c r="I1463" s="7">
        <v>46.785600000000002</v>
      </c>
      <c r="J1463" s="7">
        <v>-71.245500000000007</v>
      </c>
      <c r="K1463" s="7">
        <v>46.808500000000002</v>
      </c>
      <c r="L1463" s="7">
        <v>-71.326599999999999</v>
      </c>
      <c r="M1463" s="10" t="str">
        <f t="shared" si="137"/>
        <v>C19</v>
      </c>
      <c r="N1463" s="10" t="str">
        <f t="shared" si="138"/>
        <v>C37</v>
      </c>
      <c r="O1463" s="5">
        <f t="shared" si="139"/>
        <v>6.6780485725818579</v>
      </c>
      <c r="P1463" s="22">
        <f>O1463/Explications!$C$8</f>
        <v>0.22260161908606194</v>
      </c>
      <c r="Q1463" s="7" t="str">
        <f t="shared" si="140"/>
        <v>C37</v>
      </c>
      <c r="R1463" s="7" t="str">
        <f t="shared" si="141"/>
        <v>C19</v>
      </c>
      <c r="S1463" s="18">
        <f t="shared" si="142"/>
        <v>6.6780485725818579</v>
      </c>
      <c r="T1463" s="18">
        <f>S1463/Explications!$C$8</f>
        <v>0.22260161908606194</v>
      </c>
    </row>
    <row r="1464" spans="7:20">
      <c r="G1464" s="7" t="s">
        <v>35</v>
      </c>
      <c r="H1464" s="7" t="s">
        <v>54</v>
      </c>
      <c r="I1464" s="7">
        <v>46.785600000000002</v>
      </c>
      <c r="J1464" s="7">
        <v>-71.245500000000007</v>
      </c>
      <c r="K1464" s="7">
        <v>46.797499999999999</v>
      </c>
      <c r="L1464" s="7">
        <v>-71.306100000000001</v>
      </c>
      <c r="M1464" s="10" t="str">
        <f t="shared" si="137"/>
        <v>C19</v>
      </c>
      <c r="N1464" s="10" t="str">
        <f t="shared" si="138"/>
        <v>C38</v>
      </c>
      <c r="O1464" s="5">
        <f t="shared" si="139"/>
        <v>4.7994952318516386</v>
      </c>
      <c r="P1464" s="22">
        <f>O1464/Explications!$C$8</f>
        <v>0.15998317439505463</v>
      </c>
      <c r="Q1464" s="7" t="str">
        <f t="shared" si="140"/>
        <v>C38</v>
      </c>
      <c r="R1464" s="7" t="str">
        <f t="shared" si="141"/>
        <v>C19</v>
      </c>
      <c r="S1464" s="18">
        <f t="shared" si="142"/>
        <v>4.7994952318516386</v>
      </c>
      <c r="T1464" s="18">
        <f>S1464/Explications!$C$8</f>
        <v>0.15998317439505463</v>
      </c>
    </row>
    <row r="1465" spans="7:20">
      <c r="G1465" s="7" t="s">
        <v>35</v>
      </c>
      <c r="H1465" s="7" t="s">
        <v>55</v>
      </c>
      <c r="I1465" s="7">
        <v>46.785600000000002</v>
      </c>
      <c r="J1465" s="7">
        <v>-71.245500000000007</v>
      </c>
      <c r="K1465" s="7">
        <v>46.8155</v>
      </c>
      <c r="L1465" s="7">
        <v>-71.268199999999993</v>
      </c>
      <c r="M1465" s="10" t="str">
        <f t="shared" si="137"/>
        <v>C19</v>
      </c>
      <c r="N1465" s="10" t="str">
        <f t="shared" si="138"/>
        <v>C39</v>
      </c>
      <c r="O1465" s="5">
        <f t="shared" si="139"/>
        <v>3.746909976924325</v>
      </c>
      <c r="P1465" s="22">
        <f>O1465/Explications!$C$8</f>
        <v>0.12489699923081084</v>
      </c>
      <c r="Q1465" s="7" t="str">
        <f t="shared" si="140"/>
        <v>C39</v>
      </c>
      <c r="R1465" s="7" t="str">
        <f t="shared" si="141"/>
        <v>C19</v>
      </c>
      <c r="S1465" s="18">
        <f t="shared" si="142"/>
        <v>3.746909976924325</v>
      </c>
      <c r="T1465" s="18">
        <f>S1465/Explications!$C$8</f>
        <v>0.12489699923081084</v>
      </c>
    </row>
    <row r="1466" spans="7:20">
      <c r="G1466" s="7" t="s">
        <v>35</v>
      </c>
      <c r="H1466" s="7" t="s">
        <v>56</v>
      </c>
      <c r="I1466" s="7">
        <v>46.785600000000002</v>
      </c>
      <c r="J1466" s="7">
        <v>-71.245500000000007</v>
      </c>
      <c r="K1466" s="7">
        <v>46.866700000000002</v>
      </c>
      <c r="L1466" s="7">
        <v>-71.215900000000005</v>
      </c>
      <c r="M1466" s="10" t="str">
        <f t="shared" si="137"/>
        <v>C19</v>
      </c>
      <c r="N1466" s="10" t="str">
        <f t="shared" si="138"/>
        <v>C40</v>
      </c>
      <c r="O1466" s="5">
        <f t="shared" si="139"/>
        <v>9.2948472644778928</v>
      </c>
      <c r="P1466" s="22">
        <f>O1466/Explications!$C$8</f>
        <v>0.30982824214926308</v>
      </c>
      <c r="Q1466" s="7" t="str">
        <f t="shared" si="140"/>
        <v>C40</v>
      </c>
      <c r="R1466" s="7" t="str">
        <f t="shared" si="141"/>
        <v>C19</v>
      </c>
      <c r="S1466" s="18">
        <f t="shared" si="142"/>
        <v>9.2948472644778928</v>
      </c>
      <c r="T1466" s="18">
        <f>S1466/Explications!$C$8</f>
        <v>0.30982824214926308</v>
      </c>
    </row>
    <row r="1467" spans="7:20">
      <c r="G1467" s="7" t="s">
        <v>35</v>
      </c>
      <c r="H1467" s="7" t="s">
        <v>57</v>
      </c>
      <c r="I1467" s="7">
        <v>46.785600000000002</v>
      </c>
      <c r="J1467" s="7">
        <v>-71.245500000000007</v>
      </c>
      <c r="K1467" s="7">
        <v>46.762099999999997</v>
      </c>
      <c r="L1467" s="7">
        <v>-71.235399999999998</v>
      </c>
      <c r="M1467" s="10" t="str">
        <f t="shared" si="137"/>
        <v>C19</v>
      </c>
      <c r="N1467" s="10" t="str">
        <f t="shared" si="138"/>
        <v>C41</v>
      </c>
      <c r="O1467" s="5">
        <f t="shared" si="139"/>
        <v>2.7239326420970591</v>
      </c>
      <c r="P1467" s="22">
        <f>O1467/Explications!$C$8</f>
        <v>9.0797754736568634E-2</v>
      </c>
      <c r="Q1467" s="7" t="str">
        <f t="shared" si="140"/>
        <v>C41</v>
      </c>
      <c r="R1467" s="7" t="str">
        <f t="shared" si="141"/>
        <v>C19</v>
      </c>
      <c r="S1467" s="18">
        <f t="shared" si="142"/>
        <v>2.7239326420970591</v>
      </c>
      <c r="T1467" s="18">
        <f>S1467/Explications!$C$8</f>
        <v>9.0797754736568634E-2</v>
      </c>
    </row>
    <row r="1468" spans="7:20">
      <c r="G1468" s="7" t="s">
        <v>35</v>
      </c>
      <c r="H1468" s="7" t="s">
        <v>58</v>
      </c>
      <c r="I1468" s="7">
        <v>46.785600000000002</v>
      </c>
      <c r="J1468" s="7">
        <v>-71.245500000000007</v>
      </c>
      <c r="K1468" s="7">
        <v>46.8157</v>
      </c>
      <c r="L1468" s="7">
        <v>-71.2042</v>
      </c>
      <c r="M1468" s="10" t="str">
        <f t="shared" si="137"/>
        <v>C19</v>
      </c>
      <c r="N1468" s="10" t="str">
        <f t="shared" si="138"/>
        <v>C42</v>
      </c>
      <c r="O1468" s="5">
        <f t="shared" si="139"/>
        <v>4.5918052441135035</v>
      </c>
      <c r="P1468" s="22">
        <f>O1468/Explications!$C$8</f>
        <v>0.15306017480378345</v>
      </c>
      <c r="Q1468" s="7" t="str">
        <f t="shared" si="140"/>
        <v>C42</v>
      </c>
      <c r="R1468" s="7" t="str">
        <f t="shared" si="141"/>
        <v>C19</v>
      </c>
      <c r="S1468" s="18">
        <f t="shared" si="142"/>
        <v>4.5918052441135035</v>
      </c>
      <c r="T1468" s="18">
        <f>S1468/Explications!$C$8</f>
        <v>0.15306017480378345</v>
      </c>
    </row>
    <row r="1469" spans="7:20">
      <c r="G1469" s="7" t="s">
        <v>35</v>
      </c>
      <c r="H1469" s="7" t="s">
        <v>59</v>
      </c>
      <c r="I1469" s="7">
        <v>46.785600000000002</v>
      </c>
      <c r="J1469" s="7">
        <v>-71.245500000000007</v>
      </c>
      <c r="K1469" s="7">
        <v>46.707000000000001</v>
      </c>
      <c r="L1469" s="7">
        <v>-71.217100000000002</v>
      </c>
      <c r="M1469" s="10" t="str">
        <f t="shared" si="137"/>
        <v>C19</v>
      </c>
      <c r="N1469" s="10" t="str">
        <f t="shared" si="138"/>
        <v>C43</v>
      </c>
      <c r="O1469" s="5">
        <f t="shared" si="139"/>
        <v>9.0038179261879101</v>
      </c>
      <c r="P1469" s="22">
        <f>O1469/Explications!$C$8</f>
        <v>0.30012726420626368</v>
      </c>
      <c r="Q1469" s="7" t="str">
        <f t="shared" si="140"/>
        <v>C43</v>
      </c>
      <c r="R1469" s="7" t="str">
        <f t="shared" si="141"/>
        <v>C19</v>
      </c>
      <c r="S1469" s="18">
        <f t="shared" si="142"/>
        <v>9.0038179261879101</v>
      </c>
      <c r="T1469" s="18">
        <f>S1469/Explications!$C$8</f>
        <v>0.30012726420626368</v>
      </c>
    </row>
    <row r="1470" spans="7:20">
      <c r="G1470" s="7" t="s">
        <v>35</v>
      </c>
      <c r="H1470" s="7" t="s">
        <v>60</v>
      </c>
      <c r="I1470" s="7">
        <v>46.785600000000002</v>
      </c>
      <c r="J1470" s="7">
        <v>-71.245500000000007</v>
      </c>
      <c r="K1470" s="7">
        <v>46.802900000000001</v>
      </c>
      <c r="L1470" s="7">
        <v>-71.228899999999996</v>
      </c>
      <c r="M1470" s="10" t="str">
        <f t="shared" si="137"/>
        <v>C19</v>
      </c>
      <c r="N1470" s="10" t="str">
        <f t="shared" si="138"/>
        <v>C44</v>
      </c>
      <c r="O1470" s="5">
        <f t="shared" si="139"/>
        <v>2.3016176515076534</v>
      </c>
      <c r="P1470" s="22">
        <f>O1470/Explications!$C$8</f>
        <v>7.6720588383588445E-2</v>
      </c>
      <c r="Q1470" s="7" t="str">
        <f t="shared" si="140"/>
        <v>C44</v>
      </c>
      <c r="R1470" s="7" t="str">
        <f t="shared" si="141"/>
        <v>C19</v>
      </c>
      <c r="S1470" s="18">
        <f t="shared" si="142"/>
        <v>2.3016176515076534</v>
      </c>
      <c r="T1470" s="18">
        <f>S1470/Explications!$C$8</f>
        <v>7.6720588383588445E-2</v>
      </c>
    </row>
    <row r="1471" spans="7:20">
      <c r="G1471" s="7" t="s">
        <v>35</v>
      </c>
      <c r="H1471" s="7" t="s">
        <v>61</v>
      </c>
      <c r="I1471" s="7">
        <v>46.785600000000002</v>
      </c>
      <c r="J1471" s="7">
        <v>-71.245500000000007</v>
      </c>
      <c r="K1471" s="7">
        <v>46.796900000000001</v>
      </c>
      <c r="L1471" s="7">
        <v>-71.3078</v>
      </c>
      <c r="M1471" s="10" t="str">
        <f t="shared" si="137"/>
        <v>C19</v>
      </c>
      <c r="N1471" s="10" t="str">
        <f t="shared" si="138"/>
        <v>C45</v>
      </c>
      <c r="O1471" s="5">
        <f t="shared" si="139"/>
        <v>4.906547603773177</v>
      </c>
      <c r="P1471" s="22">
        <f>O1471/Explications!$C$8</f>
        <v>0.16355158679243922</v>
      </c>
      <c r="Q1471" s="7" t="str">
        <f t="shared" si="140"/>
        <v>C45</v>
      </c>
      <c r="R1471" s="7" t="str">
        <f t="shared" si="141"/>
        <v>C19</v>
      </c>
      <c r="S1471" s="18">
        <f t="shared" si="142"/>
        <v>4.906547603773177</v>
      </c>
      <c r="T1471" s="18">
        <f>S1471/Explications!$C$8</f>
        <v>0.16355158679243922</v>
      </c>
    </row>
    <row r="1472" spans="7:20">
      <c r="G1472" s="7" t="s">
        <v>35</v>
      </c>
      <c r="H1472" s="7" t="s">
        <v>62</v>
      </c>
      <c r="I1472" s="7">
        <v>46.785600000000002</v>
      </c>
      <c r="J1472" s="7">
        <v>-71.245500000000007</v>
      </c>
      <c r="K1472" s="7">
        <v>46.803600000000003</v>
      </c>
      <c r="L1472" s="7">
        <v>-71.231099999999998</v>
      </c>
      <c r="M1472" s="10" t="str">
        <f t="shared" si="137"/>
        <v>C19</v>
      </c>
      <c r="N1472" s="10" t="str">
        <f t="shared" si="138"/>
        <v>C46</v>
      </c>
      <c r="O1472" s="5">
        <f t="shared" si="139"/>
        <v>2.2820422404148357</v>
      </c>
      <c r="P1472" s="22">
        <f>O1472/Explications!$C$8</f>
        <v>7.6068074680494521E-2</v>
      </c>
      <c r="Q1472" s="7" t="str">
        <f t="shared" si="140"/>
        <v>C46</v>
      </c>
      <c r="R1472" s="7" t="str">
        <f t="shared" si="141"/>
        <v>C19</v>
      </c>
      <c r="S1472" s="18">
        <f t="shared" si="142"/>
        <v>2.2820422404148357</v>
      </c>
      <c r="T1472" s="18">
        <f>S1472/Explications!$C$8</f>
        <v>7.6068074680494521E-2</v>
      </c>
    </row>
    <row r="1473" spans="7:20">
      <c r="G1473" s="7" t="s">
        <v>35</v>
      </c>
      <c r="H1473" s="7" t="s">
        <v>63</v>
      </c>
      <c r="I1473" s="7">
        <v>46.785600000000002</v>
      </c>
      <c r="J1473" s="7">
        <v>-71.245500000000007</v>
      </c>
      <c r="K1473" s="7">
        <v>46.802399999999999</v>
      </c>
      <c r="L1473" s="7">
        <v>-71.269800000000004</v>
      </c>
      <c r="M1473" s="10" t="str">
        <f t="shared" si="137"/>
        <v>C19</v>
      </c>
      <c r="N1473" s="10" t="str">
        <f t="shared" si="138"/>
        <v>C47</v>
      </c>
      <c r="O1473" s="5">
        <f t="shared" si="139"/>
        <v>2.6290208445615622</v>
      </c>
      <c r="P1473" s="22">
        <f>O1473/Explications!$C$8</f>
        <v>8.7634028152052068E-2</v>
      </c>
      <c r="Q1473" s="7" t="str">
        <f t="shared" si="140"/>
        <v>C47</v>
      </c>
      <c r="R1473" s="7" t="str">
        <f t="shared" si="141"/>
        <v>C19</v>
      </c>
      <c r="S1473" s="18">
        <f t="shared" si="142"/>
        <v>2.6290208445615622</v>
      </c>
      <c r="T1473" s="18">
        <f>S1473/Explications!$C$8</f>
        <v>8.7634028152052068E-2</v>
      </c>
    </row>
    <row r="1474" spans="7:20">
      <c r="G1474" s="7" t="s">
        <v>35</v>
      </c>
      <c r="H1474" s="7" t="s">
        <v>64</v>
      </c>
      <c r="I1474" s="7">
        <v>46.785600000000002</v>
      </c>
      <c r="J1474" s="7">
        <v>-71.245500000000007</v>
      </c>
      <c r="K1474" s="7">
        <v>46.826799999999999</v>
      </c>
      <c r="L1474" s="7">
        <v>-71.224199999999996</v>
      </c>
      <c r="M1474" s="10" t="str">
        <f t="shared" si="137"/>
        <v>C19</v>
      </c>
      <c r="N1474" s="10" t="str">
        <f t="shared" si="138"/>
        <v>C48</v>
      </c>
      <c r="O1474" s="5">
        <f t="shared" si="139"/>
        <v>4.8596028115810492</v>
      </c>
      <c r="P1474" s="22">
        <f>O1474/Explications!$C$8</f>
        <v>0.16198676038603496</v>
      </c>
      <c r="Q1474" s="7" t="str">
        <f t="shared" si="140"/>
        <v>C48</v>
      </c>
      <c r="R1474" s="7" t="str">
        <f t="shared" si="141"/>
        <v>C19</v>
      </c>
      <c r="S1474" s="18">
        <f t="shared" si="142"/>
        <v>4.8596028115810492</v>
      </c>
      <c r="T1474" s="18">
        <f>S1474/Explications!$C$8</f>
        <v>0.16198676038603496</v>
      </c>
    </row>
    <row r="1475" spans="7:20">
      <c r="G1475" s="7" t="s">
        <v>35</v>
      </c>
      <c r="H1475" s="7" t="s">
        <v>65</v>
      </c>
      <c r="I1475" s="7">
        <v>46.785600000000002</v>
      </c>
      <c r="J1475" s="7">
        <v>-71.245500000000007</v>
      </c>
      <c r="K1475" s="7">
        <v>46.864100000000001</v>
      </c>
      <c r="L1475" s="7">
        <v>-71.255499999999998</v>
      </c>
      <c r="M1475" s="10" t="str">
        <f t="shared" si="137"/>
        <v>C19</v>
      </c>
      <c r="N1475" s="10" t="str">
        <f t="shared" si="138"/>
        <v>C49</v>
      </c>
      <c r="O1475" s="5">
        <f t="shared" si="139"/>
        <v>8.7618971558820036</v>
      </c>
      <c r="P1475" s="22">
        <f>O1475/Explications!$C$8</f>
        <v>0.29206323852940014</v>
      </c>
      <c r="Q1475" s="7" t="str">
        <f t="shared" si="140"/>
        <v>C49</v>
      </c>
      <c r="R1475" s="7" t="str">
        <f t="shared" si="141"/>
        <v>C19</v>
      </c>
      <c r="S1475" s="18">
        <f t="shared" si="142"/>
        <v>8.7618971558820036</v>
      </c>
      <c r="T1475" s="18">
        <f>S1475/Explications!$C$8</f>
        <v>0.29206323852940014</v>
      </c>
    </row>
    <row r="1476" spans="7:20">
      <c r="G1476" s="7" t="s">
        <v>35</v>
      </c>
      <c r="H1476" s="7" t="s">
        <v>66</v>
      </c>
      <c r="I1476" s="7">
        <v>46.785600000000002</v>
      </c>
      <c r="J1476" s="7">
        <v>-71.245500000000007</v>
      </c>
      <c r="K1476" s="7">
        <v>46.843800000000002</v>
      </c>
      <c r="L1476" s="7">
        <v>-71.247299999999996</v>
      </c>
      <c r="M1476" s="10" t="str">
        <f t="shared" ref="M1476:M1539" si="143">G1476</f>
        <v>C19</v>
      </c>
      <c r="N1476" s="10" t="str">
        <f t="shared" ref="N1476:N1539" si="144">H1476</f>
        <v>C50</v>
      </c>
      <c r="O1476" s="5">
        <f t="shared" ref="O1476:O1539" si="145">ACOS(SIN(RADIANS(I1476))*SIN(RADIANS(K1476))+COS(RADIANS(I1476))*COS(RADIANS(K1476))*COS(RADIANS(J1476-L1476)))*6371</f>
        <v>6.4729941624187575</v>
      </c>
      <c r="P1476" s="22">
        <f>O1476/Explications!$C$8</f>
        <v>0.21576647208062524</v>
      </c>
      <c r="Q1476" s="7" t="str">
        <f t="shared" ref="Q1476:Q1539" si="146">N1476</f>
        <v>C50</v>
      </c>
      <c r="R1476" s="7" t="str">
        <f t="shared" ref="R1476:R1539" si="147">M1476</f>
        <v>C19</v>
      </c>
      <c r="S1476" s="18">
        <f t="shared" ref="S1476:S1539" si="148">O1476</f>
        <v>6.4729941624187575</v>
      </c>
      <c r="T1476" s="18">
        <f>S1476/Explications!$C$8</f>
        <v>0.21576647208062524</v>
      </c>
    </row>
    <row r="1477" spans="7:20">
      <c r="G1477" s="7" t="s">
        <v>35</v>
      </c>
      <c r="H1477" s="7" t="s">
        <v>67</v>
      </c>
      <c r="I1477" s="7">
        <v>46.785600000000002</v>
      </c>
      <c r="J1477" s="7">
        <v>-71.245500000000007</v>
      </c>
      <c r="K1477" s="7">
        <v>46.765599999999999</v>
      </c>
      <c r="L1477" s="7">
        <v>-71.312100000000001</v>
      </c>
      <c r="M1477" s="10" t="str">
        <f t="shared" si="143"/>
        <v>C19</v>
      </c>
      <c r="N1477" s="10" t="str">
        <f t="shared" si="144"/>
        <v>C51</v>
      </c>
      <c r="O1477" s="5">
        <f t="shared" si="145"/>
        <v>5.5379198206856861</v>
      </c>
      <c r="P1477" s="22">
        <f>O1477/Explications!$C$8</f>
        <v>0.18459732735618953</v>
      </c>
      <c r="Q1477" s="7" t="str">
        <f t="shared" si="146"/>
        <v>C51</v>
      </c>
      <c r="R1477" s="7" t="str">
        <f t="shared" si="147"/>
        <v>C19</v>
      </c>
      <c r="S1477" s="18">
        <f t="shared" si="148"/>
        <v>5.5379198206856861</v>
      </c>
      <c r="T1477" s="18">
        <f>S1477/Explications!$C$8</f>
        <v>0.18459732735618953</v>
      </c>
    </row>
    <row r="1478" spans="7:20">
      <c r="G1478" s="7" t="s">
        <v>35</v>
      </c>
      <c r="H1478" s="7" t="s">
        <v>68</v>
      </c>
      <c r="I1478" s="7">
        <v>46.785600000000002</v>
      </c>
      <c r="J1478" s="7">
        <v>-71.245500000000007</v>
      </c>
      <c r="K1478" s="7">
        <v>46.787599999999998</v>
      </c>
      <c r="L1478" s="7">
        <v>-71.288600000000002</v>
      </c>
      <c r="M1478" s="10" t="str">
        <f t="shared" si="143"/>
        <v>C19</v>
      </c>
      <c r="N1478" s="10" t="str">
        <f t="shared" si="144"/>
        <v>C52</v>
      </c>
      <c r="O1478" s="5">
        <f t="shared" si="145"/>
        <v>3.2890369626010418</v>
      </c>
      <c r="P1478" s="22">
        <f>O1478/Explications!$C$8</f>
        <v>0.10963456542003473</v>
      </c>
      <c r="Q1478" s="7" t="str">
        <f t="shared" si="146"/>
        <v>C52</v>
      </c>
      <c r="R1478" s="7" t="str">
        <f t="shared" si="147"/>
        <v>C19</v>
      </c>
      <c r="S1478" s="18">
        <f t="shared" si="148"/>
        <v>3.2890369626010418</v>
      </c>
      <c r="T1478" s="18">
        <f>S1478/Explications!$C$8</f>
        <v>0.10963456542003473</v>
      </c>
    </row>
    <row r="1479" spans="7:20">
      <c r="G1479" s="7" t="s">
        <v>35</v>
      </c>
      <c r="H1479" s="7" t="s">
        <v>69</v>
      </c>
      <c r="I1479" s="7">
        <v>46.785600000000002</v>
      </c>
      <c r="J1479" s="7">
        <v>-71.245500000000007</v>
      </c>
      <c r="K1479" s="7">
        <v>46.764600000000002</v>
      </c>
      <c r="L1479" s="7">
        <v>-71.308300000000003</v>
      </c>
      <c r="M1479" s="10" t="str">
        <f t="shared" si="143"/>
        <v>C19</v>
      </c>
      <c r="N1479" s="10" t="str">
        <f t="shared" si="144"/>
        <v>C53</v>
      </c>
      <c r="O1479" s="5">
        <f t="shared" si="145"/>
        <v>5.3220597768186231</v>
      </c>
      <c r="P1479" s="22">
        <f>O1479/Explications!$C$8</f>
        <v>0.17740199256062078</v>
      </c>
      <c r="Q1479" s="7" t="str">
        <f t="shared" si="146"/>
        <v>C53</v>
      </c>
      <c r="R1479" s="7" t="str">
        <f t="shared" si="147"/>
        <v>C19</v>
      </c>
      <c r="S1479" s="18">
        <f t="shared" si="148"/>
        <v>5.3220597768186231</v>
      </c>
      <c r="T1479" s="18">
        <f>S1479/Explications!$C$8</f>
        <v>0.17740199256062078</v>
      </c>
    </row>
    <row r="1480" spans="7:20">
      <c r="G1480" s="7" t="s">
        <v>35</v>
      </c>
      <c r="H1480" s="7" t="s">
        <v>70</v>
      </c>
      <c r="I1480" s="7">
        <v>46.785600000000002</v>
      </c>
      <c r="J1480" s="7">
        <v>-71.245500000000007</v>
      </c>
      <c r="K1480" s="7">
        <v>46.849699999999999</v>
      </c>
      <c r="L1480" s="7">
        <v>-71.097399999999993</v>
      </c>
      <c r="M1480" s="10" t="str">
        <f t="shared" si="143"/>
        <v>C19</v>
      </c>
      <c r="N1480" s="10" t="str">
        <f t="shared" si="144"/>
        <v>C54</v>
      </c>
      <c r="O1480" s="5">
        <f t="shared" si="145"/>
        <v>13.334238874029985</v>
      </c>
      <c r="P1480" s="22">
        <f>O1480/Explications!$C$8</f>
        <v>0.44447462913433283</v>
      </c>
      <c r="Q1480" s="7" t="str">
        <f t="shared" si="146"/>
        <v>C54</v>
      </c>
      <c r="R1480" s="7" t="str">
        <f t="shared" si="147"/>
        <v>C19</v>
      </c>
      <c r="S1480" s="18">
        <f t="shared" si="148"/>
        <v>13.334238874029985</v>
      </c>
      <c r="T1480" s="18">
        <f>S1480/Explications!$C$8</f>
        <v>0.44447462913433283</v>
      </c>
    </row>
    <row r="1481" spans="7:20">
      <c r="G1481" s="7" t="s">
        <v>35</v>
      </c>
      <c r="H1481" s="7" t="s">
        <v>71</v>
      </c>
      <c r="I1481" s="7">
        <v>46.785600000000002</v>
      </c>
      <c r="J1481" s="7">
        <v>-71.245500000000007</v>
      </c>
      <c r="K1481" s="7">
        <v>46.788899999999998</v>
      </c>
      <c r="L1481" s="7">
        <v>-71.321399999999997</v>
      </c>
      <c r="M1481" s="10" t="str">
        <f t="shared" si="143"/>
        <v>C19</v>
      </c>
      <c r="N1481" s="10" t="str">
        <f t="shared" si="144"/>
        <v>C55</v>
      </c>
      <c r="O1481" s="5">
        <f t="shared" si="145"/>
        <v>5.7903759520149709</v>
      </c>
      <c r="P1481" s="22">
        <f>O1481/Explications!$C$8</f>
        <v>0.19301253173383237</v>
      </c>
      <c r="Q1481" s="7" t="str">
        <f t="shared" si="146"/>
        <v>C55</v>
      </c>
      <c r="R1481" s="7" t="str">
        <f t="shared" si="147"/>
        <v>C19</v>
      </c>
      <c r="S1481" s="18">
        <f t="shared" si="148"/>
        <v>5.7903759520149709</v>
      </c>
      <c r="T1481" s="18">
        <f>S1481/Explications!$C$8</f>
        <v>0.19301253173383237</v>
      </c>
    </row>
    <row r="1482" spans="7:20">
      <c r="G1482" s="7" t="s">
        <v>35</v>
      </c>
      <c r="H1482" s="7" t="s">
        <v>72</v>
      </c>
      <c r="I1482" s="7">
        <v>46.785600000000002</v>
      </c>
      <c r="J1482" s="7">
        <v>-71.245500000000007</v>
      </c>
      <c r="K1482" s="7">
        <v>46.795400000000001</v>
      </c>
      <c r="L1482" s="7">
        <v>-71.232600000000005</v>
      </c>
      <c r="M1482" s="10" t="str">
        <f t="shared" si="143"/>
        <v>C19</v>
      </c>
      <c r="N1482" s="10" t="str">
        <f t="shared" si="144"/>
        <v>C56</v>
      </c>
      <c r="O1482" s="5">
        <f t="shared" si="145"/>
        <v>1.4669643388858304</v>
      </c>
      <c r="P1482" s="22">
        <f>O1482/Explications!$C$8</f>
        <v>4.8898811296194347E-2</v>
      </c>
      <c r="Q1482" s="7" t="str">
        <f t="shared" si="146"/>
        <v>C56</v>
      </c>
      <c r="R1482" s="7" t="str">
        <f t="shared" si="147"/>
        <v>C19</v>
      </c>
      <c r="S1482" s="18">
        <f t="shared" si="148"/>
        <v>1.4669643388858304</v>
      </c>
      <c r="T1482" s="18">
        <f>S1482/Explications!$C$8</f>
        <v>4.8898811296194347E-2</v>
      </c>
    </row>
    <row r="1483" spans="7:20">
      <c r="G1483" s="7" t="s">
        <v>35</v>
      </c>
      <c r="H1483" s="7" t="s">
        <v>73</v>
      </c>
      <c r="I1483" s="7">
        <v>46.785600000000002</v>
      </c>
      <c r="J1483" s="7">
        <v>-71.245500000000007</v>
      </c>
      <c r="K1483" s="7">
        <v>46.801200000000001</v>
      </c>
      <c r="L1483" s="7">
        <v>-71.224999999999994</v>
      </c>
      <c r="M1483" s="10" t="str">
        <f t="shared" si="143"/>
        <v>C19</v>
      </c>
      <c r="N1483" s="10" t="str">
        <f t="shared" si="144"/>
        <v>C57</v>
      </c>
      <c r="O1483" s="5">
        <f t="shared" si="145"/>
        <v>2.3333440003562145</v>
      </c>
      <c r="P1483" s="22">
        <f>O1483/Explications!$C$8</f>
        <v>7.7778133345207154E-2</v>
      </c>
      <c r="Q1483" s="7" t="str">
        <f t="shared" si="146"/>
        <v>C57</v>
      </c>
      <c r="R1483" s="7" t="str">
        <f t="shared" si="147"/>
        <v>C19</v>
      </c>
      <c r="S1483" s="18">
        <f t="shared" si="148"/>
        <v>2.3333440003562145</v>
      </c>
      <c r="T1483" s="18">
        <f>S1483/Explications!$C$8</f>
        <v>7.7778133345207154E-2</v>
      </c>
    </row>
    <row r="1484" spans="7:20">
      <c r="G1484" s="7" t="s">
        <v>35</v>
      </c>
      <c r="H1484" s="7" t="s">
        <v>74</v>
      </c>
      <c r="I1484" s="7">
        <v>46.785600000000002</v>
      </c>
      <c r="J1484" s="7">
        <v>-71.245500000000007</v>
      </c>
      <c r="K1484" s="7">
        <v>46.773200000000003</v>
      </c>
      <c r="L1484" s="7">
        <v>-71.275899999999993</v>
      </c>
      <c r="M1484" s="10" t="str">
        <f t="shared" si="143"/>
        <v>C19</v>
      </c>
      <c r="N1484" s="10" t="str">
        <f t="shared" si="144"/>
        <v>C58</v>
      </c>
      <c r="O1484" s="5">
        <f t="shared" si="145"/>
        <v>2.6944009908278757</v>
      </c>
      <c r="P1484" s="22">
        <f>O1484/Explications!$C$8</f>
        <v>8.9813366360929195E-2</v>
      </c>
      <c r="Q1484" s="7" t="str">
        <f t="shared" si="146"/>
        <v>C58</v>
      </c>
      <c r="R1484" s="7" t="str">
        <f t="shared" si="147"/>
        <v>C19</v>
      </c>
      <c r="S1484" s="18">
        <f t="shared" si="148"/>
        <v>2.6944009908278757</v>
      </c>
      <c r="T1484" s="18">
        <f>S1484/Explications!$C$8</f>
        <v>8.9813366360929195E-2</v>
      </c>
    </row>
    <row r="1485" spans="7:20">
      <c r="G1485" s="7" t="s">
        <v>35</v>
      </c>
      <c r="H1485" s="7" t="s">
        <v>75</v>
      </c>
      <c r="I1485" s="7">
        <v>46.785600000000002</v>
      </c>
      <c r="J1485" s="7">
        <v>-71.245500000000007</v>
      </c>
      <c r="K1485" s="7">
        <v>46.814399999999999</v>
      </c>
      <c r="L1485" s="7">
        <v>-71.225700000000003</v>
      </c>
      <c r="M1485" s="10" t="str">
        <f t="shared" si="143"/>
        <v>C19</v>
      </c>
      <c r="N1485" s="10" t="str">
        <f t="shared" si="144"/>
        <v>C59</v>
      </c>
      <c r="O1485" s="5">
        <f t="shared" si="145"/>
        <v>3.5393395540626074</v>
      </c>
      <c r="P1485" s="22">
        <f>O1485/Explications!$C$8</f>
        <v>0.11797798513542025</v>
      </c>
      <c r="Q1485" s="7" t="str">
        <f t="shared" si="146"/>
        <v>C59</v>
      </c>
      <c r="R1485" s="7" t="str">
        <f t="shared" si="147"/>
        <v>C19</v>
      </c>
      <c r="S1485" s="18">
        <f t="shared" si="148"/>
        <v>3.5393395540626074</v>
      </c>
      <c r="T1485" s="18">
        <f>S1485/Explications!$C$8</f>
        <v>0.11797798513542025</v>
      </c>
    </row>
    <row r="1486" spans="7:20">
      <c r="G1486" s="7" t="s">
        <v>35</v>
      </c>
      <c r="H1486" s="7" t="s">
        <v>76</v>
      </c>
      <c r="I1486" s="7">
        <v>46.785600000000002</v>
      </c>
      <c r="J1486" s="7">
        <v>-71.245500000000007</v>
      </c>
      <c r="K1486" s="7">
        <v>46.772500000000001</v>
      </c>
      <c r="L1486" s="7">
        <v>-71.276300000000006</v>
      </c>
      <c r="M1486" s="10" t="str">
        <f t="shared" si="143"/>
        <v>C19</v>
      </c>
      <c r="N1486" s="10" t="str">
        <f t="shared" si="144"/>
        <v>C60</v>
      </c>
      <c r="O1486" s="5">
        <f t="shared" si="145"/>
        <v>2.7608904860317454</v>
      </c>
      <c r="P1486" s="22">
        <f>O1486/Explications!$C$8</f>
        <v>9.2029682867724852E-2</v>
      </c>
      <c r="Q1486" s="7" t="str">
        <f t="shared" si="146"/>
        <v>C60</v>
      </c>
      <c r="R1486" s="7" t="str">
        <f t="shared" si="147"/>
        <v>C19</v>
      </c>
      <c r="S1486" s="18">
        <f t="shared" si="148"/>
        <v>2.7608904860317454</v>
      </c>
      <c r="T1486" s="18">
        <f>S1486/Explications!$C$8</f>
        <v>9.2029682867724852E-2</v>
      </c>
    </row>
    <row r="1487" spans="7:20">
      <c r="G1487" s="7" t="s">
        <v>35</v>
      </c>
      <c r="H1487" s="7" t="s">
        <v>77</v>
      </c>
      <c r="I1487" s="7">
        <v>46.785600000000002</v>
      </c>
      <c r="J1487" s="7">
        <v>-71.245500000000007</v>
      </c>
      <c r="K1487" s="7">
        <v>46.810899999999997</v>
      </c>
      <c r="L1487" s="7">
        <v>-71.215599999999995</v>
      </c>
      <c r="M1487" s="10" t="str">
        <f t="shared" si="143"/>
        <v>C19</v>
      </c>
      <c r="N1487" s="10" t="str">
        <f t="shared" si="144"/>
        <v>C61</v>
      </c>
      <c r="O1487" s="5">
        <f t="shared" si="145"/>
        <v>3.6186296395077413</v>
      </c>
      <c r="P1487" s="22">
        <f>O1487/Explications!$C$8</f>
        <v>0.12062098798359137</v>
      </c>
      <c r="Q1487" s="7" t="str">
        <f t="shared" si="146"/>
        <v>C61</v>
      </c>
      <c r="R1487" s="7" t="str">
        <f t="shared" si="147"/>
        <v>C19</v>
      </c>
      <c r="S1487" s="18">
        <f t="shared" si="148"/>
        <v>3.6186296395077413</v>
      </c>
      <c r="T1487" s="18">
        <f>S1487/Explications!$C$8</f>
        <v>0.12062098798359137</v>
      </c>
    </row>
    <row r="1488" spans="7:20">
      <c r="G1488" s="7" t="s">
        <v>35</v>
      </c>
      <c r="H1488" s="7" t="s">
        <v>78</v>
      </c>
      <c r="I1488" s="7">
        <v>46.785600000000002</v>
      </c>
      <c r="J1488" s="7">
        <v>-71.245500000000007</v>
      </c>
      <c r="K1488" s="7">
        <v>46.795200000000001</v>
      </c>
      <c r="L1488" s="7">
        <v>-71.245099999999994</v>
      </c>
      <c r="M1488" s="10" t="str">
        <f t="shared" si="143"/>
        <v>C19</v>
      </c>
      <c r="N1488" s="10" t="str">
        <f t="shared" si="144"/>
        <v>C62</v>
      </c>
      <c r="O1488" s="5">
        <f t="shared" si="145"/>
        <v>1.0679055839744971</v>
      </c>
      <c r="P1488" s="22">
        <f>O1488/Explications!$C$8</f>
        <v>3.5596852799149904E-2</v>
      </c>
      <c r="Q1488" s="7" t="str">
        <f t="shared" si="146"/>
        <v>C62</v>
      </c>
      <c r="R1488" s="7" t="str">
        <f t="shared" si="147"/>
        <v>C19</v>
      </c>
      <c r="S1488" s="18">
        <f t="shared" si="148"/>
        <v>1.0679055839744971</v>
      </c>
      <c r="T1488" s="18">
        <f>S1488/Explications!$C$8</f>
        <v>3.5596852799149904E-2</v>
      </c>
    </row>
    <row r="1489" spans="7:20">
      <c r="G1489" s="7" t="s">
        <v>35</v>
      </c>
      <c r="H1489" s="7" t="s">
        <v>79</v>
      </c>
      <c r="I1489" s="7">
        <v>46.785600000000002</v>
      </c>
      <c r="J1489" s="7">
        <v>-71.245500000000007</v>
      </c>
      <c r="K1489" s="7">
        <v>46.822000000000003</v>
      </c>
      <c r="L1489" s="7">
        <v>-71.345699999999994</v>
      </c>
      <c r="M1489" s="10" t="str">
        <f t="shared" si="143"/>
        <v>C19</v>
      </c>
      <c r="N1489" s="10" t="str">
        <f t="shared" si="144"/>
        <v>C63</v>
      </c>
      <c r="O1489" s="5">
        <f t="shared" si="145"/>
        <v>8.6339867162945421</v>
      </c>
      <c r="P1489" s="22">
        <f>O1489/Explications!$C$8</f>
        <v>0.28779955720981809</v>
      </c>
      <c r="Q1489" s="7" t="str">
        <f t="shared" si="146"/>
        <v>C63</v>
      </c>
      <c r="R1489" s="7" t="str">
        <f t="shared" si="147"/>
        <v>C19</v>
      </c>
      <c r="S1489" s="18">
        <f t="shared" si="148"/>
        <v>8.6339867162945421</v>
      </c>
      <c r="T1489" s="18">
        <f>S1489/Explications!$C$8</f>
        <v>0.28779955720981809</v>
      </c>
    </row>
    <row r="1490" spans="7:20">
      <c r="G1490" s="7" t="s">
        <v>35</v>
      </c>
      <c r="H1490" s="7" t="s">
        <v>80</v>
      </c>
      <c r="I1490" s="7">
        <v>46.785600000000002</v>
      </c>
      <c r="J1490" s="7">
        <v>-71.245500000000007</v>
      </c>
      <c r="K1490" s="7">
        <v>46.779400000000003</v>
      </c>
      <c r="L1490" s="7">
        <v>-71.350399999999993</v>
      </c>
      <c r="M1490" s="10" t="str">
        <f t="shared" si="143"/>
        <v>C19</v>
      </c>
      <c r="N1490" s="10" t="str">
        <f t="shared" si="144"/>
        <v>C64</v>
      </c>
      <c r="O1490" s="5">
        <f t="shared" si="145"/>
        <v>8.0170885701918451</v>
      </c>
      <c r="P1490" s="22">
        <f>O1490/Explications!$C$8</f>
        <v>0.26723628567306151</v>
      </c>
      <c r="Q1490" s="7" t="str">
        <f t="shared" si="146"/>
        <v>C64</v>
      </c>
      <c r="R1490" s="7" t="str">
        <f t="shared" si="147"/>
        <v>C19</v>
      </c>
      <c r="S1490" s="18">
        <f t="shared" si="148"/>
        <v>8.0170885701918451</v>
      </c>
      <c r="T1490" s="18">
        <f>S1490/Explications!$C$8</f>
        <v>0.26723628567306151</v>
      </c>
    </row>
    <row r="1491" spans="7:20">
      <c r="G1491" s="7" t="s">
        <v>35</v>
      </c>
      <c r="H1491" s="7" t="s">
        <v>81</v>
      </c>
      <c r="I1491" s="7">
        <v>46.785600000000002</v>
      </c>
      <c r="J1491" s="7">
        <v>-71.245500000000007</v>
      </c>
      <c r="K1491" s="7">
        <v>46.772300000000001</v>
      </c>
      <c r="L1491" s="7">
        <v>-71.279799999999994</v>
      </c>
      <c r="M1491" s="10" t="str">
        <f t="shared" si="143"/>
        <v>C19</v>
      </c>
      <c r="N1491" s="10" t="str">
        <f t="shared" si="144"/>
        <v>C65</v>
      </c>
      <c r="O1491" s="5">
        <f t="shared" si="145"/>
        <v>3.0015013639169519</v>
      </c>
      <c r="P1491" s="22">
        <f>O1491/Explications!$C$8</f>
        <v>0.1000500454638984</v>
      </c>
      <c r="Q1491" s="7" t="str">
        <f t="shared" si="146"/>
        <v>C65</v>
      </c>
      <c r="R1491" s="7" t="str">
        <f t="shared" si="147"/>
        <v>C19</v>
      </c>
      <c r="S1491" s="18">
        <f t="shared" si="148"/>
        <v>3.0015013639169519</v>
      </c>
      <c r="T1491" s="18">
        <f>S1491/Explications!$C$8</f>
        <v>0.1000500454638984</v>
      </c>
    </row>
    <row r="1492" spans="7:20">
      <c r="G1492" s="7" t="s">
        <v>35</v>
      </c>
      <c r="H1492" s="7" t="s">
        <v>82</v>
      </c>
      <c r="I1492" s="7">
        <v>46.785600000000002</v>
      </c>
      <c r="J1492" s="7">
        <v>-71.245500000000007</v>
      </c>
      <c r="K1492" s="7">
        <v>46.814900000000002</v>
      </c>
      <c r="L1492" s="7">
        <v>-71.225200000000001</v>
      </c>
      <c r="M1492" s="10" t="str">
        <f t="shared" si="143"/>
        <v>C19</v>
      </c>
      <c r="N1492" s="10" t="str">
        <f t="shared" si="144"/>
        <v>C66</v>
      </c>
      <c r="O1492" s="5">
        <f t="shared" si="145"/>
        <v>3.6058639363198752</v>
      </c>
      <c r="P1492" s="22">
        <f>O1492/Explications!$C$8</f>
        <v>0.12019546454399584</v>
      </c>
      <c r="Q1492" s="7" t="str">
        <f t="shared" si="146"/>
        <v>C66</v>
      </c>
      <c r="R1492" s="7" t="str">
        <f t="shared" si="147"/>
        <v>C19</v>
      </c>
      <c r="S1492" s="18">
        <f t="shared" si="148"/>
        <v>3.6058639363198752</v>
      </c>
      <c r="T1492" s="18">
        <f>S1492/Explications!$C$8</f>
        <v>0.12019546454399584</v>
      </c>
    </row>
    <row r="1493" spans="7:20">
      <c r="G1493" s="7" t="s">
        <v>35</v>
      </c>
      <c r="H1493" s="7" t="s">
        <v>83</v>
      </c>
      <c r="I1493" s="7">
        <v>46.785600000000002</v>
      </c>
      <c r="J1493" s="7">
        <v>-71.245500000000007</v>
      </c>
      <c r="K1493" s="7">
        <v>46.814700000000002</v>
      </c>
      <c r="L1493" s="7">
        <v>-71.207300000000004</v>
      </c>
      <c r="M1493" s="10" t="str">
        <f t="shared" si="143"/>
        <v>C19</v>
      </c>
      <c r="N1493" s="10" t="str">
        <f t="shared" si="144"/>
        <v>C67</v>
      </c>
      <c r="O1493" s="5">
        <f t="shared" si="145"/>
        <v>4.3502844607478472</v>
      </c>
      <c r="P1493" s="22">
        <f>O1493/Explications!$C$8</f>
        <v>0.14500948202492825</v>
      </c>
      <c r="Q1493" s="7" t="str">
        <f t="shared" si="146"/>
        <v>C67</v>
      </c>
      <c r="R1493" s="7" t="str">
        <f t="shared" si="147"/>
        <v>C19</v>
      </c>
      <c r="S1493" s="18">
        <f t="shared" si="148"/>
        <v>4.3502844607478472</v>
      </c>
      <c r="T1493" s="18">
        <f>S1493/Explications!$C$8</f>
        <v>0.14500948202492825</v>
      </c>
    </row>
    <row r="1494" spans="7:20">
      <c r="G1494" s="7" t="s">
        <v>35</v>
      </c>
      <c r="H1494" s="7" t="s">
        <v>84</v>
      </c>
      <c r="I1494" s="7">
        <v>46.785600000000002</v>
      </c>
      <c r="J1494" s="7">
        <v>-71.245500000000007</v>
      </c>
      <c r="K1494" s="7">
        <v>46.815600000000003</v>
      </c>
      <c r="L1494" s="7">
        <v>-71.2029</v>
      </c>
      <c r="M1494" s="10" t="str">
        <f t="shared" si="143"/>
        <v>C19</v>
      </c>
      <c r="N1494" s="10" t="str">
        <f t="shared" si="144"/>
        <v>C68</v>
      </c>
      <c r="O1494" s="5">
        <f t="shared" si="145"/>
        <v>4.6521305807294357</v>
      </c>
      <c r="P1494" s="22">
        <f>O1494/Explications!$C$8</f>
        <v>0.15507101935764786</v>
      </c>
      <c r="Q1494" s="7" t="str">
        <f t="shared" si="146"/>
        <v>C68</v>
      </c>
      <c r="R1494" s="7" t="str">
        <f t="shared" si="147"/>
        <v>C19</v>
      </c>
      <c r="S1494" s="18">
        <f t="shared" si="148"/>
        <v>4.6521305807294357</v>
      </c>
      <c r="T1494" s="18">
        <f>S1494/Explications!$C$8</f>
        <v>0.15507101935764786</v>
      </c>
    </row>
    <row r="1495" spans="7:20">
      <c r="G1495" s="7" t="s">
        <v>35</v>
      </c>
      <c r="H1495" s="7" t="s">
        <v>85</v>
      </c>
      <c r="I1495" s="7">
        <v>46.785600000000002</v>
      </c>
      <c r="J1495" s="7">
        <v>-71.245500000000007</v>
      </c>
      <c r="K1495" s="7">
        <v>46.821899999999999</v>
      </c>
      <c r="L1495" s="7">
        <v>-71.249899999999997</v>
      </c>
      <c r="M1495" s="10" t="str">
        <f t="shared" si="143"/>
        <v>C19</v>
      </c>
      <c r="N1495" s="10" t="str">
        <f t="shared" si="144"/>
        <v>C69</v>
      </c>
      <c r="O1495" s="5">
        <f t="shared" si="145"/>
        <v>4.0502451296445514</v>
      </c>
      <c r="P1495" s="22">
        <f>O1495/Explications!$C$8</f>
        <v>0.13500817098815171</v>
      </c>
      <c r="Q1495" s="7" t="str">
        <f t="shared" si="146"/>
        <v>C69</v>
      </c>
      <c r="R1495" s="7" t="str">
        <f t="shared" si="147"/>
        <v>C19</v>
      </c>
      <c r="S1495" s="18">
        <f t="shared" si="148"/>
        <v>4.0502451296445514</v>
      </c>
      <c r="T1495" s="18">
        <f>S1495/Explications!$C$8</f>
        <v>0.13500817098815171</v>
      </c>
    </row>
    <row r="1496" spans="7:20">
      <c r="G1496" s="7" t="s">
        <v>35</v>
      </c>
      <c r="H1496" s="7" t="s">
        <v>86</v>
      </c>
      <c r="I1496" s="7">
        <v>46.785600000000002</v>
      </c>
      <c r="J1496" s="7">
        <v>-71.245500000000007</v>
      </c>
      <c r="K1496" s="7">
        <v>46.8872</v>
      </c>
      <c r="L1496" s="7">
        <v>-71.27</v>
      </c>
      <c r="M1496" s="10" t="str">
        <f t="shared" si="143"/>
        <v>C19</v>
      </c>
      <c r="N1496" s="10" t="str">
        <f t="shared" si="144"/>
        <v>C70</v>
      </c>
      <c r="O1496" s="5">
        <f t="shared" si="145"/>
        <v>11.450086178806199</v>
      </c>
      <c r="P1496" s="22">
        <f>O1496/Explications!$C$8</f>
        <v>0.38166953929353997</v>
      </c>
      <c r="Q1496" s="7" t="str">
        <f t="shared" si="146"/>
        <v>C70</v>
      </c>
      <c r="R1496" s="7" t="str">
        <f t="shared" si="147"/>
        <v>C19</v>
      </c>
      <c r="S1496" s="18">
        <f t="shared" si="148"/>
        <v>11.450086178806199</v>
      </c>
      <c r="T1496" s="18">
        <f>S1496/Explications!$C$8</f>
        <v>0.38166953929353997</v>
      </c>
    </row>
    <row r="1497" spans="7:20">
      <c r="G1497" s="7" t="s">
        <v>35</v>
      </c>
      <c r="H1497" s="7" t="s">
        <v>87</v>
      </c>
      <c r="I1497" s="7">
        <v>46.785600000000002</v>
      </c>
      <c r="J1497" s="7">
        <v>-71.245500000000007</v>
      </c>
      <c r="K1497" s="7">
        <v>46.816299999999998</v>
      </c>
      <c r="L1497" s="7">
        <v>-71.210300000000004</v>
      </c>
      <c r="M1497" s="10" t="str">
        <f t="shared" si="143"/>
        <v>C19</v>
      </c>
      <c r="N1497" s="10" t="str">
        <f t="shared" si="144"/>
        <v>C71</v>
      </c>
      <c r="O1497" s="5">
        <f t="shared" si="145"/>
        <v>4.3395797767921254</v>
      </c>
      <c r="P1497" s="22">
        <f>O1497/Explications!$C$8</f>
        <v>0.14465265922640419</v>
      </c>
      <c r="Q1497" s="7" t="str">
        <f t="shared" si="146"/>
        <v>C71</v>
      </c>
      <c r="R1497" s="7" t="str">
        <f t="shared" si="147"/>
        <v>C19</v>
      </c>
      <c r="S1497" s="18">
        <f t="shared" si="148"/>
        <v>4.3395797767921254</v>
      </c>
      <c r="T1497" s="18">
        <f>S1497/Explications!$C$8</f>
        <v>0.14465265922640419</v>
      </c>
    </row>
    <row r="1498" spans="7:20">
      <c r="G1498" s="7" t="s">
        <v>35</v>
      </c>
      <c r="H1498" s="7" t="s">
        <v>88</v>
      </c>
      <c r="I1498" s="7">
        <v>46.785600000000002</v>
      </c>
      <c r="J1498" s="7">
        <v>-71.245500000000007</v>
      </c>
      <c r="K1498" s="7">
        <v>46.807000000000002</v>
      </c>
      <c r="L1498" s="7">
        <v>-71.3566</v>
      </c>
      <c r="M1498" s="10" t="str">
        <f t="shared" si="143"/>
        <v>C19</v>
      </c>
      <c r="N1498" s="10" t="str">
        <f t="shared" si="144"/>
        <v>C72</v>
      </c>
      <c r="O1498" s="5">
        <f t="shared" si="145"/>
        <v>8.7856947253106341</v>
      </c>
      <c r="P1498" s="22">
        <f>O1498/Explications!$C$8</f>
        <v>0.29285649084368781</v>
      </c>
      <c r="Q1498" s="7" t="str">
        <f t="shared" si="146"/>
        <v>C72</v>
      </c>
      <c r="R1498" s="7" t="str">
        <f t="shared" si="147"/>
        <v>C19</v>
      </c>
      <c r="S1498" s="18">
        <f t="shared" si="148"/>
        <v>8.7856947253106341</v>
      </c>
      <c r="T1498" s="18">
        <f>S1498/Explications!$C$8</f>
        <v>0.29285649084368781</v>
      </c>
    </row>
    <row r="1499" spans="7:20">
      <c r="G1499" s="7" t="s">
        <v>35</v>
      </c>
      <c r="H1499" s="7" t="s">
        <v>89</v>
      </c>
      <c r="I1499" s="7">
        <v>46.785600000000002</v>
      </c>
      <c r="J1499" s="7">
        <v>-71.245500000000007</v>
      </c>
      <c r="K1499" s="7">
        <v>46.822899999999997</v>
      </c>
      <c r="L1499" s="7">
        <v>-71.341899999999995</v>
      </c>
      <c r="M1499" s="10" t="str">
        <f t="shared" si="143"/>
        <v>C19</v>
      </c>
      <c r="N1499" s="10" t="str">
        <f t="shared" si="144"/>
        <v>C73</v>
      </c>
      <c r="O1499" s="5">
        <f t="shared" si="145"/>
        <v>8.4283450726705524</v>
      </c>
      <c r="P1499" s="22">
        <f>O1499/Explications!$C$8</f>
        <v>0.28094483575568507</v>
      </c>
      <c r="Q1499" s="7" t="str">
        <f t="shared" si="146"/>
        <v>C73</v>
      </c>
      <c r="R1499" s="7" t="str">
        <f t="shared" si="147"/>
        <v>C19</v>
      </c>
      <c r="S1499" s="18">
        <f t="shared" si="148"/>
        <v>8.4283450726705524</v>
      </c>
      <c r="T1499" s="18">
        <f>S1499/Explications!$C$8</f>
        <v>0.28094483575568507</v>
      </c>
    </row>
    <row r="1500" spans="7:20">
      <c r="G1500" s="7" t="s">
        <v>35</v>
      </c>
      <c r="H1500" s="7" t="s">
        <v>90</v>
      </c>
      <c r="I1500" s="7">
        <v>46.785600000000002</v>
      </c>
      <c r="J1500" s="7">
        <v>-71.245500000000007</v>
      </c>
      <c r="K1500" s="7">
        <v>46.730699999999999</v>
      </c>
      <c r="L1500" s="7">
        <v>-71.261099999999999</v>
      </c>
      <c r="M1500" s="10" t="str">
        <f t="shared" si="143"/>
        <v>C19</v>
      </c>
      <c r="N1500" s="10" t="str">
        <f t="shared" si="144"/>
        <v>C74</v>
      </c>
      <c r="O1500" s="5">
        <f t="shared" si="145"/>
        <v>6.2191940005163282</v>
      </c>
      <c r="P1500" s="22">
        <f>O1500/Explications!$C$8</f>
        <v>0.20730646668387762</v>
      </c>
      <c r="Q1500" s="7" t="str">
        <f t="shared" si="146"/>
        <v>C74</v>
      </c>
      <c r="R1500" s="7" t="str">
        <f t="shared" si="147"/>
        <v>C19</v>
      </c>
      <c r="S1500" s="18">
        <f t="shared" si="148"/>
        <v>6.2191940005163282</v>
      </c>
      <c r="T1500" s="18">
        <f>S1500/Explications!$C$8</f>
        <v>0.20730646668387762</v>
      </c>
    </row>
    <row r="1501" spans="7:20">
      <c r="G1501" s="7" t="s">
        <v>35</v>
      </c>
      <c r="H1501" s="7" t="s">
        <v>91</v>
      </c>
      <c r="I1501" s="7">
        <v>46.785600000000002</v>
      </c>
      <c r="J1501" s="7">
        <v>-71.245500000000007</v>
      </c>
      <c r="K1501" s="7">
        <v>46.840600000000002</v>
      </c>
      <c r="L1501" s="7">
        <v>-71.289100000000005</v>
      </c>
      <c r="M1501" s="10" t="str">
        <f t="shared" si="143"/>
        <v>C19</v>
      </c>
      <c r="N1501" s="10" t="str">
        <f t="shared" si="144"/>
        <v>C75</v>
      </c>
      <c r="O1501" s="5">
        <f t="shared" si="145"/>
        <v>6.9577863252279535</v>
      </c>
      <c r="P1501" s="22">
        <f>O1501/Explications!$C$8</f>
        <v>0.23192621084093179</v>
      </c>
      <c r="Q1501" s="7" t="str">
        <f t="shared" si="146"/>
        <v>C75</v>
      </c>
      <c r="R1501" s="7" t="str">
        <f t="shared" si="147"/>
        <v>C19</v>
      </c>
      <c r="S1501" s="18">
        <f t="shared" si="148"/>
        <v>6.9577863252279535</v>
      </c>
      <c r="T1501" s="18">
        <f>S1501/Explications!$C$8</f>
        <v>0.23192621084093179</v>
      </c>
    </row>
    <row r="1502" spans="7:20">
      <c r="G1502" s="7" t="s">
        <v>35</v>
      </c>
      <c r="H1502" s="7" t="s">
        <v>92</v>
      </c>
      <c r="I1502" s="7">
        <v>46.785600000000002</v>
      </c>
      <c r="J1502" s="7">
        <v>-71.245500000000007</v>
      </c>
      <c r="K1502" s="7">
        <v>46.840600000000002</v>
      </c>
      <c r="L1502" s="7">
        <v>-71.281599999999997</v>
      </c>
      <c r="M1502" s="10" t="str">
        <f t="shared" si="143"/>
        <v>C19</v>
      </c>
      <c r="N1502" s="10" t="str">
        <f t="shared" si="144"/>
        <v>C76</v>
      </c>
      <c r="O1502" s="5">
        <f t="shared" si="145"/>
        <v>6.7044112132168383</v>
      </c>
      <c r="P1502" s="22">
        <f>O1502/Explications!$C$8</f>
        <v>0.2234803737738946</v>
      </c>
      <c r="Q1502" s="7" t="str">
        <f t="shared" si="146"/>
        <v>C76</v>
      </c>
      <c r="R1502" s="7" t="str">
        <f t="shared" si="147"/>
        <v>C19</v>
      </c>
      <c r="S1502" s="18">
        <f t="shared" si="148"/>
        <v>6.7044112132168383</v>
      </c>
      <c r="T1502" s="18">
        <f>S1502/Explications!$C$8</f>
        <v>0.2234803737738946</v>
      </c>
    </row>
    <row r="1503" spans="7:20">
      <c r="G1503" s="7" t="s">
        <v>35</v>
      </c>
      <c r="H1503" s="7" t="s">
        <v>93</v>
      </c>
      <c r="I1503" s="7">
        <v>46.785600000000002</v>
      </c>
      <c r="J1503" s="7">
        <v>-71.245500000000007</v>
      </c>
      <c r="K1503" s="7">
        <v>46.839399999999998</v>
      </c>
      <c r="L1503" s="7">
        <v>-71.282600000000002</v>
      </c>
      <c r="M1503" s="10" t="str">
        <f t="shared" si="143"/>
        <v>C19</v>
      </c>
      <c r="N1503" s="10" t="str">
        <f t="shared" si="144"/>
        <v>C77</v>
      </c>
      <c r="O1503" s="5">
        <f t="shared" si="145"/>
        <v>6.6150536998970964</v>
      </c>
      <c r="P1503" s="22">
        <f>O1503/Explications!$C$8</f>
        <v>0.22050178999656989</v>
      </c>
      <c r="Q1503" s="7" t="str">
        <f t="shared" si="146"/>
        <v>C77</v>
      </c>
      <c r="R1503" s="7" t="str">
        <f t="shared" si="147"/>
        <v>C19</v>
      </c>
      <c r="S1503" s="18">
        <f t="shared" si="148"/>
        <v>6.6150536998970964</v>
      </c>
      <c r="T1503" s="18">
        <f>S1503/Explications!$C$8</f>
        <v>0.22050178999656989</v>
      </c>
    </row>
    <row r="1504" spans="7:20">
      <c r="G1504" s="7" t="s">
        <v>35</v>
      </c>
      <c r="H1504" s="7" t="s">
        <v>94</v>
      </c>
      <c r="I1504" s="7">
        <v>46.785600000000002</v>
      </c>
      <c r="J1504" s="7">
        <v>-71.245500000000007</v>
      </c>
      <c r="K1504" s="7">
        <v>46.788499999999999</v>
      </c>
      <c r="L1504" s="7">
        <v>-71.282399999999996</v>
      </c>
      <c r="M1504" s="10" t="str">
        <f t="shared" si="143"/>
        <v>C19</v>
      </c>
      <c r="N1504" s="10" t="str">
        <f t="shared" si="144"/>
        <v>C78</v>
      </c>
      <c r="O1504" s="5">
        <f t="shared" si="145"/>
        <v>2.8278818565687232</v>
      </c>
      <c r="P1504" s="22">
        <f>O1504/Explications!$C$8</f>
        <v>9.4262728552290773E-2</v>
      </c>
      <c r="Q1504" s="7" t="str">
        <f t="shared" si="146"/>
        <v>C78</v>
      </c>
      <c r="R1504" s="7" t="str">
        <f t="shared" si="147"/>
        <v>C19</v>
      </c>
      <c r="S1504" s="18">
        <f t="shared" si="148"/>
        <v>2.8278818565687232</v>
      </c>
      <c r="T1504" s="18">
        <f>S1504/Explications!$C$8</f>
        <v>9.4262728552290773E-2</v>
      </c>
    </row>
    <row r="1505" spans="7:20">
      <c r="G1505" s="7" t="s">
        <v>35</v>
      </c>
      <c r="H1505" s="7" t="s">
        <v>95</v>
      </c>
      <c r="I1505" s="7">
        <v>46.785600000000002</v>
      </c>
      <c r="J1505" s="7">
        <v>-71.245500000000007</v>
      </c>
      <c r="K1505" s="7">
        <v>46.840699999999998</v>
      </c>
      <c r="L1505" s="7">
        <v>-71.325400000000002</v>
      </c>
      <c r="M1505" s="10" t="str">
        <f t="shared" si="143"/>
        <v>C19</v>
      </c>
      <c r="N1505" s="10" t="str">
        <f t="shared" si="144"/>
        <v>C79</v>
      </c>
      <c r="O1505" s="5">
        <f t="shared" si="145"/>
        <v>8.631852230978053</v>
      </c>
      <c r="P1505" s="22">
        <f>O1505/Explications!$C$8</f>
        <v>0.28772840769926844</v>
      </c>
      <c r="Q1505" s="7" t="str">
        <f t="shared" si="146"/>
        <v>C79</v>
      </c>
      <c r="R1505" s="7" t="str">
        <f t="shared" si="147"/>
        <v>C19</v>
      </c>
      <c r="S1505" s="18">
        <f t="shared" si="148"/>
        <v>8.631852230978053</v>
      </c>
      <c r="T1505" s="18">
        <f>S1505/Explications!$C$8</f>
        <v>0.28772840769926844</v>
      </c>
    </row>
    <row r="1506" spans="7:20">
      <c r="G1506" s="7" t="s">
        <v>35</v>
      </c>
      <c r="H1506" s="7" t="s">
        <v>96</v>
      </c>
      <c r="I1506" s="7">
        <v>46.785600000000002</v>
      </c>
      <c r="J1506" s="7">
        <v>-71.245500000000007</v>
      </c>
      <c r="K1506" s="7">
        <v>46.798400000000001</v>
      </c>
      <c r="L1506" s="7">
        <v>-71.183199999999999</v>
      </c>
      <c r="M1506" s="10" t="str">
        <f t="shared" si="143"/>
        <v>C19</v>
      </c>
      <c r="N1506" s="10" t="str">
        <f t="shared" si="144"/>
        <v>C80</v>
      </c>
      <c r="O1506" s="5">
        <f t="shared" si="145"/>
        <v>4.9518231197662228</v>
      </c>
      <c r="P1506" s="22">
        <f>O1506/Explications!$C$8</f>
        <v>0.16506077065887409</v>
      </c>
      <c r="Q1506" s="7" t="str">
        <f t="shared" si="146"/>
        <v>C80</v>
      </c>
      <c r="R1506" s="7" t="str">
        <f t="shared" si="147"/>
        <v>C19</v>
      </c>
      <c r="S1506" s="18">
        <f t="shared" si="148"/>
        <v>4.9518231197662228</v>
      </c>
      <c r="T1506" s="18">
        <f>S1506/Explications!$C$8</f>
        <v>0.16506077065887409</v>
      </c>
    </row>
    <row r="1507" spans="7:20">
      <c r="G1507" s="7" t="s">
        <v>35</v>
      </c>
      <c r="H1507" s="7" t="s">
        <v>97</v>
      </c>
      <c r="I1507" s="7">
        <v>46.785600000000002</v>
      </c>
      <c r="J1507" s="7">
        <v>-71.245500000000007</v>
      </c>
      <c r="K1507" s="7">
        <v>46.724800000000002</v>
      </c>
      <c r="L1507" s="7">
        <v>-71.2988</v>
      </c>
      <c r="M1507" s="10" t="str">
        <f t="shared" si="143"/>
        <v>C19</v>
      </c>
      <c r="N1507" s="10" t="str">
        <f t="shared" si="144"/>
        <v>C81</v>
      </c>
      <c r="O1507" s="5">
        <f t="shared" si="145"/>
        <v>7.8863083779700673</v>
      </c>
      <c r="P1507" s="22">
        <f>O1507/Explications!$C$8</f>
        <v>0.26287694593233557</v>
      </c>
      <c r="Q1507" s="7" t="str">
        <f t="shared" si="146"/>
        <v>C81</v>
      </c>
      <c r="R1507" s="7" t="str">
        <f t="shared" si="147"/>
        <v>C19</v>
      </c>
      <c r="S1507" s="18">
        <f t="shared" si="148"/>
        <v>7.8863083779700673</v>
      </c>
      <c r="T1507" s="18">
        <f>S1507/Explications!$C$8</f>
        <v>0.26287694593233557</v>
      </c>
    </row>
    <row r="1508" spans="7:20">
      <c r="G1508" s="7" t="s">
        <v>35</v>
      </c>
      <c r="H1508" s="7" t="s">
        <v>98</v>
      </c>
      <c r="I1508" s="7">
        <v>46.785600000000002</v>
      </c>
      <c r="J1508" s="7">
        <v>-71.245500000000007</v>
      </c>
      <c r="K1508" s="7">
        <v>46.795499999999997</v>
      </c>
      <c r="L1508" s="7">
        <v>-71.242900000000006</v>
      </c>
      <c r="M1508" s="10" t="str">
        <f t="shared" si="143"/>
        <v>C19</v>
      </c>
      <c r="N1508" s="10" t="str">
        <f t="shared" si="144"/>
        <v>C82</v>
      </c>
      <c r="O1508" s="5">
        <f t="shared" si="145"/>
        <v>1.1184843431308646</v>
      </c>
      <c r="P1508" s="22">
        <f>O1508/Explications!$C$8</f>
        <v>3.728281143769549E-2</v>
      </c>
      <c r="Q1508" s="7" t="str">
        <f t="shared" si="146"/>
        <v>C82</v>
      </c>
      <c r="R1508" s="7" t="str">
        <f t="shared" si="147"/>
        <v>C19</v>
      </c>
      <c r="S1508" s="18">
        <f t="shared" si="148"/>
        <v>1.1184843431308646</v>
      </c>
      <c r="T1508" s="18">
        <f>S1508/Explications!$C$8</f>
        <v>3.728281143769549E-2</v>
      </c>
    </row>
    <row r="1509" spans="7:20">
      <c r="G1509" s="7" t="s">
        <v>35</v>
      </c>
      <c r="H1509" s="7" t="s">
        <v>99</v>
      </c>
      <c r="I1509" s="7">
        <v>46.785600000000002</v>
      </c>
      <c r="J1509" s="7">
        <v>-71.245500000000007</v>
      </c>
      <c r="K1509" s="7">
        <v>46.8157</v>
      </c>
      <c r="L1509" s="7">
        <v>-71.201899999999995</v>
      </c>
      <c r="M1509" s="10" t="str">
        <f t="shared" si="143"/>
        <v>C19</v>
      </c>
      <c r="N1509" s="10" t="str">
        <f t="shared" si="144"/>
        <v>C83</v>
      </c>
      <c r="O1509" s="5">
        <f t="shared" si="145"/>
        <v>4.7133891638568208</v>
      </c>
      <c r="P1509" s="22">
        <f>O1509/Explications!$C$8</f>
        <v>0.15711297212856071</v>
      </c>
      <c r="Q1509" s="7" t="str">
        <f t="shared" si="146"/>
        <v>C83</v>
      </c>
      <c r="R1509" s="7" t="str">
        <f t="shared" si="147"/>
        <v>C19</v>
      </c>
      <c r="S1509" s="18">
        <f t="shared" si="148"/>
        <v>4.7133891638568208</v>
      </c>
      <c r="T1509" s="18">
        <f>S1509/Explications!$C$8</f>
        <v>0.15711297212856071</v>
      </c>
    </row>
    <row r="1510" spans="7:20">
      <c r="G1510" s="7" t="s">
        <v>35</v>
      </c>
      <c r="H1510" s="7" t="s">
        <v>100</v>
      </c>
      <c r="I1510" s="7">
        <v>46.785600000000002</v>
      </c>
      <c r="J1510" s="7">
        <v>-71.245500000000007</v>
      </c>
      <c r="K1510" s="7">
        <v>46.837600000000002</v>
      </c>
      <c r="L1510" s="7">
        <v>-71.196299999999994</v>
      </c>
      <c r="M1510" s="10" t="str">
        <f t="shared" si="143"/>
        <v>C19</v>
      </c>
      <c r="N1510" s="10" t="str">
        <f t="shared" si="144"/>
        <v>C84</v>
      </c>
      <c r="O1510" s="5">
        <f t="shared" si="145"/>
        <v>6.8885538804250146</v>
      </c>
      <c r="P1510" s="22">
        <f>O1510/Explications!$C$8</f>
        <v>0.22961846268083383</v>
      </c>
      <c r="Q1510" s="7" t="str">
        <f t="shared" si="146"/>
        <v>C84</v>
      </c>
      <c r="R1510" s="7" t="str">
        <f t="shared" si="147"/>
        <v>C19</v>
      </c>
      <c r="S1510" s="18">
        <f t="shared" si="148"/>
        <v>6.8885538804250146</v>
      </c>
      <c r="T1510" s="18">
        <f>S1510/Explications!$C$8</f>
        <v>0.22961846268083383</v>
      </c>
    </row>
    <row r="1511" spans="7:20">
      <c r="G1511" s="7" t="s">
        <v>35</v>
      </c>
      <c r="H1511" s="7" t="s">
        <v>101</v>
      </c>
      <c r="I1511" s="7">
        <v>46.785600000000002</v>
      </c>
      <c r="J1511" s="7">
        <v>-71.245500000000007</v>
      </c>
      <c r="K1511" s="7">
        <v>46.7988</v>
      </c>
      <c r="L1511" s="7">
        <v>-71.318200000000004</v>
      </c>
      <c r="M1511" s="10" t="str">
        <f t="shared" si="143"/>
        <v>C19</v>
      </c>
      <c r="N1511" s="10" t="str">
        <f t="shared" si="144"/>
        <v>C85</v>
      </c>
      <c r="O1511" s="5">
        <f t="shared" si="145"/>
        <v>5.7259123540241896</v>
      </c>
      <c r="P1511" s="22">
        <f>O1511/Explications!$C$8</f>
        <v>0.19086374513413965</v>
      </c>
      <c r="Q1511" s="7" t="str">
        <f t="shared" si="146"/>
        <v>C85</v>
      </c>
      <c r="R1511" s="7" t="str">
        <f t="shared" si="147"/>
        <v>C19</v>
      </c>
      <c r="S1511" s="18">
        <f t="shared" si="148"/>
        <v>5.7259123540241896</v>
      </c>
      <c r="T1511" s="18">
        <f>S1511/Explications!$C$8</f>
        <v>0.19086374513413965</v>
      </c>
    </row>
    <row r="1512" spans="7:20">
      <c r="G1512" s="7" t="s">
        <v>36</v>
      </c>
      <c r="H1512" s="7" t="s">
        <v>37</v>
      </c>
      <c r="I1512" s="7">
        <v>46.8215</v>
      </c>
      <c r="J1512" s="7">
        <v>-71.355400000000003</v>
      </c>
      <c r="K1512" s="7">
        <v>46.8093</v>
      </c>
      <c r="L1512" s="7">
        <v>-71.2273</v>
      </c>
      <c r="M1512" s="10" t="str">
        <f t="shared" si="143"/>
        <v>C20</v>
      </c>
      <c r="N1512" s="10" t="str">
        <f t="shared" si="144"/>
        <v>C21</v>
      </c>
      <c r="O1512" s="5">
        <f t="shared" si="145"/>
        <v>9.8418863821239899</v>
      </c>
      <c r="P1512" s="22">
        <f>O1512/Explications!$C$8</f>
        <v>0.32806287940413298</v>
      </c>
      <c r="Q1512" s="7" t="str">
        <f t="shared" si="146"/>
        <v>C21</v>
      </c>
      <c r="R1512" s="7" t="str">
        <f t="shared" si="147"/>
        <v>C20</v>
      </c>
      <c r="S1512" s="18">
        <f t="shared" si="148"/>
        <v>9.8418863821239899</v>
      </c>
      <c r="T1512" s="18">
        <f>S1512/Explications!$C$8</f>
        <v>0.32806287940413298</v>
      </c>
    </row>
    <row r="1513" spans="7:20">
      <c r="G1513" s="7" t="s">
        <v>36</v>
      </c>
      <c r="H1513" s="7" t="s">
        <v>38</v>
      </c>
      <c r="I1513" s="7">
        <v>46.8215</v>
      </c>
      <c r="J1513" s="7">
        <v>-71.355400000000003</v>
      </c>
      <c r="K1513" s="7">
        <v>46.781300000000002</v>
      </c>
      <c r="L1513" s="7">
        <v>-71.301000000000002</v>
      </c>
      <c r="M1513" s="10" t="str">
        <f t="shared" si="143"/>
        <v>C20</v>
      </c>
      <c r="N1513" s="10" t="str">
        <f t="shared" si="144"/>
        <v>C22</v>
      </c>
      <c r="O1513" s="5">
        <f t="shared" si="145"/>
        <v>6.0931752224934437</v>
      </c>
      <c r="P1513" s="22">
        <f>O1513/Explications!$C$8</f>
        <v>0.20310584074978147</v>
      </c>
      <c r="Q1513" s="7" t="str">
        <f t="shared" si="146"/>
        <v>C22</v>
      </c>
      <c r="R1513" s="7" t="str">
        <f t="shared" si="147"/>
        <v>C20</v>
      </c>
      <c r="S1513" s="18">
        <f t="shared" si="148"/>
        <v>6.0931752224934437</v>
      </c>
      <c r="T1513" s="18">
        <f>S1513/Explications!$C$8</f>
        <v>0.20310584074978147</v>
      </c>
    </row>
    <row r="1514" spans="7:20">
      <c r="G1514" s="7" t="s">
        <v>36</v>
      </c>
      <c r="H1514" s="7" t="s">
        <v>39</v>
      </c>
      <c r="I1514" s="7">
        <v>46.8215</v>
      </c>
      <c r="J1514" s="7">
        <v>-71.355400000000003</v>
      </c>
      <c r="K1514" s="7">
        <v>46.844900000000003</v>
      </c>
      <c r="L1514" s="7">
        <v>-71.251400000000004</v>
      </c>
      <c r="M1514" s="10" t="str">
        <f t="shared" si="143"/>
        <v>C20</v>
      </c>
      <c r="N1514" s="10" t="str">
        <f t="shared" si="144"/>
        <v>C23</v>
      </c>
      <c r="O1514" s="5">
        <f t="shared" si="145"/>
        <v>8.3282944584783856</v>
      </c>
      <c r="P1514" s="22">
        <f>O1514/Explications!$C$8</f>
        <v>0.27760981528261286</v>
      </c>
      <c r="Q1514" s="7" t="str">
        <f t="shared" si="146"/>
        <v>C23</v>
      </c>
      <c r="R1514" s="7" t="str">
        <f t="shared" si="147"/>
        <v>C20</v>
      </c>
      <c r="S1514" s="18">
        <f t="shared" si="148"/>
        <v>8.3282944584783856</v>
      </c>
      <c r="T1514" s="18">
        <f>S1514/Explications!$C$8</f>
        <v>0.27760981528261286</v>
      </c>
    </row>
    <row r="1515" spans="7:20">
      <c r="G1515" s="7" t="s">
        <v>36</v>
      </c>
      <c r="H1515" s="7" t="s">
        <v>40</v>
      </c>
      <c r="I1515" s="7">
        <v>46.8215</v>
      </c>
      <c r="J1515" s="7">
        <v>-71.355400000000003</v>
      </c>
      <c r="K1515" s="7">
        <v>46.805500000000002</v>
      </c>
      <c r="L1515" s="7">
        <v>-71.2196</v>
      </c>
      <c r="M1515" s="10" t="str">
        <f t="shared" si="143"/>
        <v>C20</v>
      </c>
      <c r="N1515" s="10" t="str">
        <f t="shared" si="144"/>
        <v>C24</v>
      </c>
      <c r="O1515" s="5">
        <f t="shared" si="145"/>
        <v>10.48627760514184</v>
      </c>
      <c r="P1515" s="22">
        <f>O1515/Explications!$C$8</f>
        <v>0.34954258683806133</v>
      </c>
      <c r="Q1515" s="7" t="str">
        <f t="shared" si="146"/>
        <v>C24</v>
      </c>
      <c r="R1515" s="7" t="str">
        <f t="shared" si="147"/>
        <v>C20</v>
      </c>
      <c r="S1515" s="18">
        <f t="shared" si="148"/>
        <v>10.48627760514184</v>
      </c>
      <c r="T1515" s="18">
        <f>S1515/Explications!$C$8</f>
        <v>0.34954258683806133</v>
      </c>
    </row>
    <row r="1516" spans="7:20">
      <c r="G1516" s="7" t="s">
        <v>36</v>
      </c>
      <c r="H1516" s="7" t="s">
        <v>41</v>
      </c>
      <c r="I1516" s="7">
        <v>46.8215</v>
      </c>
      <c r="J1516" s="7">
        <v>-71.355400000000003</v>
      </c>
      <c r="K1516" s="7">
        <v>46.734900000000003</v>
      </c>
      <c r="L1516" s="7">
        <v>-71.266199999999998</v>
      </c>
      <c r="M1516" s="10" t="str">
        <f t="shared" si="143"/>
        <v>C20</v>
      </c>
      <c r="N1516" s="10" t="str">
        <f t="shared" si="144"/>
        <v>C25</v>
      </c>
      <c r="O1516" s="5">
        <f t="shared" si="145"/>
        <v>11.784090378590339</v>
      </c>
      <c r="P1516" s="22">
        <f>O1516/Explications!$C$8</f>
        <v>0.39280301261967793</v>
      </c>
      <c r="Q1516" s="7" t="str">
        <f t="shared" si="146"/>
        <v>C25</v>
      </c>
      <c r="R1516" s="7" t="str">
        <f t="shared" si="147"/>
        <v>C20</v>
      </c>
      <c r="S1516" s="18">
        <f t="shared" si="148"/>
        <v>11.784090378590339</v>
      </c>
      <c r="T1516" s="18">
        <f>S1516/Explications!$C$8</f>
        <v>0.39280301261967793</v>
      </c>
    </row>
    <row r="1517" spans="7:20">
      <c r="G1517" s="7" t="s">
        <v>36</v>
      </c>
      <c r="H1517" s="7" t="s">
        <v>42</v>
      </c>
      <c r="I1517" s="7">
        <v>46.8215</v>
      </c>
      <c r="J1517" s="7">
        <v>-71.355400000000003</v>
      </c>
      <c r="K1517" s="7">
        <v>46.817700000000002</v>
      </c>
      <c r="L1517" s="7">
        <v>-71.214100000000002</v>
      </c>
      <c r="M1517" s="10" t="str">
        <f t="shared" si="143"/>
        <v>C20</v>
      </c>
      <c r="N1517" s="10" t="str">
        <f t="shared" si="144"/>
        <v>C26</v>
      </c>
      <c r="O1517" s="5">
        <f t="shared" si="145"/>
        <v>10.759876410667692</v>
      </c>
      <c r="P1517" s="22">
        <f>O1517/Explications!$C$8</f>
        <v>0.35866254702225642</v>
      </c>
      <c r="Q1517" s="7" t="str">
        <f t="shared" si="146"/>
        <v>C26</v>
      </c>
      <c r="R1517" s="7" t="str">
        <f t="shared" si="147"/>
        <v>C20</v>
      </c>
      <c r="S1517" s="18">
        <f t="shared" si="148"/>
        <v>10.759876410667692</v>
      </c>
      <c r="T1517" s="18">
        <f>S1517/Explications!$C$8</f>
        <v>0.35866254702225642</v>
      </c>
    </row>
    <row r="1518" spans="7:20">
      <c r="G1518" s="7" t="s">
        <v>36</v>
      </c>
      <c r="H1518" s="7" t="s">
        <v>43</v>
      </c>
      <c r="I1518" s="7">
        <v>46.8215</v>
      </c>
      <c r="J1518" s="7">
        <v>-71.355400000000003</v>
      </c>
      <c r="K1518" s="7">
        <v>46.603000000000002</v>
      </c>
      <c r="L1518" s="7">
        <v>-71.490600000000001</v>
      </c>
      <c r="M1518" s="10" t="str">
        <f t="shared" si="143"/>
        <v>C20</v>
      </c>
      <c r="N1518" s="10" t="str">
        <f t="shared" si="144"/>
        <v>C27</v>
      </c>
      <c r="O1518" s="5">
        <f t="shared" si="145"/>
        <v>26.392295453023561</v>
      </c>
      <c r="P1518" s="22">
        <f>O1518/Explications!$C$8</f>
        <v>0.87974318176745203</v>
      </c>
      <c r="Q1518" s="7" t="str">
        <f t="shared" si="146"/>
        <v>C27</v>
      </c>
      <c r="R1518" s="7" t="str">
        <f t="shared" si="147"/>
        <v>C20</v>
      </c>
      <c r="S1518" s="18">
        <f t="shared" si="148"/>
        <v>26.392295453023561</v>
      </c>
      <c r="T1518" s="18">
        <f>S1518/Explications!$C$8</f>
        <v>0.87974318176745203</v>
      </c>
    </row>
    <row r="1519" spans="7:20">
      <c r="G1519" s="7" t="s">
        <v>36</v>
      </c>
      <c r="H1519" s="7" t="s">
        <v>44</v>
      </c>
      <c r="I1519" s="7">
        <v>46.8215</v>
      </c>
      <c r="J1519" s="7">
        <v>-71.355400000000003</v>
      </c>
      <c r="K1519" s="7">
        <v>47.000500000000002</v>
      </c>
      <c r="L1519" s="7">
        <v>-71.388400000000004</v>
      </c>
      <c r="M1519" s="10" t="str">
        <f t="shared" si="143"/>
        <v>C20</v>
      </c>
      <c r="N1519" s="10" t="str">
        <f t="shared" si="144"/>
        <v>C28</v>
      </c>
      <c r="O1519" s="5">
        <f t="shared" si="145"/>
        <v>20.061119035342344</v>
      </c>
      <c r="P1519" s="22">
        <f>O1519/Explications!$C$8</f>
        <v>0.66870396784474484</v>
      </c>
      <c r="Q1519" s="7" t="str">
        <f t="shared" si="146"/>
        <v>C28</v>
      </c>
      <c r="R1519" s="7" t="str">
        <f t="shared" si="147"/>
        <v>C20</v>
      </c>
      <c r="S1519" s="18">
        <f t="shared" si="148"/>
        <v>20.061119035342344</v>
      </c>
      <c r="T1519" s="18">
        <f>S1519/Explications!$C$8</f>
        <v>0.66870396784474484</v>
      </c>
    </row>
    <row r="1520" spans="7:20">
      <c r="G1520" s="7" t="s">
        <v>36</v>
      </c>
      <c r="H1520" s="7" t="s">
        <v>45</v>
      </c>
      <c r="I1520" s="7">
        <v>46.8215</v>
      </c>
      <c r="J1520" s="7">
        <v>-71.355400000000003</v>
      </c>
      <c r="K1520" s="7">
        <v>46.839100000000002</v>
      </c>
      <c r="L1520" s="7">
        <v>-71.245699999999999</v>
      </c>
      <c r="M1520" s="10" t="str">
        <f t="shared" si="143"/>
        <v>C20</v>
      </c>
      <c r="N1520" s="10" t="str">
        <f t="shared" si="144"/>
        <v>C29</v>
      </c>
      <c r="O1520" s="5">
        <f t="shared" si="145"/>
        <v>8.5718518345051198</v>
      </c>
      <c r="P1520" s="22">
        <f>O1520/Explications!$C$8</f>
        <v>0.28572839448350401</v>
      </c>
      <c r="Q1520" s="7" t="str">
        <f t="shared" si="146"/>
        <v>C29</v>
      </c>
      <c r="R1520" s="7" t="str">
        <f t="shared" si="147"/>
        <v>C20</v>
      </c>
      <c r="S1520" s="18">
        <f t="shared" si="148"/>
        <v>8.5718518345051198</v>
      </c>
      <c r="T1520" s="18">
        <f>S1520/Explications!$C$8</f>
        <v>0.28572839448350401</v>
      </c>
    </row>
    <row r="1521" spans="7:20">
      <c r="G1521" s="7" t="s">
        <v>36</v>
      </c>
      <c r="H1521" s="7" t="s">
        <v>46</v>
      </c>
      <c r="I1521" s="7">
        <v>46.8215</v>
      </c>
      <c r="J1521" s="7">
        <v>-71.355400000000003</v>
      </c>
      <c r="K1521" s="7">
        <v>46.865699999999997</v>
      </c>
      <c r="L1521" s="7">
        <v>-71.27</v>
      </c>
      <c r="M1521" s="10" t="str">
        <f t="shared" si="143"/>
        <v>C20</v>
      </c>
      <c r="N1521" s="10" t="str">
        <f t="shared" si="144"/>
        <v>C30</v>
      </c>
      <c r="O1521" s="5">
        <f t="shared" si="145"/>
        <v>8.1451400678518429</v>
      </c>
      <c r="P1521" s="22">
        <f>O1521/Explications!$C$8</f>
        <v>0.27150466892839475</v>
      </c>
      <c r="Q1521" s="7" t="str">
        <f t="shared" si="146"/>
        <v>C30</v>
      </c>
      <c r="R1521" s="7" t="str">
        <f t="shared" si="147"/>
        <v>C20</v>
      </c>
      <c r="S1521" s="18">
        <f t="shared" si="148"/>
        <v>8.1451400678518429</v>
      </c>
      <c r="T1521" s="18">
        <f>S1521/Explications!$C$8</f>
        <v>0.27150466892839475</v>
      </c>
    </row>
    <row r="1522" spans="7:20">
      <c r="G1522" s="7" t="s">
        <v>36</v>
      </c>
      <c r="H1522" s="7" t="s">
        <v>47</v>
      </c>
      <c r="I1522" s="7">
        <v>46.8215</v>
      </c>
      <c r="J1522" s="7">
        <v>-71.355400000000003</v>
      </c>
      <c r="K1522" s="7">
        <v>46.805500000000002</v>
      </c>
      <c r="L1522" s="7">
        <v>-71.217299999999994</v>
      </c>
      <c r="M1522" s="10" t="str">
        <f t="shared" si="143"/>
        <v>C20</v>
      </c>
      <c r="N1522" s="10" t="str">
        <f t="shared" si="144"/>
        <v>C31</v>
      </c>
      <c r="O1522" s="5">
        <f t="shared" si="145"/>
        <v>10.658809263316835</v>
      </c>
      <c r="P1522" s="22">
        <f>O1522/Explications!$C$8</f>
        <v>0.35529364211056114</v>
      </c>
      <c r="Q1522" s="7" t="str">
        <f t="shared" si="146"/>
        <v>C31</v>
      </c>
      <c r="R1522" s="7" t="str">
        <f t="shared" si="147"/>
        <v>C20</v>
      </c>
      <c r="S1522" s="18">
        <f t="shared" si="148"/>
        <v>10.658809263316835</v>
      </c>
      <c r="T1522" s="18">
        <f>S1522/Explications!$C$8</f>
        <v>0.35529364211056114</v>
      </c>
    </row>
    <row r="1523" spans="7:20">
      <c r="G1523" s="7" t="s">
        <v>36</v>
      </c>
      <c r="H1523" s="7" t="s">
        <v>48</v>
      </c>
      <c r="I1523" s="7">
        <v>46.8215</v>
      </c>
      <c r="J1523" s="7">
        <v>-71.355400000000003</v>
      </c>
      <c r="K1523" s="7">
        <v>46.792299999999997</v>
      </c>
      <c r="L1523" s="7">
        <v>-71.172899999999998</v>
      </c>
      <c r="M1523" s="10" t="str">
        <f t="shared" si="143"/>
        <v>C20</v>
      </c>
      <c r="N1523" s="10" t="str">
        <f t="shared" si="144"/>
        <v>C32</v>
      </c>
      <c r="O1523" s="5">
        <f t="shared" si="145"/>
        <v>14.264231108503044</v>
      </c>
      <c r="P1523" s="22">
        <f>O1523/Explications!$C$8</f>
        <v>0.47547437028343481</v>
      </c>
      <c r="Q1523" s="7" t="str">
        <f t="shared" si="146"/>
        <v>C32</v>
      </c>
      <c r="R1523" s="7" t="str">
        <f t="shared" si="147"/>
        <v>C20</v>
      </c>
      <c r="S1523" s="18">
        <f t="shared" si="148"/>
        <v>14.264231108503044</v>
      </c>
      <c r="T1523" s="18">
        <f>S1523/Explications!$C$8</f>
        <v>0.47547437028343481</v>
      </c>
    </row>
    <row r="1524" spans="7:20">
      <c r="G1524" s="7" t="s">
        <v>36</v>
      </c>
      <c r="H1524" s="7" t="s">
        <v>49</v>
      </c>
      <c r="I1524" s="7">
        <v>46.8215</v>
      </c>
      <c r="J1524" s="7">
        <v>-71.355400000000003</v>
      </c>
      <c r="K1524" s="7">
        <v>46.7883</v>
      </c>
      <c r="L1524" s="7">
        <v>-71.131200000000007</v>
      </c>
      <c r="M1524" s="10" t="str">
        <f t="shared" si="143"/>
        <v>C20</v>
      </c>
      <c r="N1524" s="10" t="str">
        <f t="shared" si="144"/>
        <v>C33</v>
      </c>
      <c r="O1524" s="5">
        <f t="shared" si="145"/>
        <v>17.458895291891356</v>
      </c>
      <c r="P1524" s="22">
        <f>O1524/Explications!$C$8</f>
        <v>0.58196317639637851</v>
      </c>
      <c r="Q1524" s="7" t="str">
        <f t="shared" si="146"/>
        <v>C33</v>
      </c>
      <c r="R1524" s="7" t="str">
        <f t="shared" si="147"/>
        <v>C20</v>
      </c>
      <c r="S1524" s="18">
        <f t="shared" si="148"/>
        <v>17.458895291891356</v>
      </c>
      <c r="T1524" s="18">
        <f>S1524/Explications!$C$8</f>
        <v>0.58196317639637851</v>
      </c>
    </row>
    <row r="1525" spans="7:20">
      <c r="G1525" s="7" t="s">
        <v>36</v>
      </c>
      <c r="H1525" s="7" t="s">
        <v>50</v>
      </c>
      <c r="I1525" s="7">
        <v>46.8215</v>
      </c>
      <c r="J1525" s="7">
        <v>-71.355400000000003</v>
      </c>
      <c r="K1525" s="7">
        <v>46.8611</v>
      </c>
      <c r="L1525" s="7">
        <v>-71.268799999999999</v>
      </c>
      <c r="M1525" s="10" t="str">
        <f t="shared" si="143"/>
        <v>C20</v>
      </c>
      <c r="N1525" s="10" t="str">
        <f t="shared" si="144"/>
        <v>C34</v>
      </c>
      <c r="O1525" s="5">
        <f t="shared" si="145"/>
        <v>7.9230528344033448</v>
      </c>
      <c r="P1525" s="22">
        <f>O1525/Explications!$C$8</f>
        <v>0.26410176114677814</v>
      </c>
      <c r="Q1525" s="7" t="str">
        <f t="shared" si="146"/>
        <v>C34</v>
      </c>
      <c r="R1525" s="7" t="str">
        <f t="shared" si="147"/>
        <v>C20</v>
      </c>
      <c r="S1525" s="18">
        <f t="shared" si="148"/>
        <v>7.9230528344033448</v>
      </c>
      <c r="T1525" s="18">
        <f>S1525/Explications!$C$8</f>
        <v>0.26410176114677814</v>
      </c>
    </row>
    <row r="1526" spans="7:20">
      <c r="G1526" s="7" t="s">
        <v>36</v>
      </c>
      <c r="H1526" s="7" t="s">
        <v>51</v>
      </c>
      <c r="I1526" s="7">
        <v>46.8215</v>
      </c>
      <c r="J1526" s="7">
        <v>-71.355400000000003</v>
      </c>
      <c r="K1526" s="7">
        <v>46.869700000000002</v>
      </c>
      <c r="L1526" s="7">
        <v>-71.205200000000005</v>
      </c>
      <c r="M1526" s="10" t="str">
        <f t="shared" si="143"/>
        <v>C20</v>
      </c>
      <c r="N1526" s="10" t="str">
        <f t="shared" si="144"/>
        <v>C35</v>
      </c>
      <c r="O1526" s="5">
        <f t="shared" si="145"/>
        <v>12.618080244772054</v>
      </c>
      <c r="P1526" s="22">
        <f>O1526/Explications!$C$8</f>
        <v>0.42060267482573516</v>
      </c>
      <c r="Q1526" s="7" t="str">
        <f t="shared" si="146"/>
        <v>C35</v>
      </c>
      <c r="R1526" s="7" t="str">
        <f t="shared" si="147"/>
        <v>C20</v>
      </c>
      <c r="S1526" s="18">
        <f t="shared" si="148"/>
        <v>12.618080244772054</v>
      </c>
      <c r="T1526" s="18">
        <f>S1526/Explications!$C$8</f>
        <v>0.42060267482573516</v>
      </c>
    </row>
    <row r="1527" spans="7:20">
      <c r="G1527" s="7" t="s">
        <v>36</v>
      </c>
      <c r="H1527" s="7" t="s">
        <v>52</v>
      </c>
      <c r="I1527" s="7">
        <v>46.8215</v>
      </c>
      <c r="J1527" s="7">
        <v>-71.355400000000003</v>
      </c>
      <c r="K1527" s="7">
        <v>46.774099999999997</v>
      </c>
      <c r="L1527" s="7">
        <v>-71.174000000000007</v>
      </c>
      <c r="M1527" s="10" t="str">
        <f t="shared" si="143"/>
        <v>C20</v>
      </c>
      <c r="N1527" s="10" t="str">
        <f t="shared" si="144"/>
        <v>C36</v>
      </c>
      <c r="O1527" s="5">
        <f t="shared" si="145"/>
        <v>14.780101898388626</v>
      </c>
      <c r="P1527" s="22">
        <f>O1527/Explications!$C$8</f>
        <v>0.49267006327962087</v>
      </c>
      <c r="Q1527" s="7" t="str">
        <f t="shared" si="146"/>
        <v>C36</v>
      </c>
      <c r="R1527" s="7" t="str">
        <f t="shared" si="147"/>
        <v>C20</v>
      </c>
      <c r="S1527" s="18">
        <f t="shared" si="148"/>
        <v>14.780101898388626</v>
      </c>
      <c r="T1527" s="18">
        <f>S1527/Explications!$C$8</f>
        <v>0.49267006327962087</v>
      </c>
    </row>
    <row r="1528" spans="7:20">
      <c r="G1528" s="7" t="s">
        <v>36</v>
      </c>
      <c r="H1528" s="7" t="s">
        <v>53</v>
      </c>
      <c r="I1528" s="7">
        <v>46.8215</v>
      </c>
      <c r="J1528" s="7">
        <v>-71.355400000000003</v>
      </c>
      <c r="K1528" s="7">
        <v>46.808500000000002</v>
      </c>
      <c r="L1528" s="7">
        <v>-71.326599999999999</v>
      </c>
      <c r="M1528" s="10" t="str">
        <f t="shared" si="143"/>
        <v>C20</v>
      </c>
      <c r="N1528" s="10" t="str">
        <f t="shared" si="144"/>
        <v>C37</v>
      </c>
      <c r="O1528" s="5">
        <f t="shared" si="145"/>
        <v>2.6253844841758438</v>
      </c>
      <c r="P1528" s="22">
        <f>O1528/Explications!$C$8</f>
        <v>8.7512816139194788E-2</v>
      </c>
      <c r="Q1528" s="7" t="str">
        <f t="shared" si="146"/>
        <v>C37</v>
      </c>
      <c r="R1528" s="7" t="str">
        <f t="shared" si="147"/>
        <v>C20</v>
      </c>
      <c r="S1528" s="18">
        <f t="shared" si="148"/>
        <v>2.6253844841758438</v>
      </c>
      <c r="T1528" s="18">
        <f>S1528/Explications!$C$8</f>
        <v>8.7512816139194788E-2</v>
      </c>
    </row>
    <row r="1529" spans="7:20">
      <c r="G1529" s="7" t="s">
        <v>36</v>
      </c>
      <c r="H1529" s="7" t="s">
        <v>54</v>
      </c>
      <c r="I1529" s="7">
        <v>46.8215</v>
      </c>
      <c r="J1529" s="7">
        <v>-71.355400000000003</v>
      </c>
      <c r="K1529" s="7">
        <v>46.797499999999999</v>
      </c>
      <c r="L1529" s="7">
        <v>-71.306100000000001</v>
      </c>
      <c r="M1529" s="10" t="str">
        <f t="shared" si="143"/>
        <v>C20</v>
      </c>
      <c r="N1529" s="10" t="str">
        <f t="shared" si="144"/>
        <v>C38</v>
      </c>
      <c r="O1529" s="5">
        <f t="shared" si="145"/>
        <v>4.604244546572974</v>
      </c>
      <c r="P1529" s="22">
        <f>O1529/Explications!$C$8</f>
        <v>0.15347481821909914</v>
      </c>
      <c r="Q1529" s="7" t="str">
        <f t="shared" si="146"/>
        <v>C38</v>
      </c>
      <c r="R1529" s="7" t="str">
        <f t="shared" si="147"/>
        <v>C20</v>
      </c>
      <c r="S1529" s="18">
        <f t="shared" si="148"/>
        <v>4.604244546572974</v>
      </c>
      <c r="T1529" s="18">
        <f>S1529/Explications!$C$8</f>
        <v>0.15347481821909914</v>
      </c>
    </row>
    <row r="1530" spans="7:20">
      <c r="G1530" s="7" t="s">
        <v>36</v>
      </c>
      <c r="H1530" s="7" t="s">
        <v>55</v>
      </c>
      <c r="I1530" s="7">
        <v>46.8215</v>
      </c>
      <c r="J1530" s="7">
        <v>-71.355400000000003</v>
      </c>
      <c r="K1530" s="7">
        <v>46.8155</v>
      </c>
      <c r="L1530" s="7">
        <v>-71.268199999999993</v>
      </c>
      <c r="M1530" s="10" t="str">
        <f t="shared" si="143"/>
        <v>C20</v>
      </c>
      <c r="N1530" s="10" t="str">
        <f t="shared" si="144"/>
        <v>C39</v>
      </c>
      <c r="O1530" s="5">
        <f t="shared" si="145"/>
        <v>6.6686785775846582</v>
      </c>
      <c r="P1530" s="22">
        <f>O1530/Explications!$C$8</f>
        <v>0.2222892859194886</v>
      </c>
      <c r="Q1530" s="7" t="str">
        <f t="shared" si="146"/>
        <v>C39</v>
      </c>
      <c r="R1530" s="7" t="str">
        <f t="shared" si="147"/>
        <v>C20</v>
      </c>
      <c r="S1530" s="18">
        <f t="shared" si="148"/>
        <v>6.6686785775846582</v>
      </c>
      <c r="T1530" s="18">
        <f>S1530/Explications!$C$8</f>
        <v>0.2222892859194886</v>
      </c>
    </row>
    <row r="1531" spans="7:20">
      <c r="G1531" s="7" t="s">
        <v>36</v>
      </c>
      <c r="H1531" s="7" t="s">
        <v>56</v>
      </c>
      <c r="I1531" s="7">
        <v>46.8215</v>
      </c>
      <c r="J1531" s="7">
        <v>-71.355400000000003</v>
      </c>
      <c r="K1531" s="7">
        <v>46.866700000000002</v>
      </c>
      <c r="L1531" s="7">
        <v>-71.215900000000005</v>
      </c>
      <c r="M1531" s="10" t="str">
        <f t="shared" si="143"/>
        <v>C20</v>
      </c>
      <c r="N1531" s="10" t="str">
        <f t="shared" si="144"/>
        <v>C40</v>
      </c>
      <c r="O1531" s="5">
        <f t="shared" si="145"/>
        <v>11.740021671908339</v>
      </c>
      <c r="P1531" s="22">
        <f>O1531/Explications!$C$8</f>
        <v>0.39133405573027796</v>
      </c>
      <c r="Q1531" s="7" t="str">
        <f t="shared" si="146"/>
        <v>C40</v>
      </c>
      <c r="R1531" s="7" t="str">
        <f t="shared" si="147"/>
        <v>C20</v>
      </c>
      <c r="S1531" s="18">
        <f t="shared" si="148"/>
        <v>11.740021671908339</v>
      </c>
      <c r="T1531" s="18">
        <f>S1531/Explications!$C$8</f>
        <v>0.39133405573027796</v>
      </c>
    </row>
    <row r="1532" spans="7:20">
      <c r="G1532" s="7" t="s">
        <v>36</v>
      </c>
      <c r="H1532" s="7" t="s">
        <v>57</v>
      </c>
      <c r="I1532" s="7">
        <v>46.8215</v>
      </c>
      <c r="J1532" s="7">
        <v>-71.355400000000003</v>
      </c>
      <c r="K1532" s="7">
        <v>46.762099999999997</v>
      </c>
      <c r="L1532" s="7">
        <v>-71.235399999999998</v>
      </c>
      <c r="M1532" s="10" t="str">
        <f t="shared" si="143"/>
        <v>C20</v>
      </c>
      <c r="N1532" s="10" t="str">
        <f t="shared" si="144"/>
        <v>C41</v>
      </c>
      <c r="O1532" s="5">
        <f t="shared" si="145"/>
        <v>11.273170195483718</v>
      </c>
      <c r="P1532" s="22">
        <f>O1532/Explications!$C$8</f>
        <v>0.37577233984945729</v>
      </c>
      <c r="Q1532" s="7" t="str">
        <f t="shared" si="146"/>
        <v>C41</v>
      </c>
      <c r="R1532" s="7" t="str">
        <f t="shared" si="147"/>
        <v>C20</v>
      </c>
      <c r="S1532" s="18">
        <f t="shared" si="148"/>
        <v>11.273170195483718</v>
      </c>
      <c r="T1532" s="18">
        <f>S1532/Explications!$C$8</f>
        <v>0.37577233984945729</v>
      </c>
    </row>
    <row r="1533" spans="7:20">
      <c r="G1533" s="7" t="s">
        <v>36</v>
      </c>
      <c r="H1533" s="7" t="s">
        <v>58</v>
      </c>
      <c r="I1533" s="7">
        <v>46.8215</v>
      </c>
      <c r="J1533" s="7">
        <v>-71.355400000000003</v>
      </c>
      <c r="K1533" s="7">
        <v>46.8157</v>
      </c>
      <c r="L1533" s="7">
        <v>-71.2042</v>
      </c>
      <c r="M1533" s="10" t="str">
        <f t="shared" si="143"/>
        <v>C20</v>
      </c>
      <c r="N1533" s="10" t="str">
        <f t="shared" si="144"/>
        <v>C42</v>
      </c>
      <c r="O1533" s="5">
        <f t="shared" si="145"/>
        <v>11.523147506282804</v>
      </c>
      <c r="P1533" s="22">
        <f>O1533/Explications!$C$8</f>
        <v>0.38410491687609344</v>
      </c>
      <c r="Q1533" s="7" t="str">
        <f t="shared" si="146"/>
        <v>C42</v>
      </c>
      <c r="R1533" s="7" t="str">
        <f t="shared" si="147"/>
        <v>C20</v>
      </c>
      <c r="S1533" s="18">
        <f t="shared" si="148"/>
        <v>11.523147506282804</v>
      </c>
      <c r="T1533" s="18">
        <f>S1533/Explications!$C$8</f>
        <v>0.38410491687609344</v>
      </c>
    </row>
    <row r="1534" spans="7:20">
      <c r="G1534" s="7" t="s">
        <v>36</v>
      </c>
      <c r="H1534" s="7" t="s">
        <v>59</v>
      </c>
      <c r="I1534" s="7">
        <v>46.8215</v>
      </c>
      <c r="J1534" s="7">
        <v>-71.355400000000003</v>
      </c>
      <c r="K1534" s="7">
        <v>46.707000000000001</v>
      </c>
      <c r="L1534" s="7">
        <v>-71.217100000000002</v>
      </c>
      <c r="M1534" s="10" t="str">
        <f t="shared" si="143"/>
        <v>C20</v>
      </c>
      <c r="N1534" s="10" t="str">
        <f t="shared" si="144"/>
        <v>C43</v>
      </c>
      <c r="O1534" s="5">
        <f t="shared" si="145"/>
        <v>16.524739785700248</v>
      </c>
      <c r="P1534" s="22">
        <f>O1534/Explications!$C$8</f>
        <v>0.55082465952334159</v>
      </c>
      <c r="Q1534" s="7" t="str">
        <f t="shared" si="146"/>
        <v>C43</v>
      </c>
      <c r="R1534" s="7" t="str">
        <f t="shared" si="147"/>
        <v>C20</v>
      </c>
      <c r="S1534" s="18">
        <f t="shared" si="148"/>
        <v>16.524739785700248</v>
      </c>
      <c r="T1534" s="18">
        <f>S1534/Explications!$C$8</f>
        <v>0.55082465952334159</v>
      </c>
    </row>
    <row r="1535" spans="7:20">
      <c r="G1535" s="7" t="s">
        <v>36</v>
      </c>
      <c r="H1535" s="7" t="s">
        <v>60</v>
      </c>
      <c r="I1535" s="7">
        <v>46.8215</v>
      </c>
      <c r="J1535" s="7">
        <v>-71.355400000000003</v>
      </c>
      <c r="K1535" s="7">
        <v>46.802900000000001</v>
      </c>
      <c r="L1535" s="7">
        <v>-71.228899999999996</v>
      </c>
      <c r="M1535" s="10" t="str">
        <f t="shared" si="143"/>
        <v>C20</v>
      </c>
      <c r="N1535" s="10" t="str">
        <f t="shared" si="144"/>
        <v>C44</v>
      </c>
      <c r="O1535" s="5">
        <f t="shared" si="145"/>
        <v>9.8464270360180386</v>
      </c>
      <c r="P1535" s="22">
        <f>O1535/Explications!$C$8</f>
        <v>0.32821423453393461</v>
      </c>
      <c r="Q1535" s="7" t="str">
        <f t="shared" si="146"/>
        <v>C44</v>
      </c>
      <c r="R1535" s="7" t="str">
        <f t="shared" si="147"/>
        <v>C20</v>
      </c>
      <c r="S1535" s="18">
        <f t="shared" si="148"/>
        <v>9.8464270360180386</v>
      </c>
      <c r="T1535" s="18">
        <f>S1535/Explications!$C$8</f>
        <v>0.32821423453393461</v>
      </c>
    </row>
    <row r="1536" spans="7:20">
      <c r="G1536" s="7" t="s">
        <v>36</v>
      </c>
      <c r="H1536" s="7" t="s">
        <v>61</v>
      </c>
      <c r="I1536" s="7">
        <v>46.8215</v>
      </c>
      <c r="J1536" s="7">
        <v>-71.355400000000003</v>
      </c>
      <c r="K1536" s="7">
        <v>46.796900000000001</v>
      </c>
      <c r="L1536" s="7">
        <v>-71.3078</v>
      </c>
      <c r="M1536" s="10" t="str">
        <f t="shared" si="143"/>
        <v>C20</v>
      </c>
      <c r="N1536" s="10" t="str">
        <f t="shared" si="144"/>
        <v>C45</v>
      </c>
      <c r="O1536" s="5">
        <f t="shared" si="145"/>
        <v>4.539345016369543</v>
      </c>
      <c r="P1536" s="22">
        <f>O1536/Explications!$C$8</f>
        <v>0.15131150054565143</v>
      </c>
      <c r="Q1536" s="7" t="str">
        <f t="shared" si="146"/>
        <v>C45</v>
      </c>
      <c r="R1536" s="7" t="str">
        <f t="shared" si="147"/>
        <v>C20</v>
      </c>
      <c r="S1536" s="18">
        <f t="shared" si="148"/>
        <v>4.539345016369543</v>
      </c>
      <c r="T1536" s="18">
        <f>S1536/Explications!$C$8</f>
        <v>0.15131150054565143</v>
      </c>
    </row>
    <row r="1537" spans="7:20">
      <c r="G1537" s="7" t="s">
        <v>36</v>
      </c>
      <c r="H1537" s="7" t="s">
        <v>62</v>
      </c>
      <c r="I1537" s="7">
        <v>46.8215</v>
      </c>
      <c r="J1537" s="7">
        <v>-71.355400000000003</v>
      </c>
      <c r="K1537" s="7">
        <v>46.803600000000003</v>
      </c>
      <c r="L1537" s="7">
        <v>-71.231099999999998</v>
      </c>
      <c r="M1537" s="10" t="str">
        <f t="shared" si="143"/>
        <v>C20</v>
      </c>
      <c r="N1537" s="10" t="str">
        <f t="shared" si="144"/>
        <v>C46</v>
      </c>
      <c r="O1537" s="5">
        <f t="shared" si="145"/>
        <v>9.6664171435459973</v>
      </c>
      <c r="P1537" s="22">
        <f>O1537/Explications!$C$8</f>
        <v>0.32221390478486656</v>
      </c>
      <c r="Q1537" s="7" t="str">
        <f t="shared" si="146"/>
        <v>C46</v>
      </c>
      <c r="R1537" s="7" t="str">
        <f t="shared" si="147"/>
        <v>C20</v>
      </c>
      <c r="S1537" s="18">
        <f t="shared" si="148"/>
        <v>9.6664171435459973</v>
      </c>
      <c r="T1537" s="18">
        <f>S1537/Explications!$C$8</f>
        <v>0.32221390478486656</v>
      </c>
    </row>
    <row r="1538" spans="7:20">
      <c r="G1538" s="7" t="s">
        <v>36</v>
      </c>
      <c r="H1538" s="7" t="s">
        <v>63</v>
      </c>
      <c r="I1538" s="7">
        <v>46.8215</v>
      </c>
      <c r="J1538" s="7">
        <v>-71.355400000000003</v>
      </c>
      <c r="K1538" s="7">
        <v>46.802399999999999</v>
      </c>
      <c r="L1538" s="7">
        <v>-71.269800000000004</v>
      </c>
      <c r="M1538" s="10" t="str">
        <f t="shared" si="143"/>
        <v>C20</v>
      </c>
      <c r="N1538" s="10" t="str">
        <f t="shared" si="144"/>
        <v>C47</v>
      </c>
      <c r="O1538" s="5">
        <f t="shared" si="145"/>
        <v>6.8517371299077992</v>
      </c>
      <c r="P1538" s="22">
        <f>O1538/Explications!$C$8</f>
        <v>0.22839123766359332</v>
      </c>
      <c r="Q1538" s="7" t="str">
        <f t="shared" si="146"/>
        <v>C47</v>
      </c>
      <c r="R1538" s="7" t="str">
        <f t="shared" si="147"/>
        <v>C20</v>
      </c>
      <c r="S1538" s="18">
        <f t="shared" si="148"/>
        <v>6.8517371299077992</v>
      </c>
      <c r="T1538" s="18">
        <f>S1538/Explications!$C$8</f>
        <v>0.22839123766359332</v>
      </c>
    </row>
    <row r="1539" spans="7:20">
      <c r="G1539" s="7" t="s">
        <v>36</v>
      </c>
      <c r="H1539" s="7" t="s">
        <v>64</v>
      </c>
      <c r="I1539" s="7">
        <v>46.8215</v>
      </c>
      <c r="J1539" s="7">
        <v>-71.355400000000003</v>
      </c>
      <c r="K1539" s="7">
        <v>46.826799999999999</v>
      </c>
      <c r="L1539" s="7">
        <v>-71.224199999999996</v>
      </c>
      <c r="M1539" s="10" t="str">
        <f t="shared" si="143"/>
        <v>C20</v>
      </c>
      <c r="N1539" s="10" t="str">
        <f t="shared" si="144"/>
        <v>C48</v>
      </c>
      <c r="O1539" s="5">
        <f t="shared" si="145"/>
        <v>9.9996001727548709</v>
      </c>
      <c r="P1539" s="22">
        <f>O1539/Explications!$C$8</f>
        <v>0.33332000575849569</v>
      </c>
      <c r="Q1539" s="7" t="str">
        <f t="shared" si="146"/>
        <v>C48</v>
      </c>
      <c r="R1539" s="7" t="str">
        <f t="shared" si="147"/>
        <v>C20</v>
      </c>
      <c r="S1539" s="18">
        <f t="shared" si="148"/>
        <v>9.9996001727548709</v>
      </c>
      <c r="T1539" s="18">
        <f>S1539/Explications!$C$8</f>
        <v>0.33332000575849569</v>
      </c>
    </row>
    <row r="1540" spans="7:20">
      <c r="G1540" s="7" t="s">
        <v>36</v>
      </c>
      <c r="H1540" s="7" t="s">
        <v>65</v>
      </c>
      <c r="I1540" s="7">
        <v>46.8215</v>
      </c>
      <c r="J1540" s="7">
        <v>-71.355400000000003</v>
      </c>
      <c r="K1540" s="7">
        <v>46.864100000000001</v>
      </c>
      <c r="L1540" s="7">
        <v>-71.255499999999998</v>
      </c>
      <c r="M1540" s="10" t="str">
        <f t="shared" ref="M1540:M1603" si="149">G1540</f>
        <v>C20</v>
      </c>
      <c r="N1540" s="10" t="str">
        <f t="shared" ref="N1540:N1603" si="150">H1540</f>
        <v>C49</v>
      </c>
      <c r="O1540" s="5">
        <f t="shared" ref="O1540:O1603" si="151">ACOS(SIN(RADIANS(I1540))*SIN(RADIANS(K1540))+COS(RADIANS(I1540))*COS(RADIANS(K1540))*COS(RADIANS(J1540-L1540)))*6371</f>
        <v>8.9537800604876256</v>
      </c>
      <c r="P1540" s="22">
        <f>O1540/Explications!$C$8</f>
        <v>0.29845933534958752</v>
      </c>
      <c r="Q1540" s="7" t="str">
        <f t="shared" ref="Q1540:Q1603" si="152">N1540</f>
        <v>C49</v>
      </c>
      <c r="R1540" s="7" t="str">
        <f t="shared" ref="R1540:R1603" si="153">M1540</f>
        <v>C20</v>
      </c>
      <c r="S1540" s="18">
        <f t="shared" ref="S1540:S1603" si="154">O1540</f>
        <v>8.9537800604876256</v>
      </c>
      <c r="T1540" s="18">
        <f>S1540/Explications!$C$8</f>
        <v>0.29845933534958752</v>
      </c>
    </row>
    <row r="1541" spans="7:20">
      <c r="G1541" s="7" t="s">
        <v>36</v>
      </c>
      <c r="H1541" s="7" t="s">
        <v>66</v>
      </c>
      <c r="I1541" s="7">
        <v>46.8215</v>
      </c>
      <c r="J1541" s="7">
        <v>-71.355400000000003</v>
      </c>
      <c r="K1541" s="7">
        <v>46.843800000000002</v>
      </c>
      <c r="L1541" s="7">
        <v>-71.247299999999996</v>
      </c>
      <c r="M1541" s="10" t="str">
        <f t="shared" si="149"/>
        <v>C20</v>
      </c>
      <c r="N1541" s="10" t="str">
        <f t="shared" si="150"/>
        <v>C50</v>
      </c>
      <c r="O1541" s="5">
        <f t="shared" si="151"/>
        <v>8.5890976340995486</v>
      </c>
      <c r="P1541" s="22">
        <f>O1541/Explications!$C$8</f>
        <v>0.28630325446998495</v>
      </c>
      <c r="Q1541" s="7" t="str">
        <f t="shared" si="152"/>
        <v>C50</v>
      </c>
      <c r="R1541" s="7" t="str">
        <f t="shared" si="153"/>
        <v>C20</v>
      </c>
      <c r="S1541" s="18">
        <f t="shared" si="154"/>
        <v>8.5890976340995486</v>
      </c>
      <c r="T1541" s="18">
        <f>S1541/Explications!$C$8</f>
        <v>0.28630325446998495</v>
      </c>
    </row>
    <row r="1542" spans="7:20">
      <c r="G1542" s="7" t="s">
        <v>36</v>
      </c>
      <c r="H1542" s="7" t="s">
        <v>67</v>
      </c>
      <c r="I1542" s="7">
        <v>46.8215</v>
      </c>
      <c r="J1542" s="7">
        <v>-71.355400000000003</v>
      </c>
      <c r="K1542" s="7">
        <v>46.765599999999999</v>
      </c>
      <c r="L1542" s="7">
        <v>-71.312100000000001</v>
      </c>
      <c r="M1542" s="10" t="str">
        <f t="shared" si="149"/>
        <v>C20</v>
      </c>
      <c r="N1542" s="10" t="str">
        <f t="shared" si="150"/>
        <v>C51</v>
      </c>
      <c r="O1542" s="5">
        <f t="shared" si="151"/>
        <v>7.0357509379519243</v>
      </c>
      <c r="P1542" s="22">
        <f>O1542/Explications!$C$8</f>
        <v>0.23452503126506413</v>
      </c>
      <c r="Q1542" s="7" t="str">
        <f t="shared" si="152"/>
        <v>C51</v>
      </c>
      <c r="R1542" s="7" t="str">
        <f t="shared" si="153"/>
        <v>C20</v>
      </c>
      <c r="S1542" s="18">
        <f t="shared" si="154"/>
        <v>7.0357509379519243</v>
      </c>
      <c r="T1542" s="18">
        <f>S1542/Explications!$C$8</f>
        <v>0.23452503126506413</v>
      </c>
    </row>
    <row r="1543" spans="7:20">
      <c r="G1543" s="7" t="s">
        <v>36</v>
      </c>
      <c r="H1543" s="7" t="s">
        <v>68</v>
      </c>
      <c r="I1543" s="7">
        <v>46.8215</v>
      </c>
      <c r="J1543" s="7">
        <v>-71.355400000000003</v>
      </c>
      <c r="K1543" s="7">
        <v>46.787599999999998</v>
      </c>
      <c r="L1543" s="7">
        <v>-71.288600000000002</v>
      </c>
      <c r="M1543" s="10" t="str">
        <f t="shared" si="149"/>
        <v>C20</v>
      </c>
      <c r="N1543" s="10" t="str">
        <f t="shared" si="150"/>
        <v>C52</v>
      </c>
      <c r="O1543" s="5">
        <f t="shared" si="151"/>
        <v>6.3292116747778611</v>
      </c>
      <c r="P1543" s="22">
        <f>O1543/Explications!$C$8</f>
        <v>0.21097372249259536</v>
      </c>
      <c r="Q1543" s="7" t="str">
        <f t="shared" si="152"/>
        <v>C52</v>
      </c>
      <c r="R1543" s="7" t="str">
        <f t="shared" si="153"/>
        <v>C20</v>
      </c>
      <c r="S1543" s="18">
        <f t="shared" si="154"/>
        <v>6.3292116747778611</v>
      </c>
      <c r="T1543" s="18">
        <f>S1543/Explications!$C$8</f>
        <v>0.21097372249259536</v>
      </c>
    </row>
    <row r="1544" spans="7:20">
      <c r="G1544" s="7" t="s">
        <v>36</v>
      </c>
      <c r="H1544" s="7" t="s">
        <v>69</v>
      </c>
      <c r="I1544" s="7">
        <v>46.8215</v>
      </c>
      <c r="J1544" s="7">
        <v>-71.355400000000003</v>
      </c>
      <c r="K1544" s="7">
        <v>46.764600000000002</v>
      </c>
      <c r="L1544" s="7">
        <v>-71.308300000000003</v>
      </c>
      <c r="M1544" s="10" t="str">
        <f t="shared" si="149"/>
        <v>C20</v>
      </c>
      <c r="N1544" s="10" t="str">
        <f t="shared" si="150"/>
        <v>C53</v>
      </c>
      <c r="O1544" s="5">
        <f t="shared" si="151"/>
        <v>7.2723824900339391</v>
      </c>
      <c r="P1544" s="22">
        <f>O1544/Explications!$C$8</f>
        <v>0.24241274966779797</v>
      </c>
      <c r="Q1544" s="7" t="str">
        <f t="shared" si="152"/>
        <v>C53</v>
      </c>
      <c r="R1544" s="7" t="str">
        <f t="shared" si="153"/>
        <v>C20</v>
      </c>
      <c r="S1544" s="18">
        <f t="shared" si="154"/>
        <v>7.2723824900339391</v>
      </c>
      <c r="T1544" s="18">
        <f>S1544/Explications!$C$8</f>
        <v>0.24241274966779797</v>
      </c>
    </row>
    <row r="1545" spans="7:20">
      <c r="G1545" s="7" t="s">
        <v>36</v>
      </c>
      <c r="H1545" s="7" t="s">
        <v>70</v>
      </c>
      <c r="I1545" s="7">
        <v>46.8215</v>
      </c>
      <c r="J1545" s="7">
        <v>-71.355400000000003</v>
      </c>
      <c r="K1545" s="7">
        <v>46.849699999999999</v>
      </c>
      <c r="L1545" s="7">
        <v>-71.097399999999993</v>
      </c>
      <c r="M1545" s="10" t="str">
        <f t="shared" si="149"/>
        <v>C20</v>
      </c>
      <c r="N1545" s="10" t="str">
        <f t="shared" si="150"/>
        <v>C54</v>
      </c>
      <c r="O1545" s="5">
        <f t="shared" si="151"/>
        <v>19.874406386263708</v>
      </c>
      <c r="P1545" s="22">
        <f>O1545/Explications!$C$8</f>
        <v>0.66248021287545689</v>
      </c>
      <c r="Q1545" s="7" t="str">
        <f t="shared" si="152"/>
        <v>C54</v>
      </c>
      <c r="R1545" s="7" t="str">
        <f t="shared" si="153"/>
        <v>C20</v>
      </c>
      <c r="S1545" s="18">
        <f t="shared" si="154"/>
        <v>19.874406386263708</v>
      </c>
      <c r="T1545" s="18">
        <f>S1545/Explications!$C$8</f>
        <v>0.66248021287545689</v>
      </c>
    </row>
    <row r="1546" spans="7:20">
      <c r="G1546" s="7" t="s">
        <v>36</v>
      </c>
      <c r="H1546" s="7" t="s">
        <v>71</v>
      </c>
      <c r="I1546" s="7">
        <v>46.8215</v>
      </c>
      <c r="J1546" s="7">
        <v>-71.355400000000003</v>
      </c>
      <c r="K1546" s="7">
        <v>46.788899999999998</v>
      </c>
      <c r="L1546" s="7">
        <v>-71.321399999999997</v>
      </c>
      <c r="M1546" s="10" t="str">
        <f t="shared" si="149"/>
        <v>C20</v>
      </c>
      <c r="N1546" s="10" t="str">
        <f t="shared" si="150"/>
        <v>C55</v>
      </c>
      <c r="O1546" s="5">
        <f t="shared" si="151"/>
        <v>4.4538562585247341</v>
      </c>
      <c r="P1546" s="22">
        <f>O1546/Explications!$C$8</f>
        <v>0.1484618752841578</v>
      </c>
      <c r="Q1546" s="7" t="str">
        <f t="shared" si="152"/>
        <v>C55</v>
      </c>
      <c r="R1546" s="7" t="str">
        <f t="shared" si="153"/>
        <v>C20</v>
      </c>
      <c r="S1546" s="18">
        <f t="shared" si="154"/>
        <v>4.4538562585247341</v>
      </c>
      <c r="T1546" s="18">
        <f>S1546/Explications!$C$8</f>
        <v>0.1484618752841578</v>
      </c>
    </row>
    <row r="1547" spans="7:20">
      <c r="G1547" s="7" t="s">
        <v>36</v>
      </c>
      <c r="H1547" s="7" t="s">
        <v>72</v>
      </c>
      <c r="I1547" s="7">
        <v>46.8215</v>
      </c>
      <c r="J1547" s="7">
        <v>-71.355400000000003</v>
      </c>
      <c r="K1547" s="7">
        <v>46.795400000000001</v>
      </c>
      <c r="L1547" s="7">
        <v>-71.232600000000005</v>
      </c>
      <c r="M1547" s="10" t="str">
        <f t="shared" si="149"/>
        <v>C20</v>
      </c>
      <c r="N1547" s="10" t="str">
        <f t="shared" si="150"/>
        <v>C56</v>
      </c>
      <c r="O1547" s="5">
        <f t="shared" si="151"/>
        <v>9.7860841010989681</v>
      </c>
      <c r="P1547" s="22">
        <f>O1547/Explications!$C$8</f>
        <v>0.3262028033699656</v>
      </c>
      <c r="Q1547" s="7" t="str">
        <f t="shared" si="152"/>
        <v>C56</v>
      </c>
      <c r="R1547" s="7" t="str">
        <f t="shared" si="153"/>
        <v>C20</v>
      </c>
      <c r="S1547" s="18">
        <f t="shared" si="154"/>
        <v>9.7860841010989681</v>
      </c>
      <c r="T1547" s="18">
        <f>S1547/Explications!$C$8</f>
        <v>0.3262028033699656</v>
      </c>
    </row>
    <row r="1548" spans="7:20">
      <c r="G1548" s="7" t="s">
        <v>36</v>
      </c>
      <c r="H1548" s="7" t="s">
        <v>73</v>
      </c>
      <c r="I1548" s="7">
        <v>46.8215</v>
      </c>
      <c r="J1548" s="7">
        <v>-71.355400000000003</v>
      </c>
      <c r="K1548" s="7">
        <v>46.801200000000001</v>
      </c>
      <c r="L1548" s="7">
        <v>-71.224999999999994</v>
      </c>
      <c r="M1548" s="10" t="str">
        <f t="shared" si="149"/>
        <v>C20</v>
      </c>
      <c r="N1548" s="10" t="str">
        <f t="shared" si="150"/>
        <v>C57</v>
      </c>
      <c r="O1548" s="5">
        <f t="shared" si="151"/>
        <v>10.177194879990275</v>
      </c>
      <c r="P1548" s="22">
        <f>O1548/Explications!$C$8</f>
        <v>0.33923982933300917</v>
      </c>
      <c r="Q1548" s="7" t="str">
        <f t="shared" si="152"/>
        <v>C57</v>
      </c>
      <c r="R1548" s="7" t="str">
        <f t="shared" si="153"/>
        <v>C20</v>
      </c>
      <c r="S1548" s="18">
        <f t="shared" si="154"/>
        <v>10.177194879990275</v>
      </c>
      <c r="T1548" s="18">
        <f>S1548/Explications!$C$8</f>
        <v>0.33923982933300917</v>
      </c>
    </row>
    <row r="1549" spans="7:20">
      <c r="G1549" s="7" t="s">
        <v>36</v>
      </c>
      <c r="H1549" s="7" t="s">
        <v>74</v>
      </c>
      <c r="I1549" s="7">
        <v>46.8215</v>
      </c>
      <c r="J1549" s="7">
        <v>-71.355400000000003</v>
      </c>
      <c r="K1549" s="7">
        <v>46.773200000000003</v>
      </c>
      <c r="L1549" s="7">
        <v>-71.275899999999993</v>
      </c>
      <c r="M1549" s="10" t="str">
        <f t="shared" si="149"/>
        <v>C20</v>
      </c>
      <c r="N1549" s="10" t="str">
        <f t="shared" si="150"/>
        <v>C58</v>
      </c>
      <c r="O1549" s="5">
        <f t="shared" si="151"/>
        <v>8.091201683195937</v>
      </c>
      <c r="P1549" s="22">
        <f>O1549/Explications!$C$8</f>
        <v>0.2697067227731979</v>
      </c>
      <c r="Q1549" s="7" t="str">
        <f t="shared" si="152"/>
        <v>C58</v>
      </c>
      <c r="R1549" s="7" t="str">
        <f t="shared" si="153"/>
        <v>C20</v>
      </c>
      <c r="S1549" s="18">
        <f t="shared" si="154"/>
        <v>8.091201683195937</v>
      </c>
      <c r="T1549" s="18">
        <f>S1549/Explications!$C$8</f>
        <v>0.2697067227731979</v>
      </c>
    </row>
    <row r="1550" spans="7:20">
      <c r="G1550" s="7" t="s">
        <v>36</v>
      </c>
      <c r="H1550" s="7" t="s">
        <v>75</v>
      </c>
      <c r="I1550" s="7">
        <v>46.8215</v>
      </c>
      <c r="J1550" s="7">
        <v>-71.355400000000003</v>
      </c>
      <c r="K1550" s="7">
        <v>46.814399999999999</v>
      </c>
      <c r="L1550" s="7">
        <v>-71.225700000000003</v>
      </c>
      <c r="M1550" s="10" t="str">
        <f t="shared" si="149"/>
        <v>C20</v>
      </c>
      <c r="N1550" s="10" t="str">
        <f t="shared" si="150"/>
        <v>C59</v>
      </c>
      <c r="O1550" s="5">
        <f t="shared" si="151"/>
        <v>9.9007575858303518</v>
      </c>
      <c r="P1550" s="22">
        <f>O1550/Explications!$C$8</f>
        <v>0.33002525286101175</v>
      </c>
      <c r="Q1550" s="7" t="str">
        <f t="shared" si="152"/>
        <v>C59</v>
      </c>
      <c r="R1550" s="7" t="str">
        <f t="shared" si="153"/>
        <v>C20</v>
      </c>
      <c r="S1550" s="18">
        <f t="shared" si="154"/>
        <v>9.9007575858303518</v>
      </c>
      <c r="T1550" s="18">
        <f>S1550/Explications!$C$8</f>
        <v>0.33002525286101175</v>
      </c>
    </row>
    <row r="1551" spans="7:20">
      <c r="G1551" s="7" t="s">
        <v>36</v>
      </c>
      <c r="H1551" s="7" t="s">
        <v>76</v>
      </c>
      <c r="I1551" s="7">
        <v>46.8215</v>
      </c>
      <c r="J1551" s="7">
        <v>-71.355400000000003</v>
      </c>
      <c r="K1551" s="7">
        <v>46.772500000000001</v>
      </c>
      <c r="L1551" s="7">
        <v>-71.276300000000006</v>
      </c>
      <c r="M1551" s="10" t="str">
        <f t="shared" si="149"/>
        <v>C20</v>
      </c>
      <c r="N1551" s="10" t="str">
        <f t="shared" si="150"/>
        <v>C60</v>
      </c>
      <c r="O1551" s="5">
        <f t="shared" si="151"/>
        <v>8.1205014297191482</v>
      </c>
      <c r="P1551" s="22">
        <f>O1551/Explications!$C$8</f>
        <v>0.27068338099063827</v>
      </c>
      <c r="Q1551" s="7" t="str">
        <f t="shared" si="152"/>
        <v>C60</v>
      </c>
      <c r="R1551" s="7" t="str">
        <f t="shared" si="153"/>
        <v>C20</v>
      </c>
      <c r="S1551" s="18">
        <f t="shared" si="154"/>
        <v>8.1205014297191482</v>
      </c>
      <c r="T1551" s="18">
        <f>S1551/Explications!$C$8</f>
        <v>0.27068338099063827</v>
      </c>
    </row>
    <row r="1552" spans="7:20">
      <c r="G1552" s="7" t="s">
        <v>36</v>
      </c>
      <c r="H1552" s="7" t="s">
        <v>77</v>
      </c>
      <c r="I1552" s="7">
        <v>46.8215</v>
      </c>
      <c r="J1552" s="7">
        <v>-71.355400000000003</v>
      </c>
      <c r="K1552" s="7">
        <v>46.810899999999997</v>
      </c>
      <c r="L1552" s="7">
        <v>-71.215599999999995</v>
      </c>
      <c r="M1552" s="10" t="str">
        <f t="shared" si="149"/>
        <v>C20</v>
      </c>
      <c r="N1552" s="10" t="str">
        <f t="shared" si="150"/>
        <v>C61</v>
      </c>
      <c r="O1552" s="5">
        <f t="shared" si="151"/>
        <v>10.70321049822754</v>
      </c>
      <c r="P1552" s="22">
        <f>O1552/Explications!$C$8</f>
        <v>0.3567736832742513</v>
      </c>
      <c r="Q1552" s="7" t="str">
        <f t="shared" si="152"/>
        <v>C61</v>
      </c>
      <c r="R1552" s="7" t="str">
        <f t="shared" si="153"/>
        <v>C20</v>
      </c>
      <c r="S1552" s="18">
        <f t="shared" si="154"/>
        <v>10.70321049822754</v>
      </c>
      <c r="T1552" s="18">
        <f>S1552/Explications!$C$8</f>
        <v>0.3567736832742513</v>
      </c>
    </row>
    <row r="1553" spans="7:20">
      <c r="G1553" s="7" t="s">
        <v>36</v>
      </c>
      <c r="H1553" s="7" t="s">
        <v>78</v>
      </c>
      <c r="I1553" s="7">
        <v>46.8215</v>
      </c>
      <c r="J1553" s="7">
        <v>-71.355400000000003</v>
      </c>
      <c r="K1553" s="7">
        <v>46.795200000000001</v>
      </c>
      <c r="L1553" s="7">
        <v>-71.245099999999994</v>
      </c>
      <c r="M1553" s="10" t="str">
        <f t="shared" si="149"/>
        <v>C20</v>
      </c>
      <c r="N1553" s="10" t="str">
        <f t="shared" si="150"/>
        <v>C62</v>
      </c>
      <c r="O1553" s="5">
        <f t="shared" si="151"/>
        <v>8.8893417772761474</v>
      </c>
      <c r="P1553" s="22">
        <f>O1553/Explications!$C$8</f>
        <v>0.29631139257587158</v>
      </c>
      <c r="Q1553" s="7" t="str">
        <f t="shared" si="152"/>
        <v>C62</v>
      </c>
      <c r="R1553" s="7" t="str">
        <f t="shared" si="153"/>
        <v>C20</v>
      </c>
      <c r="S1553" s="18">
        <f t="shared" si="154"/>
        <v>8.8893417772761474</v>
      </c>
      <c r="T1553" s="18">
        <f>S1553/Explications!$C$8</f>
        <v>0.29631139257587158</v>
      </c>
    </row>
    <row r="1554" spans="7:20">
      <c r="G1554" s="7" t="s">
        <v>36</v>
      </c>
      <c r="H1554" s="7" t="s">
        <v>79</v>
      </c>
      <c r="I1554" s="7">
        <v>46.8215</v>
      </c>
      <c r="J1554" s="7">
        <v>-71.355400000000003</v>
      </c>
      <c r="K1554" s="7">
        <v>46.822000000000003</v>
      </c>
      <c r="L1554" s="7">
        <v>-71.345699999999994</v>
      </c>
      <c r="M1554" s="10" t="str">
        <f t="shared" si="149"/>
        <v>C20</v>
      </c>
      <c r="N1554" s="10" t="str">
        <f t="shared" si="150"/>
        <v>C63</v>
      </c>
      <c r="O1554" s="5">
        <f t="shared" si="151"/>
        <v>0.74013880536720222</v>
      </c>
      <c r="P1554" s="22">
        <f>O1554/Explications!$C$8</f>
        <v>2.4671293512240074E-2</v>
      </c>
      <c r="Q1554" s="7" t="str">
        <f t="shared" si="152"/>
        <v>C63</v>
      </c>
      <c r="R1554" s="7" t="str">
        <f t="shared" si="153"/>
        <v>C20</v>
      </c>
      <c r="S1554" s="18">
        <f t="shared" si="154"/>
        <v>0.74013880536720222</v>
      </c>
      <c r="T1554" s="18">
        <f>S1554/Explications!$C$8</f>
        <v>2.4671293512240074E-2</v>
      </c>
    </row>
    <row r="1555" spans="7:20">
      <c r="G1555" s="7" t="s">
        <v>36</v>
      </c>
      <c r="H1555" s="7" t="s">
        <v>80</v>
      </c>
      <c r="I1555" s="7">
        <v>46.8215</v>
      </c>
      <c r="J1555" s="7">
        <v>-71.355400000000003</v>
      </c>
      <c r="K1555" s="7">
        <v>46.779400000000003</v>
      </c>
      <c r="L1555" s="7">
        <v>-71.350399999999993</v>
      </c>
      <c r="M1555" s="10" t="str">
        <f t="shared" si="149"/>
        <v>C20</v>
      </c>
      <c r="N1555" s="10" t="str">
        <f t="shared" si="150"/>
        <v>C64</v>
      </c>
      <c r="O1555" s="5">
        <f t="shared" si="151"/>
        <v>4.6967517116711477</v>
      </c>
      <c r="P1555" s="22">
        <f>O1555/Explications!$C$8</f>
        <v>0.15655839038903827</v>
      </c>
      <c r="Q1555" s="7" t="str">
        <f t="shared" si="152"/>
        <v>C64</v>
      </c>
      <c r="R1555" s="7" t="str">
        <f t="shared" si="153"/>
        <v>C20</v>
      </c>
      <c r="S1555" s="18">
        <f t="shared" si="154"/>
        <v>4.6967517116711477</v>
      </c>
      <c r="T1555" s="18">
        <f>S1555/Explications!$C$8</f>
        <v>0.15655839038903827</v>
      </c>
    </row>
    <row r="1556" spans="7:20">
      <c r="G1556" s="7" t="s">
        <v>36</v>
      </c>
      <c r="H1556" s="7" t="s">
        <v>81</v>
      </c>
      <c r="I1556" s="7">
        <v>46.8215</v>
      </c>
      <c r="J1556" s="7">
        <v>-71.355400000000003</v>
      </c>
      <c r="K1556" s="7">
        <v>46.772300000000001</v>
      </c>
      <c r="L1556" s="7">
        <v>-71.279799999999994</v>
      </c>
      <c r="M1556" s="10" t="str">
        <f t="shared" si="149"/>
        <v>C20</v>
      </c>
      <c r="N1556" s="10" t="str">
        <f t="shared" si="150"/>
        <v>C65</v>
      </c>
      <c r="O1556" s="5">
        <f t="shared" si="151"/>
        <v>7.9402774057691303</v>
      </c>
      <c r="P1556" s="22">
        <f>O1556/Explications!$C$8</f>
        <v>0.26467591352563768</v>
      </c>
      <c r="Q1556" s="7" t="str">
        <f t="shared" si="152"/>
        <v>C65</v>
      </c>
      <c r="R1556" s="7" t="str">
        <f t="shared" si="153"/>
        <v>C20</v>
      </c>
      <c r="S1556" s="18">
        <f t="shared" si="154"/>
        <v>7.9402774057691303</v>
      </c>
      <c r="T1556" s="18">
        <f>S1556/Explications!$C$8</f>
        <v>0.26467591352563768</v>
      </c>
    </row>
    <row r="1557" spans="7:20">
      <c r="G1557" s="7" t="s">
        <v>36</v>
      </c>
      <c r="H1557" s="7" t="s">
        <v>82</v>
      </c>
      <c r="I1557" s="7">
        <v>46.8215</v>
      </c>
      <c r="J1557" s="7">
        <v>-71.355400000000003</v>
      </c>
      <c r="K1557" s="7">
        <v>46.814900000000002</v>
      </c>
      <c r="L1557" s="7">
        <v>-71.225200000000001</v>
      </c>
      <c r="M1557" s="10" t="str">
        <f t="shared" si="149"/>
        <v>C20</v>
      </c>
      <c r="N1557" s="10" t="str">
        <f t="shared" si="150"/>
        <v>C66</v>
      </c>
      <c r="O1557" s="5">
        <f t="shared" si="151"/>
        <v>9.9343755184719011</v>
      </c>
      <c r="P1557" s="22">
        <f>O1557/Explications!$C$8</f>
        <v>0.33114585061573004</v>
      </c>
      <c r="Q1557" s="7" t="str">
        <f t="shared" si="152"/>
        <v>C66</v>
      </c>
      <c r="R1557" s="7" t="str">
        <f t="shared" si="153"/>
        <v>C20</v>
      </c>
      <c r="S1557" s="18">
        <f t="shared" si="154"/>
        <v>9.9343755184719011</v>
      </c>
      <c r="T1557" s="18">
        <f>S1557/Explications!$C$8</f>
        <v>0.33114585061573004</v>
      </c>
    </row>
    <row r="1558" spans="7:20">
      <c r="G1558" s="7" t="s">
        <v>36</v>
      </c>
      <c r="H1558" s="7" t="s">
        <v>83</v>
      </c>
      <c r="I1558" s="7">
        <v>46.8215</v>
      </c>
      <c r="J1558" s="7">
        <v>-71.355400000000003</v>
      </c>
      <c r="K1558" s="7">
        <v>46.814700000000002</v>
      </c>
      <c r="L1558" s="7">
        <v>-71.207300000000004</v>
      </c>
      <c r="M1558" s="10" t="str">
        <f t="shared" si="149"/>
        <v>C20</v>
      </c>
      <c r="N1558" s="10" t="str">
        <f t="shared" si="150"/>
        <v>C67</v>
      </c>
      <c r="O1558" s="5">
        <f t="shared" si="151"/>
        <v>11.294643711185326</v>
      </c>
      <c r="P1558" s="22">
        <f>O1558/Explications!$C$8</f>
        <v>0.37648812370617757</v>
      </c>
      <c r="Q1558" s="7" t="str">
        <f t="shared" si="152"/>
        <v>C67</v>
      </c>
      <c r="R1558" s="7" t="str">
        <f t="shared" si="153"/>
        <v>C20</v>
      </c>
      <c r="S1558" s="18">
        <f t="shared" si="154"/>
        <v>11.294643711185326</v>
      </c>
      <c r="T1558" s="18">
        <f>S1558/Explications!$C$8</f>
        <v>0.37648812370617757</v>
      </c>
    </row>
    <row r="1559" spans="7:20">
      <c r="G1559" s="7" t="s">
        <v>36</v>
      </c>
      <c r="H1559" s="7" t="s">
        <v>84</v>
      </c>
      <c r="I1559" s="7">
        <v>46.8215</v>
      </c>
      <c r="J1559" s="7">
        <v>-71.355400000000003</v>
      </c>
      <c r="K1559" s="7">
        <v>46.815600000000003</v>
      </c>
      <c r="L1559" s="7">
        <v>-71.2029</v>
      </c>
      <c r="M1559" s="10" t="str">
        <f t="shared" si="149"/>
        <v>C20</v>
      </c>
      <c r="N1559" s="10" t="str">
        <f t="shared" si="150"/>
        <v>C68</v>
      </c>
      <c r="O1559" s="5">
        <f t="shared" si="151"/>
        <v>11.622546254126181</v>
      </c>
      <c r="P1559" s="22">
        <f>O1559/Explications!$C$8</f>
        <v>0.38741820847087272</v>
      </c>
      <c r="Q1559" s="7" t="str">
        <f t="shared" si="152"/>
        <v>C68</v>
      </c>
      <c r="R1559" s="7" t="str">
        <f t="shared" si="153"/>
        <v>C20</v>
      </c>
      <c r="S1559" s="18">
        <f t="shared" si="154"/>
        <v>11.622546254126181</v>
      </c>
      <c r="T1559" s="18">
        <f>S1559/Explications!$C$8</f>
        <v>0.38741820847087272</v>
      </c>
    </row>
    <row r="1560" spans="7:20">
      <c r="G1560" s="7" t="s">
        <v>36</v>
      </c>
      <c r="H1560" s="7" t="s">
        <v>85</v>
      </c>
      <c r="I1560" s="7">
        <v>46.8215</v>
      </c>
      <c r="J1560" s="7">
        <v>-71.355400000000003</v>
      </c>
      <c r="K1560" s="7">
        <v>46.821899999999999</v>
      </c>
      <c r="L1560" s="7">
        <v>-71.249899999999997</v>
      </c>
      <c r="M1560" s="10" t="str">
        <f t="shared" si="149"/>
        <v>C20</v>
      </c>
      <c r="N1560" s="10" t="str">
        <f t="shared" si="150"/>
        <v>C69</v>
      </c>
      <c r="O1560" s="5">
        <f t="shared" si="151"/>
        <v>8.027349681241347</v>
      </c>
      <c r="P1560" s="22">
        <f>O1560/Explications!$C$8</f>
        <v>0.26757832270804488</v>
      </c>
      <c r="Q1560" s="7" t="str">
        <f t="shared" si="152"/>
        <v>C69</v>
      </c>
      <c r="R1560" s="7" t="str">
        <f t="shared" si="153"/>
        <v>C20</v>
      </c>
      <c r="S1560" s="18">
        <f t="shared" si="154"/>
        <v>8.027349681241347</v>
      </c>
      <c r="T1560" s="18">
        <f>S1560/Explications!$C$8</f>
        <v>0.26757832270804488</v>
      </c>
    </row>
    <row r="1561" spans="7:20">
      <c r="G1561" s="7" t="s">
        <v>36</v>
      </c>
      <c r="H1561" s="7" t="s">
        <v>86</v>
      </c>
      <c r="I1561" s="7">
        <v>46.8215</v>
      </c>
      <c r="J1561" s="7">
        <v>-71.355400000000003</v>
      </c>
      <c r="K1561" s="7">
        <v>46.8872</v>
      </c>
      <c r="L1561" s="7">
        <v>-71.27</v>
      </c>
      <c r="M1561" s="10" t="str">
        <f t="shared" si="149"/>
        <v>C20</v>
      </c>
      <c r="N1561" s="10" t="str">
        <f t="shared" si="150"/>
        <v>C70</v>
      </c>
      <c r="O1561" s="5">
        <f t="shared" si="151"/>
        <v>9.7745294421833382</v>
      </c>
      <c r="P1561" s="22">
        <f>O1561/Explications!$C$8</f>
        <v>0.32581764807277797</v>
      </c>
      <c r="Q1561" s="7" t="str">
        <f t="shared" si="152"/>
        <v>C70</v>
      </c>
      <c r="R1561" s="7" t="str">
        <f t="shared" si="153"/>
        <v>C20</v>
      </c>
      <c r="S1561" s="18">
        <f t="shared" si="154"/>
        <v>9.7745294421833382</v>
      </c>
      <c r="T1561" s="18">
        <f>S1561/Explications!$C$8</f>
        <v>0.32581764807277797</v>
      </c>
    </row>
    <row r="1562" spans="7:20">
      <c r="G1562" s="7" t="s">
        <v>36</v>
      </c>
      <c r="H1562" s="7" t="s">
        <v>87</v>
      </c>
      <c r="I1562" s="7">
        <v>46.8215</v>
      </c>
      <c r="J1562" s="7">
        <v>-71.355400000000003</v>
      </c>
      <c r="K1562" s="7">
        <v>46.816299999999998</v>
      </c>
      <c r="L1562" s="7">
        <v>-71.210300000000004</v>
      </c>
      <c r="M1562" s="10" t="str">
        <f t="shared" si="149"/>
        <v>C20</v>
      </c>
      <c r="N1562" s="10" t="str">
        <f t="shared" si="150"/>
        <v>C71</v>
      </c>
      <c r="O1562" s="5">
        <f t="shared" si="151"/>
        <v>11.055994118269238</v>
      </c>
      <c r="P1562" s="22">
        <f>O1562/Explications!$C$8</f>
        <v>0.36853313727564124</v>
      </c>
      <c r="Q1562" s="7" t="str">
        <f t="shared" si="152"/>
        <v>C71</v>
      </c>
      <c r="R1562" s="7" t="str">
        <f t="shared" si="153"/>
        <v>C20</v>
      </c>
      <c r="S1562" s="18">
        <f t="shared" si="154"/>
        <v>11.055994118269238</v>
      </c>
      <c r="T1562" s="18">
        <f>S1562/Explications!$C$8</f>
        <v>0.36853313727564124</v>
      </c>
    </row>
    <row r="1563" spans="7:20">
      <c r="G1563" s="7" t="s">
        <v>36</v>
      </c>
      <c r="H1563" s="7" t="s">
        <v>88</v>
      </c>
      <c r="I1563" s="7">
        <v>46.8215</v>
      </c>
      <c r="J1563" s="7">
        <v>-71.355400000000003</v>
      </c>
      <c r="K1563" s="7">
        <v>46.807000000000002</v>
      </c>
      <c r="L1563" s="7">
        <v>-71.3566</v>
      </c>
      <c r="M1563" s="10" t="str">
        <f t="shared" si="149"/>
        <v>C20</v>
      </c>
      <c r="N1563" s="10" t="str">
        <f t="shared" si="150"/>
        <v>C72</v>
      </c>
      <c r="O1563" s="5">
        <f t="shared" si="151"/>
        <v>1.6149103509486842</v>
      </c>
      <c r="P1563" s="22">
        <f>O1563/Explications!$C$8</f>
        <v>5.3830345031622803E-2</v>
      </c>
      <c r="Q1563" s="7" t="str">
        <f t="shared" si="152"/>
        <v>C72</v>
      </c>
      <c r="R1563" s="7" t="str">
        <f t="shared" si="153"/>
        <v>C20</v>
      </c>
      <c r="S1563" s="18">
        <f t="shared" si="154"/>
        <v>1.6149103509486842</v>
      </c>
      <c r="T1563" s="18">
        <f>S1563/Explications!$C$8</f>
        <v>5.3830345031622803E-2</v>
      </c>
    </row>
    <row r="1564" spans="7:20">
      <c r="G1564" s="7" t="s">
        <v>36</v>
      </c>
      <c r="H1564" s="7" t="s">
        <v>89</v>
      </c>
      <c r="I1564" s="7">
        <v>46.8215</v>
      </c>
      <c r="J1564" s="7">
        <v>-71.355400000000003</v>
      </c>
      <c r="K1564" s="7">
        <v>46.822899999999997</v>
      </c>
      <c r="L1564" s="7">
        <v>-71.341899999999995</v>
      </c>
      <c r="M1564" s="10" t="str">
        <f t="shared" si="149"/>
        <v>C20</v>
      </c>
      <c r="N1564" s="10" t="str">
        <f t="shared" si="150"/>
        <v>C73</v>
      </c>
      <c r="O1564" s="5">
        <f t="shared" si="151"/>
        <v>1.0389006895016992</v>
      </c>
      <c r="P1564" s="22">
        <f>O1564/Explications!$C$8</f>
        <v>3.4630022983389977E-2</v>
      </c>
      <c r="Q1564" s="7" t="str">
        <f t="shared" si="152"/>
        <v>C73</v>
      </c>
      <c r="R1564" s="7" t="str">
        <f t="shared" si="153"/>
        <v>C20</v>
      </c>
      <c r="S1564" s="18">
        <f t="shared" si="154"/>
        <v>1.0389006895016992</v>
      </c>
      <c r="T1564" s="18">
        <f>S1564/Explications!$C$8</f>
        <v>3.4630022983389977E-2</v>
      </c>
    </row>
    <row r="1565" spans="7:20">
      <c r="G1565" s="7" t="s">
        <v>36</v>
      </c>
      <c r="H1565" s="7" t="s">
        <v>90</v>
      </c>
      <c r="I1565" s="7">
        <v>46.8215</v>
      </c>
      <c r="J1565" s="7">
        <v>-71.355400000000003</v>
      </c>
      <c r="K1565" s="7">
        <v>46.730699999999999</v>
      </c>
      <c r="L1565" s="7">
        <v>-71.261099999999999</v>
      </c>
      <c r="M1565" s="10" t="str">
        <f t="shared" si="149"/>
        <v>C20</v>
      </c>
      <c r="N1565" s="10" t="str">
        <f t="shared" si="150"/>
        <v>C74</v>
      </c>
      <c r="O1565" s="5">
        <f t="shared" si="151"/>
        <v>12.389829904485442</v>
      </c>
      <c r="P1565" s="22">
        <f>O1565/Explications!$C$8</f>
        <v>0.41299433014951475</v>
      </c>
      <c r="Q1565" s="7" t="str">
        <f t="shared" si="152"/>
        <v>C74</v>
      </c>
      <c r="R1565" s="7" t="str">
        <f t="shared" si="153"/>
        <v>C20</v>
      </c>
      <c r="S1565" s="18">
        <f t="shared" si="154"/>
        <v>12.389829904485442</v>
      </c>
      <c r="T1565" s="18">
        <f>S1565/Explications!$C$8</f>
        <v>0.41299433014951475</v>
      </c>
    </row>
    <row r="1566" spans="7:20">
      <c r="G1566" s="7" t="s">
        <v>36</v>
      </c>
      <c r="H1566" s="7" t="s">
        <v>91</v>
      </c>
      <c r="I1566" s="7">
        <v>46.8215</v>
      </c>
      <c r="J1566" s="7">
        <v>-71.355400000000003</v>
      </c>
      <c r="K1566" s="7">
        <v>46.840600000000002</v>
      </c>
      <c r="L1566" s="7">
        <v>-71.289100000000005</v>
      </c>
      <c r="M1566" s="10" t="str">
        <f t="shared" si="149"/>
        <v>C20</v>
      </c>
      <c r="N1566" s="10" t="str">
        <f t="shared" si="150"/>
        <v>C75</v>
      </c>
      <c r="O1566" s="5">
        <f t="shared" si="151"/>
        <v>5.4726361116457714</v>
      </c>
      <c r="P1566" s="22">
        <f>O1566/Explications!$C$8</f>
        <v>0.1824212037215257</v>
      </c>
      <c r="Q1566" s="7" t="str">
        <f t="shared" si="152"/>
        <v>C75</v>
      </c>
      <c r="R1566" s="7" t="str">
        <f t="shared" si="153"/>
        <v>C20</v>
      </c>
      <c r="S1566" s="18">
        <f t="shared" si="154"/>
        <v>5.4726361116457714</v>
      </c>
      <c r="T1566" s="18">
        <f>S1566/Explications!$C$8</f>
        <v>0.1824212037215257</v>
      </c>
    </row>
    <row r="1567" spans="7:20">
      <c r="G1567" s="7" t="s">
        <v>36</v>
      </c>
      <c r="H1567" s="7" t="s">
        <v>92</v>
      </c>
      <c r="I1567" s="7">
        <v>46.8215</v>
      </c>
      <c r="J1567" s="7">
        <v>-71.355400000000003</v>
      </c>
      <c r="K1567" s="7">
        <v>46.840600000000002</v>
      </c>
      <c r="L1567" s="7">
        <v>-71.281599999999997</v>
      </c>
      <c r="M1567" s="10" t="str">
        <f t="shared" si="149"/>
        <v>C20</v>
      </c>
      <c r="N1567" s="10" t="str">
        <f t="shared" si="150"/>
        <v>C76</v>
      </c>
      <c r="O1567" s="5">
        <f t="shared" si="151"/>
        <v>6.0025609386437333</v>
      </c>
      <c r="P1567" s="22">
        <f>O1567/Explications!$C$8</f>
        <v>0.20008536462145779</v>
      </c>
      <c r="Q1567" s="7" t="str">
        <f t="shared" si="152"/>
        <v>C76</v>
      </c>
      <c r="R1567" s="7" t="str">
        <f t="shared" si="153"/>
        <v>C20</v>
      </c>
      <c r="S1567" s="18">
        <f t="shared" si="154"/>
        <v>6.0025609386437333</v>
      </c>
      <c r="T1567" s="18">
        <f>S1567/Explications!$C$8</f>
        <v>0.20008536462145779</v>
      </c>
    </row>
    <row r="1568" spans="7:20">
      <c r="G1568" s="7" t="s">
        <v>36</v>
      </c>
      <c r="H1568" s="7" t="s">
        <v>93</v>
      </c>
      <c r="I1568" s="7">
        <v>46.8215</v>
      </c>
      <c r="J1568" s="7">
        <v>-71.355400000000003</v>
      </c>
      <c r="K1568" s="7">
        <v>46.839399999999998</v>
      </c>
      <c r="L1568" s="7">
        <v>-71.282600000000002</v>
      </c>
      <c r="M1568" s="10" t="str">
        <f t="shared" si="149"/>
        <v>C20</v>
      </c>
      <c r="N1568" s="10" t="str">
        <f t="shared" si="150"/>
        <v>C77</v>
      </c>
      <c r="O1568" s="5">
        <f t="shared" si="151"/>
        <v>5.8850684860360598</v>
      </c>
      <c r="P1568" s="22">
        <f>O1568/Explications!$C$8</f>
        <v>0.19616894953453531</v>
      </c>
      <c r="Q1568" s="7" t="str">
        <f t="shared" si="152"/>
        <v>C77</v>
      </c>
      <c r="R1568" s="7" t="str">
        <f t="shared" si="153"/>
        <v>C20</v>
      </c>
      <c r="S1568" s="18">
        <f t="shared" si="154"/>
        <v>5.8850684860360598</v>
      </c>
      <c r="T1568" s="18">
        <f>S1568/Explications!$C$8</f>
        <v>0.19616894953453531</v>
      </c>
    </row>
    <row r="1569" spans="7:20">
      <c r="G1569" s="7" t="s">
        <v>36</v>
      </c>
      <c r="H1569" s="7" t="s">
        <v>94</v>
      </c>
      <c r="I1569" s="7">
        <v>46.8215</v>
      </c>
      <c r="J1569" s="7">
        <v>-71.355400000000003</v>
      </c>
      <c r="K1569" s="7">
        <v>46.788499999999999</v>
      </c>
      <c r="L1569" s="7">
        <v>-71.282399999999996</v>
      </c>
      <c r="M1569" s="10" t="str">
        <f t="shared" si="149"/>
        <v>C20</v>
      </c>
      <c r="N1569" s="10" t="str">
        <f t="shared" si="150"/>
        <v>C78</v>
      </c>
      <c r="O1569" s="5">
        <f t="shared" si="151"/>
        <v>6.6584595897357577</v>
      </c>
      <c r="P1569" s="22">
        <f>O1569/Explications!$C$8</f>
        <v>0.22194865299119193</v>
      </c>
      <c r="Q1569" s="7" t="str">
        <f t="shared" si="152"/>
        <v>C78</v>
      </c>
      <c r="R1569" s="7" t="str">
        <f t="shared" si="153"/>
        <v>C20</v>
      </c>
      <c r="S1569" s="18">
        <f t="shared" si="154"/>
        <v>6.6584595897357577</v>
      </c>
      <c r="T1569" s="18">
        <f>S1569/Explications!$C$8</f>
        <v>0.22194865299119193</v>
      </c>
    </row>
    <row r="1570" spans="7:20">
      <c r="G1570" s="7" t="s">
        <v>36</v>
      </c>
      <c r="H1570" s="7" t="s">
        <v>95</v>
      </c>
      <c r="I1570" s="7">
        <v>46.8215</v>
      </c>
      <c r="J1570" s="7">
        <v>-71.355400000000003</v>
      </c>
      <c r="K1570" s="7">
        <v>46.840699999999998</v>
      </c>
      <c r="L1570" s="7">
        <v>-71.325400000000002</v>
      </c>
      <c r="M1570" s="10" t="str">
        <f t="shared" si="149"/>
        <v>C20</v>
      </c>
      <c r="N1570" s="10" t="str">
        <f t="shared" si="150"/>
        <v>C79</v>
      </c>
      <c r="O1570" s="5">
        <f t="shared" si="151"/>
        <v>3.1251446523214481</v>
      </c>
      <c r="P1570" s="22">
        <f>O1570/Explications!$C$8</f>
        <v>0.10417148841071494</v>
      </c>
      <c r="Q1570" s="7" t="str">
        <f t="shared" si="152"/>
        <v>C79</v>
      </c>
      <c r="R1570" s="7" t="str">
        <f t="shared" si="153"/>
        <v>C20</v>
      </c>
      <c r="S1570" s="18">
        <f t="shared" si="154"/>
        <v>3.1251446523214481</v>
      </c>
      <c r="T1570" s="18">
        <f>S1570/Explications!$C$8</f>
        <v>0.10417148841071494</v>
      </c>
    </row>
    <row r="1571" spans="7:20">
      <c r="G1571" s="7" t="s">
        <v>36</v>
      </c>
      <c r="H1571" s="7" t="s">
        <v>96</v>
      </c>
      <c r="I1571" s="7">
        <v>46.8215</v>
      </c>
      <c r="J1571" s="7">
        <v>-71.355400000000003</v>
      </c>
      <c r="K1571" s="7">
        <v>46.798400000000001</v>
      </c>
      <c r="L1571" s="7">
        <v>-71.183199999999999</v>
      </c>
      <c r="M1571" s="10" t="str">
        <f t="shared" si="149"/>
        <v>C20</v>
      </c>
      <c r="N1571" s="10" t="str">
        <f t="shared" si="150"/>
        <v>C80</v>
      </c>
      <c r="O1571" s="5">
        <f t="shared" si="151"/>
        <v>13.354471663682865</v>
      </c>
      <c r="P1571" s="22">
        <f>O1571/Explications!$C$8</f>
        <v>0.44514905545609551</v>
      </c>
      <c r="Q1571" s="7" t="str">
        <f t="shared" si="152"/>
        <v>C80</v>
      </c>
      <c r="R1571" s="7" t="str">
        <f t="shared" si="153"/>
        <v>C20</v>
      </c>
      <c r="S1571" s="18">
        <f t="shared" si="154"/>
        <v>13.354471663682865</v>
      </c>
      <c r="T1571" s="18">
        <f>S1571/Explications!$C$8</f>
        <v>0.44514905545609551</v>
      </c>
    </row>
    <row r="1572" spans="7:20">
      <c r="G1572" s="7" t="s">
        <v>36</v>
      </c>
      <c r="H1572" s="7" t="s">
        <v>97</v>
      </c>
      <c r="I1572" s="7">
        <v>46.8215</v>
      </c>
      <c r="J1572" s="7">
        <v>-71.355400000000003</v>
      </c>
      <c r="K1572" s="7">
        <v>46.724800000000002</v>
      </c>
      <c r="L1572" s="7">
        <v>-71.2988</v>
      </c>
      <c r="M1572" s="10" t="str">
        <f t="shared" si="149"/>
        <v>C20</v>
      </c>
      <c r="N1572" s="10" t="str">
        <f t="shared" si="150"/>
        <v>C81</v>
      </c>
      <c r="O1572" s="5">
        <f t="shared" si="151"/>
        <v>11.584350273562059</v>
      </c>
      <c r="P1572" s="22">
        <f>O1572/Explications!$C$8</f>
        <v>0.38614500911873528</v>
      </c>
      <c r="Q1572" s="7" t="str">
        <f t="shared" si="152"/>
        <v>C81</v>
      </c>
      <c r="R1572" s="7" t="str">
        <f t="shared" si="153"/>
        <v>C20</v>
      </c>
      <c r="S1572" s="18">
        <f t="shared" si="154"/>
        <v>11.584350273562059</v>
      </c>
      <c r="T1572" s="18">
        <f>S1572/Explications!$C$8</f>
        <v>0.38614500911873528</v>
      </c>
    </row>
    <row r="1573" spans="7:20">
      <c r="G1573" s="7" t="s">
        <v>36</v>
      </c>
      <c r="H1573" s="7" t="s">
        <v>98</v>
      </c>
      <c r="I1573" s="7">
        <v>46.8215</v>
      </c>
      <c r="J1573" s="7">
        <v>-71.355400000000003</v>
      </c>
      <c r="K1573" s="7">
        <v>46.795499999999997</v>
      </c>
      <c r="L1573" s="7">
        <v>-71.242900000000006</v>
      </c>
      <c r="M1573" s="10" t="str">
        <f t="shared" si="149"/>
        <v>C20</v>
      </c>
      <c r="N1573" s="10" t="str">
        <f t="shared" si="150"/>
        <v>C82</v>
      </c>
      <c r="O1573" s="5">
        <f t="shared" si="151"/>
        <v>9.0368736086722272</v>
      </c>
      <c r="P1573" s="22">
        <f>O1573/Explications!$C$8</f>
        <v>0.30122912028907423</v>
      </c>
      <c r="Q1573" s="7" t="str">
        <f t="shared" si="152"/>
        <v>C82</v>
      </c>
      <c r="R1573" s="7" t="str">
        <f t="shared" si="153"/>
        <v>C20</v>
      </c>
      <c r="S1573" s="18">
        <f t="shared" si="154"/>
        <v>9.0368736086722272</v>
      </c>
      <c r="T1573" s="18">
        <f>S1573/Explications!$C$8</f>
        <v>0.30122912028907423</v>
      </c>
    </row>
    <row r="1574" spans="7:20">
      <c r="G1574" s="7" t="s">
        <v>36</v>
      </c>
      <c r="H1574" s="7" t="s">
        <v>99</v>
      </c>
      <c r="I1574" s="7">
        <v>46.8215</v>
      </c>
      <c r="J1574" s="7">
        <v>-71.355400000000003</v>
      </c>
      <c r="K1574" s="7">
        <v>46.8157</v>
      </c>
      <c r="L1574" s="7">
        <v>-71.201899999999995</v>
      </c>
      <c r="M1574" s="10" t="str">
        <f t="shared" si="149"/>
        <v>C20</v>
      </c>
      <c r="N1574" s="10" t="str">
        <f t="shared" si="150"/>
        <v>C83</v>
      </c>
      <c r="O1574" s="5">
        <f t="shared" si="151"/>
        <v>11.697888451761358</v>
      </c>
      <c r="P1574" s="22">
        <f>O1574/Explications!$C$8</f>
        <v>0.38992961505871193</v>
      </c>
      <c r="Q1574" s="7" t="str">
        <f t="shared" si="152"/>
        <v>C83</v>
      </c>
      <c r="R1574" s="7" t="str">
        <f t="shared" si="153"/>
        <v>C20</v>
      </c>
      <c r="S1574" s="18">
        <f t="shared" si="154"/>
        <v>11.697888451761358</v>
      </c>
      <c r="T1574" s="18">
        <f>S1574/Explications!$C$8</f>
        <v>0.38992961505871193</v>
      </c>
    </row>
    <row r="1575" spans="7:20">
      <c r="G1575" s="7" t="s">
        <v>36</v>
      </c>
      <c r="H1575" s="7" t="s">
        <v>100</v>
      </c>
      <c r="I1575" s="7">
        <v>46.8215</v>
      </c>
      <c r="J1575" s="7">
        <v>-71.355400000000003</v>
      </c>
      <c r="K1575" s="7">
        <v>46.837600000000002</v>
      </c>
      <c r="L1575" s="7">
        <v>-71.196299999999994</v>
      </c>
      <c r="M1575" s="10" t="str">
        <f t="shared" si="149"/>
        <v>C20</v>
      </c>
      <c r="N1575" s="10" t="str">
        <f t="shared" si="150"/>
        <v>C84</v>
      </c>
      <c r="O1575" s="5">
        <f t="shared" si="151"/>
        <v>12.235423879249954</v>
      </c>
      <c r="P1575" s="22">
        <f>O1575/Explications!$C$8</f>
        <v>0.4078474626416651</v>
      </c>
      <c r="Q1575" s="7" t="str">
        <f t="shared" si="152"/>
        <v>C84</v>
      </c>
      <c r="R1575" s="7" t="str">
        <f t="shared" si="153"/>
        <v>C20</v>
      </c>
      <c r="S1575" s="18">
        <f t="shared" si="154"/>
        <v>12.235423879249954</v>
      </c>
      <c r="T1575" s="18">
        <f>S1575/Explications!$C$8</f>
        <v>0.4078474626416651</v>
      </c>
    </row>
    <row r="1576" spans="7:20">
      <c r="G1576" s="7" t="s">
        <v>36</v>
      </c>
      <c r="H1576" s="7" t="s">
        <v>101</v>
      </c>
      <c r="I1576" s="7">
        <v>46.8215</v>
      </c>
      <c r="J1576" s="7">
        <v>-71.355400000000003</v>
      </c>
      <c r="K1576" s="7">
        <v>46.7988</v>
      </c>
      <c r="L1576" s="7">
        <v>-71.318200000000004</v>
      </c>
      <c r="M1576" s="10" t="str">
        <f t="shared" si="149"/>
        <v>C20</v>
      </c>
      <c r="N1576" s="10" t="str">
        <f t="shared" si="150"/>
        <v>C85</v>
      </c>
      <c r="O1576" s="5">
        <f t="shared" si="151"/>
        <v>3.7929032368007936</v>
      </c>
      <c r="P1576" s="22">
        <f>O1576/Explications!$C$8</f>
        <v>0.12643010789335979</v>
      </c>
      <c r="Q1576" s="7" t="str">
        <f t="shared" si="152"/>
        <v>C85</v>
      </c>
      <c r="R1576" s="7" t="str">
        <f t="shared" si="153"/>
        <v>C20</v>
      </c>
      <c r="S1576" s="18">
        <f t="shared" si="154"/>
        <v>3.7929032368007936</v>
      </c>
      <c r="T1576" s="18">
        <f>S1576/Explications!$C$8</f>
        <v>0.12643010789335979</v>
      </c>
    </row>
    <row r="1577" spans="7:20">
      <c r="G1577" s="7" t="s">
        <v>37</v>
      </c>
      <c r="H1577" s="7" t="s">
        <v>38</v>
      </c>
      <c r="I1577" s="7">
        <v>46.8093</v>
      </c>
      <c r="J1577" s="7">
        <v>-71.2273</v>
      </c>
      <c r="K1577" s="7">
        <v>46.781300000000002</v>
      </c>
      <c r="L1577" s="7">
        <v>-71.301000000000002</v>
      </c>
      <c r="M1577" s="10" t="str">
        <f t="shared" si="149"/>
        <v>C21</v>
      </c>
      <c r="N1577" s="10" t="str">
        <f t="shared" si="150"/>
        <v>C22</v>
      </c>
      <c r="O1577" s="5">
        <f t="shared" si="151"/>
        <v>6.4164000856563517</v>
      </c>
      <c r="P1577" s="22">
        <f>O1577/Explications!$C$8</f>
        <v>0.21388000285521172</v>
      </c>
      <c r="Q1577" s="7" t="str">
        <f t="shared" si="152"/>
        <v>C22</v>
      </c>
      <c r="R1577" s="7" t="str">
        <f t="shared" si="153"/>
        <v>C21</v>
      </c>
      <c r="S1577" s="18">
        <f t="shared" si="154"/>
        <v>6.4164000856563517</v>
      </c>
      <c r="T1577" s="18">
        <f>S1577/Explications!$C$8</f>
        <v>0.21388000285521172</v>
      </c>
    </row>
    <row r="1578" spans="7:20">
      <c r="G1578" s="7" t="s">
        <v>37</v>
      </c>
      <c r="H1578" s="7" t="s">
        <v>39</v>
      </c>
      <c r="I1578" s="7">
        <v>46.8093</v>
      </c>
      <c r="J1578" s="7">
        <v>-71.2273</v>
      </c>
      <c r="K1578" s="7">
        <v>46.844900000000003</v>
      </c>
      <c r="L1578" s="7">
        <v>-71.251400000000004</v>
      </c>
      <c r="M1578" s="10" t="str">
        <f t="shared" si="149"/>
        <v>C21</v>
      </c>
      <c r="N1578" s="10" t="str">
        <f t="shared" si="150"/>
        <v>C23</v>
      </c>
      <c r="O1578" s="5">
        <f t="shared" si="151"/>
        <v>4.3625499897499989</v>
      </c>
      <c r="P1578" s="22">
        <f>O1578/Explications!$C$8</f>
        <v>0.14541833299166662</v>
      </c>
      <c r="Q1578" s="7" t="str">
        <f t="shared" si="152"/>
        <v>C23</v>
      </c>
      <c r="R1578" s="7" t="str">
        <f t="shared" si="153"/>
        <v>C21</v>
      </c>
      <c r="S1578" s="18">
        <f t="shared" si="154"/>
        <v>4.3625499897499989</v>
      </c>
      <c r="T1578" s="18">
        <f>S1578/Explications!$C$8</f>
        <v>0.14541833299166662</v>
      </c>
    </row>
    <row r="1579" spans="7:20">
      <c r="G1579" s="7" t="s">
        <v>37</v>
      </c>
      <c r="H1579" s="7" t="s">
        <v>40</v>
      </c>
      <c r="I1579" s="7">
        <v>46.8093</v>
      </c>
      <c r="J1579" s="7">
        <v>-71.2273</v>
      </c>
      <c r="K1579" s="7">
        <v>46.805500000000002</v>
      </c>
      <c r="L1579" s="7">
        <v>-71.2196</v>
      </c>
      <c r="M1579" s="10" t="str">
        <f t="shared" si="149"/>
        <v>C21</v>
      </c>
      <c r="N1579" s="10" t="str">
        <f t="shared" si="150"/>
        <v>C24</v>
      </c>
      <c r="O1579" s="5">
        <f t="shared" si="151"/>
        <v>0.72247556931338153</v>
      </c>
      <c r="P1579" s="22">
        <f>O1579/Explications!$C$8</f>
        <v>2.4082518977112718E-2</v>
      </c>
      <c r="Q1579" s="7" t="str">
        <f t="shared" si="152"/>
        <v>C24</v>
      </c>
      <c r="R1579" s="7" t="str">
        <f t="shared" si="153"/>
        <v>C21</v>
      </c>
      <c r="S1579" s="18">
        <f t="shared" si="154"/>
        <v>0.72247556931338153</v>
      </c>
      <c r="T1579" s="18">
        <f>S1579/Explications!$C$8</f>
        <v>2.4082518977112718E-2</v>
      </c>
    </row>
    <row r="1580" spans="7:20">
      <c r="G1580" s="7" t="s">
        <v>37</v>
      </c>
      <c r="H1580" s="7" t="s">
        <v>41</v>
      </c>
      <c r="I1580" s="7">
        <v>46.8093</v>
      </c>
      <c r="J1580" s="7">
        <v>-71.2273</v>
      </c>
      <c r="K1580" s="7">
        <v>46.734900000000003</v>
      </c>
      <c r="L1580" s="7">
        <v>-71.266199999999998</v>
      </c>
      <c r="M1580" s="10" t="str">
        <f t="shared" si="149"/>
        <v>C21</v>
      </c>
      <c r="N1580" s="10" t="str">
        <f t="shared" si="150"/>
        <v>C25</v>
      </c>
      <c r="O1580" s="5">
        <f t="shared" si="151"/>
        <v>8.7873491385565252</v>
      </c>
      <c r="P1580" s="22">
        <f>O1580/Explications!$C$8</f>
        <v>0.29291163795188419</v>
      </c>
      <c r="Q1580" s="7" t="str">
        <f t="shared" si="152"/>
        <v>C25</v>
      </c>
      <c r="R1580" s="7" t="str">
        <f t="shared" si="153"/>
        <v>C21</v>
      </c>
      <c r="S1580" s="18">
        <f t="shared" si="154"/>
        <v>8.7873491385565252</v>
      </c>
      <c r="T1580" s="18">
        <f>S1580/Explications!$C$8</f>
        <v>0.29291163795188419</v>
      </c>
    </row>
    <row r="1581" spans="7:20">
      <c r="G1581" s="7" t="s">
        <v>37</v>
      </c>
      <c r="H1581" s="7" t="s">
        <v>42</v>
      </c>
      <c r="I1581" s="7">
        <v>46.8093</v>
      </c>
      <c r="J1581" s="7">
        <v>-71.2273</v>
      </c>
      <c r="K1581" s="7">
        <v>46.817700000000002</v>
      </c>
      <c r="L1581" s="7">
        <v>-71.214100000000002</v>
      </c>
      <c r="M1581" s="10" t="str">
        <f t="shared" si="149"/>
        <v>C21</v>
      </c>
      <c r="N1581" s="10" t="str">
        <f t="shared" si="150"/>
        <v>C26</v>
      </c>
      <c r="O1581" s="5">
        <f t="shared" si="151"/>
        <v>1.3716637512992158</v>
      </c>
      <c r="P1581" s="22">
        <f>O1581/Explications!$C$8</f>
        <v>4.5722125043307194E-2</v>
      </c>
      <c r="Q1581" s="7" t="str">
        <f t="shared" si="152"/>
        <v>C26</v>
      </c>
      <c r="R1581" s="7" t="str">
        <f t="shared" si="153"/>
        <v>C21</v>
      </c>
      <c r="S1581" s="18">
        <f t="shared" si="154"/>
        <v>1.3716637512992158</v>
      </c>
      <c r="T1581" s="18">
        <f>S1581/Explications!$C$8</f>
        <v>4.5722125043307194E-2</v>
      </c>
    </row>
    <row r="1582" spans="7:20">
      <c r="G1582" s="7" t="s">
        <v>37</v>
      </c>
      <c r="H1582" s="7" t="s">
        <v>43</v>
      </c>
      <c r="I1582" s="7">
        <v>46.8093</v>
      </c>
      <c r="J1582" s="7">
        <v>-71.2273</v>
      </c>
      <c r="K1582" s="7">
        <v>46.603000000000002</v>
      </c>
      <c r="L1582" s="7">
        <v>-71.490600000000001</v>
      </c>
      <c r="M1582" s="10" t="str">
        <f t="shared" si="149"/>
        <v>C21</v>
      </c>
      <c r="N1582" s="10" t="str">
        <f t="shared" si="150"/>
        <v>C27</v>
      </c>
      <c r="O1582" s="5">
        <f t="shared" si="151"/>
        <v>30.484400716343846</v>
      </c>
      <c r="P1582" s="22">
        <f>O1582/Explications!$C$8</f>
        <v>1.0161466905447949</v>
      </c>
      <c r="Q1582" s="7" t="str">
        <f t="shared" si="152"/>
        <v>C27</v>
      </c>
      <c r="R1582" s="7" t="str">
        <f t="shared" si="153"/>
        <v>C21</v>
      </c>
      <c r="S1582" s="18">
        <f t="shared" si="154"/>
        <v>30.484400716343846</v>
      </c>
      <c r="T1582" s="18">
        <f>S1582/Explications!$C$8</f>
        <v>1.0161466905447949</v>
      </c>
    </row>
    <row r="1583" spans="7:20">
      <c r="G1583" s="7" t="s">
        <v>37</v>
      </c>
      <c r="H1583" s="7" t="s">
        <v>44</v>
      </c>
      <c r="I1583" s="7">
        <v>46.8093</v>
      </c>
      <c r="J1583" s="7">
        <v>-71.2273</v>
      </c>
      <c r="K1583" s="7">
        <v>47.000500000000002</v>
      </c>
      <c r="L1583" s="7">
        <v>-71.388400000000004</v>
      </c>
      <c r="M1583" s="10" t="str">
        <f t="shared" si="149"/>
        <v>C21</v>
      </c>
      <c r="N1583" s="10" t="str">
        <f t="shared" si="150"/>
        <v>C28</v>
      </c>
      <c r="O1583" s="5">
        <f t="shared" si="151"/>
        <v>24.531467292056341</v>
      </c>
      <c r="P1583" s="22">
        <f>O1583/Explications!$C$8</f>
        <v>0.81771557640187809</v>
      </c>
      <c r="Q1583" s="7" t="str">
        <f t="shared" si="152"/>
        <v>C28</v>
      </c>
      <c r="R1583" s="7" t="str">
        <f t="shared" si="153"/>
        <v>C21</v>
      </c>
      <c r="S1583" s="18">
        <f t="shared" si="154"/>
        <v>24.531467292056341</v>
      </c>
      <c r="T1583" s="18">
        <f>S1583/Explications!$C$8</f>
        <v>0.81771557640187809</v>
      </c>
    </row>
    <row r="1584" spans="7:20">
      <c r="G1584" s="7" t="s">
        <v>37</v>
      </c>
      <c r="H1584" s="7" t="s">
        <v>45</v>
      </c>
      <c r="I1584" s="7">
        <v>46.8093</v>
      </c>
      <c r="J1584" s="7">
        <v>-71.2273</v>
      </c>
      <c r="K1584" s="7">
        <v>46.839100000000002</v>
      </c>
      <c r="L1584" s="7">
        <v>-71.245699999999999</v>
      </c>
      <c r="M1584" s="10" t="str">
        <f t="shared" si="149"/>
        <v>C21</v>
      </c>
      <c r="N1584" s="10" t="str">
        <f t="shared" si="150"/>
        <v>C29</v>
      </c>
      <c r="O1584" s="5">
        <f t="shared" si="151"/>
        <v>3.5971998608478253</v>
      </c>
      <c r="P1584" s="22">
        <f>O1584/Explications!$C$8</f>
        <v>0.11990666202826085</v>
      </c>
      <c r="Q1584" s="7" t="str">
        <f t="shared" si="152"/>
        <v>C29</v>
      </c>
      <c r="R1584" s="7" t="str">
        <f t="shared" si="153"/>
        <v>C21</v>
      </c>
      <c r="S1584" s="18">
        <f t="shared" si="154"/>
        <v>3.5971998608478253</v>
      </c>
      <c r="T1584" s="18">
        <f>S1584/Explications!$C$8</f>
        <v>0.11990666202826085</v>
      </c>
    </row>
    <row r="1585" spans="7:20">
      <c r="G1585" s="7" t="s">
        <v>37</v>
      </c>
      <c r="H1585" s="7" t="s">
        <v>46</v>
      </c>
      <c r="I1585" s="7">
        <v>46.8093</v>
      </c>
      <c r="J1585" s="7">
        <v>-71.2273</v>
      </c>
      <c r="K1585" s="7">
        <v>46.865699999999997</v>
      </c>
      <c r="L1585" s="7">
        <v>-71.27</v>
      </c>
      <c r="M1585" s="10" t="str">
        <f t="shared" si="149"/>
        <v>C21</v>
      </c>
      <c r="N1585" s="10" t="str">
        <f t="shared" si="150"/>
        <v>C30</v>
      </c>
      <c r="O1585" s="5">
        <f t="shared" si="151"/>
        <v>7.062559640493757</v>
      </c>
      <c r="P1585" s="22">
        <f>O1585/Explications!$C$8</f>
        <v>0.23541865468312523</v>
      </c>
      <c r="Q1585" s="7" t="str">
        <f t="shared" si="152"/>
        <v>C30</v>
      </c>
      <c r="R1585" s="7" t="str">
        <f t="shared" si="153"/>
        <v>C21</v>
      </c>
      <c r="S1585" s="18">
        <f t="shared" si="154"/>
        <v>7.062559640493757</v>
      </c>
      <c r="T1585" s="18">
        <f>S1585/Explications!$C$8</f>
        <v>0.23541865468312523</v>
      </c>
    </row>
    <row r="1586" spans="7:20">
      <c r="G1586" s="7" t="s">
        <v>37</v>
      </c>
      <c r="H1586" s="7" t="s">
        <v>47</v>
      </c>
      <c r="I1586" s="7">
        <v>46.8093</v>
      </c>
      <c r="J1586" s="7">
        <v>-71.2273</v>
      </c>
      <c r="K1586" s="7">
        <v>46.805500000000002</v>
      </c>
      <c r="L1586" s="7">
        <v>-71.217299999999994</v>
      </c>
      <c r="M1586" s="10" t="str">
        <f t="shared" si="149"/>
        <v>C21</v>
      </c>
      <c r="N1586" s="10" t="str">
        <f t="shared" si="150"/>
        <v>C31</v>
      </c>
      <c r="O1586" s="5">
        <f t="shared" si="151"/>
        <v>0.87050490706629025</v>
      </c>
      <c r="P1586" s="22">
        <f>O1586/Explications!$C$8</f>
        <v>2.9016830235543009E-2</v>
      </c>
      <c r="Q1586" s="7" t="str">
        <f t="shared" si="152"/>
        <v>C31</v>
      </c>
      <c r="R1586" s="7" t="str">
        <f t="shared" si="153"/>
        <v>C21</v>
      </c>
      <c r="S1586" s="18">
        <f t="shared" si="154"/>
        <v>0.87050490706629025</v>
      </c>
      <c r="T1586" s="18">
        <f>S1586/Explications!$C$8</f>
        <v>2.9016830235543009E-2</v>
      </c>
    </row>
    <row r="1587" spans="7:20">
      <c r="G1587" s="7" t="s">
        <v>37</v>
      </c>
      <c r="H1587" s="7" t="s">
        <v>48</v>
      </c>
      <c r="I1587" s="7">
        <v>46.8093</v>
      </c>
      <c r="J1587" s="7">
        <v>-71.2273</v>
      </c>
      <c r="K1587" s="7">
        <v>46.792299999999997</v>
      </c>
      <c r="L1587" s="7">
        <v>-71.172899999999998</v>
      </c>
      <c r="M1587" s="10" t="str">
        <f t="shared" si="149"/>
        <v>C21</v>
      </c>
      <c r="N1587" s="10" t="str">
        <f t="shared" si="150"/>
        <v>C32</v>
      </c>
      <c r="O1587" s="5">
        <f t="shared" si="151"/>
        <v>4.5518384237715193</v>
      </c>
      <c r="P1587" s="22">
        <f>O1587/Explications!$C$8</f>
        <v>0.15172794745905063</v>
      </c>
      <c r="Q1587" s="7" t="str">
        <f t="shared" si="152"/>
        <v>C32</v>
      </c>
      <c r="R1587" s="7" t="str">
        <f t="shared" si="153"/>
        <v>C21</v>
      </c>
      <c r="S1587" s="18">
        <f t="shared" si="154"/>
        <v>4.5518384237715193</v>
      </c>
      <c r="T1587" s="18">
        <f>S1587/Explications!$C$8</f>
        <v>0.15172794745905063</v>
      </c>
    </row>
    <row r="1588" spans="7:20">
      <c r="G1588" s="7" t="s">
        <v>37</v>
      </c>
      <c r="H1588" s="7" t="s">
        <v>49</v>
      </c>
      <c r="I1588" s="7">
        <v>46.8093</v>
      </c>
      <c r="J1588" s="7">
        <v>-71.2273</v>
      </c>
      <c r="K1588" s="7">
        <v>46.7883</v>
      </c>
      <c r="L1588" s="7">
        <v>-71.131200000000007</v>
      </c>
      <c r="M1588" s="10" t="str">
        <f t="shared" si="149"/>
        <v>C21</v>
      </c>
      <c r="N1588" s="10" t="str">
        <f t="shared" si="150"/>
        <v>C33</v>
      </c>
      <c r="O1588" s="5">
        <f t="shared" si="151"/>
        <v>7.6787769566672299</v>
      </c>
      <c r="P1588" s="22">
        <f>O1588/Explications!$C$8</f>
        <v>0.25595923188890768</v>
      </c>
      <c r="Q1588" s="7" t="str">
        <f t="shared" si="152"/>
        <v>C33</v>
      </c>
      <c r="R1588" s="7" t="str">
        <f t="shared" si="153"/>
        <v>C21</v>
      </c>
      <c r="S1588" s="18">
        <f t="shared" si="154"/>
        <v>7.6787769566672299</v>
      </c>
      <c r="T1588" s="18">
        <f>S1588/Explications!$C$8</f>
        <v>0.25595923188890768</v>
      </c>
    </row>
    <row r="1589" spans="7:20">
      <c r="G1589" s="7" t="s">
        <v>37</v>
      </c>
      <c r="H1589" s="7" t="s">
        <v>50</v>
      </c>
      <c r="I1589" s="7">
        <v>46.8093</v>
      </c>
      <c r="J1589" s="7">
        <v>-71.2273</v>
      </c>
      <c r="K1589" s="7">
        <v>46.8611</v>
      </c>
      <c r="L1589" s="7">
        <v>-71.268799999999999</v>
      </c>
      <c r="M1589" s="10" t="str">
        <f t="shared" si="149"/>
        <v>C21</v>
      </c>
      <c r="N1589" s="10" t="str">
        <f t="shared" si="150"/>
        <v>C34</v>
      </c>
      <c r="O1589" s="5">
        <f t="shared" si="151"/>
        <v>6.5682592875927384</v>
      </c>
      <c r="P1589" s="22">
        <f>O1589/Explications!$C$8</f>
        <v>0.21894197625309128</v>
      </c>
      <c r="Q1589" s="7" t="str">
        <f t="shared" si="152"/>
        <v>C34</v>
      </c>
      <c r="R1589" s="7" t="str">
        <f t="shared" si="153"/>
        <v>C21</v>
      </c>
      <c r="S1589" s="18">
        <f t="shared" si="154"/>
        <v>6.5682592875927384</v>
      </c>
      <c r="T1589" s="18">
        <f>S1589/Explications!$C$8</f>
        <v>0.21894197625309128</v>
      </c>
    </row>
    <row r="1590" spans="7:20">
      <c r="G1590" s="7" t="s">
        <v>37</v>
      </c>
      <c r="H1590" s="7" t="s">
        <v>51</v>
      </c>
      <c r="I1590" s="7">
        <v>46.8093</v>
      </c>
      <c r="J1590" s="7">
        <v>-71.2273</v>
      </c>
      <c r="K1590" s="7">
        <v>46.869700000000002</v>
      </c>
      <c r="L1590" s="7">
        <v>-71.205200000000005</v>
      </c>
      <c r="M1590" s="10" t="str">
        <f t="shared" si="149"/>
        <v>C21</v>
      </c>
      <c r="N1590" s="10" t="str">
        <f t="shared" si="150"/>
        <v>C35</v>
      </c>
      <c r="O1590" s="5">
        <f t="shared" si="151"/>
        <v>6.9233421687025958</v>
      </c>
      <c r="P1590" s="22">
        <f>O1590/Explications!$C$8</f>
        <v>0.23077807229008654</v>
      </c>
      <c r="Q1590" s="7" t="str">
        <f t="shared" si="152"/>
        <v>C35</v>
      </c>
      <c r="R1590" s="7" t="str">
        <f t="shared" si="153"/>
        <v>C21</v>
      </c>
      <c r="S1590" s="18">
        <f t="shared" si="154"/>
        <v>6.9233421687025958</v>
      </c>
      <c r="T1590" s="18">
        <f>S1590/Explications!$C$8</f>
        <v>0.23077807229008654</v>
      </c>
    </row>
    <row r="1591" spans="7:20">
      <c r="G1591" s="7" t="s">
        <v>37</v>
      </c>
      <c r="H1591" s="7" t="s">
        <v>52</v>
      </c>
      <c r="I1591" s="7">
        <v>46.8093</v>
      </c>
      <c r="J1591" s="7">
        <v>-71.2273</v>
      </c>
      <c r="K1591" s="7">
        <v>46.774099999999997</v>
      </c>
      <c r="L1591" s="7">
        <v>-71.174000000000007</v>
      </c>
      <c r="M1591" s="10" t="str">
        <f t="shared" si="149"/>
        <v>C21</v>
      </c>
      <c r="N1591" s="10" t="str">
        <f t="shared" si="150"/>
        <v>C36</v>
      </c>
      <c r="O1591" s="5">
        <f t="shared" si="151"/>
        <v>5.6378185609539635</v>
      </c>
      <c r="P1591" s="22">
        <f>O1591/Explications!$C$8</f>
        <v>0.18792728536513212</v>
      </c>
      <c r="Q1591" s="7" t="str">
        <f t="shared" si="152"/>
        <v>C36</v>
      </c>
      <c r="R1591" s="7" t="str">
        <f t="shared" si="153"/>
        <v>C21</v>
      </c>
      <c r="S1591" s="18">
        <f t="shared" si="154"/>
        <v>5.6378185609539635</v>
      </c>
      <c r="T1591" s="18">
        <f>S1591/Explications!$C$8</f>
        <v>0.18792728536513212</v>
      </c>
    </row>
    <row r="1592" spans="7:20">
      <c r="G1592" s="7" t="s">
        <v>37</v>
      </c>
      <c r="H1592" s="7" t="s">
        <v>53</v>
      </c>
      <c r="I1592" s="7">
        <v>46.8093</v>
      </c>
      <c r="J1592" s="7">
        <v>-71.2273</v>
      </c>
      <c r="K1592" s="7">
        <v>46.808500000000002</v>
      </c>
      <c r="L1592" s="7">
        <v>-71.326599999999999</v>
      </c>
      <c r="M1592" s="10" t="str">
        <f t="shared" si="149"/>
        <v>C21</v>
      </c>
      <c r="N1592" s="10" t="str">
        <f t="shared" si="150"/>
        <v>C37</v>
      </c>
      <c r="O1592" s="5">
        <f t="shared" si="151"/>
        <v>7.5578064504338549</v>
      </c>
      <c r="P1592" s="22">
        <f>O1592/Explications!$C$8</f>
        <v>0.25192688168112848</v>
      </c>
      <c r="Q1592" s="7" t="str">
        <f t="shared" si="152"/>
        <v>C37</v>
      </c>
      <c r="R1592" s="7" t="str">
        <f t="shared" si="153"/>
        <v>C21</v>
      </c>
      <c r="S1592" s="18">
        <f t="shared" si="154"/>
        <v>7.5578064504338549</v>
      </c>
      <c r="T1592" s="18">
        <f>S1592/Explications!$C$8</f>
        <v>0.25192688168112848</v>
      </c>
    </row>
    <row r="1593" spans="7:20">
      <c r="G1593" s="7" t="s">
        <v>37</v>
      </c>
      <c r="H1593" s="7" t="s">
        <v>54</v>
      </c>
      <c r="I1593" s="7">
        <v>46.8093</v>
      </c>
      <c r="J1593" s="7">
        <v>-71.2273</v>
      </c>
      <c r="K1593" s="7">
        <v>46.797499999999999</v>
      </c>
      <c r="L1593" s="7">
        <v>-71.306100000000001</v>
      </c>
      <c r="M1593" s="10" t="str">
        <f t="shared" si="149"/>
        <v>C21</v>
      </c>
      <c r="N1593" s="10" t="str">
        <f t="shared" si="150"/>
        <v>C38</v>
      </c>
      <c r="O1593" s="5">
        <f t="shared" si="151"/>
        <v>6.1395762759332415</v>
      </c>
      <c r="P1593" s="22">
        <f>O1593/Explications!$C$8</f>
        <v>0.20465254253110804</v>
      </c>
      <c r="Q1593" s="7" t="str">
        <f t="shared" si="152"/>
        <v>C38</v>
      </c>
      <c r="R1593" s="7" t="str">
        <f t="shared" si="153"/>
        <v>C21</v>
      </c>
      <c r="S1593" s="18">
        <f t="shared" si="154"/>
        <v>6.1395762759332415</v>
      </c>
      <c r="T1593" s="18">
        <f>S1593/Explications!$C$8</f>
        <v>0.20465254253110804</v>
      </c>
    </row>
    <row r="1594" spans="7:20">
      <c r="G1594" s="7" t="s">
        <v>37</v>
      </c>
      <c r="H1594" s="7" t="s">
        <v>55</v>
      </c>
      <c r="I1594" s="7">
        <v>46.8093</v>
      </c>
      <c r="J1594" s="7">
        <v>-71.2273</v>
      </c>
      <c r="K1594" s="7">
        <v>46.8155</v>
      </c>
      <c r="L1594" s="7">
        <v>-71.268199999999993</v>
      </c>
      <c r="M1594" s="10" t="str">
        <f t="shared" si="149"/>
        <v>C21</v>
      </c>
      <c r="N1594" s="10" t="str">
        <f t="shared" si="150"/>
        <v>C39</v>
      </c>
      <c r="O1594" s="5">
        <f t="shared" si="151"/>
        <v>3.1879516861774593</v>
      </c>
      <c r="P1594" s="22">
        <f>O1594/Explications!$C$8</f>
        <v>0.10626505620591531</v>
      </c>
      <c r="Q1594" s="7" t="str">
        <f t="shared" si="152"/>
        <v>C39</v>
      </c>
      <c r="R1594" s="7" t="str">
        <f t="shared" si="153"/>
        <v>C21</v>
      </c>
      <c r="S1594" s="18">
        <f t="shared" si="154"/>
        <v>3.1879516861774593</v>
      </c>
      <c r="T1594" s="18">
        <f>S1594/Explications!$C$8</f>
        <v>0.10626505620591531</v>
      </c>
    </row>
    <row r="1595" spans="7:20">
      <c r="G1595" s="7" t="s">
        <v>37</v>
      </c>
      <c r="H1595" s="7" t="s">
        <v>56</v>
      </c>
      <c r="I1595" s="7">
        <v>46.8093</v>
      </c>
      <c r="J1595" s="7">
        <v>-71.2273</v>
      </c>
      <c r="K1595" s="7">
        <v>46.866700000000002</v>
      </c>
      <c r="L1595" s="7">
        <v>-71.215900000000005</v>
      </c>
      <c r="M1595" s="10" t="str">
        <f t="shared" si="149"/>
        <v>C21</v>
      </c>
      <c r="N1595" s="10" t="str">
        <f t="shared" si="150"/>
        <v>C40</v>
      </c>
      <c r="O1595" s="5">
        <f t="shared" si="151"/>
        <v>6.4412235491370913</v>
      </c>
      <c r="P1595" s="22">
        <f>O1595/Explications!$C$8</f>
        <v>0.21470745163790303</v>
      </c>
      <c r="Q1595" s="7" t="str">
        <f t="shared" si="152"/>
        <v>C40</v>
      </c>
      <c r="R1595" s="7" t="str">
        <f t="shared" si="153"/>
        <v>C21</v>
      </c>
      <c r="S1595" s="18">
        <f t="shared" si="154"/>
        <v>6.4412235491370913</v>
      </c>
      <c r="T1595" s="18">
        <f>S1595/Explications!$C$8</f>
        <v>0.21470745163790303</v>
      </c>
    </row>
    <row r="1596" spans="7:20">
      <c r="G1596" s="7" t="s">
        <v>37</v>
      </c>
      <c r="H1596" s="7" t="s">
        <v>57</v>
      </c>
      <c r="I1596" s="7">
        <v>46.8093</v>
      </c>
      <c r="J1596" s="7">
        <v>-71.2273</v>
      </c>
      <c r="K1596" s="7">
        <v>46.762099999999997</v>
      </c>
      <c r="L1596" s="7">
        <v>-71.235399999999998</v>
      </c>
      <c r="M1596" s="10" t="str">
        <f t="shared" si="149"/>
        <v>C21</v>
      </c>
      <c r="N1596" s="10" t="str">
        <f t="shared" si="150"/>
        <v>C41</v>
      </c>
      <c r="O1596" s="5">
        <f t="shared" si="151"/>
        <v>5.2845106562397834</v>
      </c>
      <c r="P1596" s="22">
        <f>O1596/Explications!$C$8</f>
        <v>0.17615035520799277</v>
      </c>
      <c r="Q1596" s="7" t="str">
        <f t="shared" si="152"/>
        <v>C41</v>
      </c>
      <c r="R1596" s="7" t="str">
        <f t="shared" si="153"/>
        <v>C21</v>
      </c>
      <c r="S1596" s="18">
        <f t="shared" si="154"/>
        <v>5.2845106562397834</v>
      </c>
      <c r="T1596" s="18">
        <f>S1596/Explications!$C$8</f>
        <v>0.17615035520799277</v>
      </c>
    </row>
    <row r="1597" spans="7:20">
      <c r="G1597" s="7" t="s">
        <v>37</v>
      </c>
      <c r="H1597" s="7" t="s">
        <v>58</v>
      </c>
      <c r="I1597" s="7">
        <v>46.8093</v>
      </c>
      <c r="J1597" s="7">
        <v>-71.2273</v>
      </c>
      <c r="K1597" s="7">
        <v>46.8157</v>
      </c>
      <c r="L1597" s="7">
        <v>-71.2042</v>
      </c>
      <c r="M1597" s="10" t="str">
        <f t="shared" si="149"/>
        <v>C21</v>
      </c>
      <c r="N1597" s="10" t="str">
        <f t="shared" si="150"/>
        <v>C42</v>
      </c>
      <c r="O1597" s="5">
        <f t="shared" si="151"/>
        <v>1.896504329377438</v>
      </c>
      <c r="P1597" s="22">
        <f>O1597/Explications!$C$8</f>
        <v>6.3216810979247931E-2</v>
      </c>
      <c r="Q1597" s="7" t="str">
        <f t="shared" si="152"/>
        <v>C42</v>
      </c>
      <c r="R1597" s="7" t="str">
        <f t="shared" si="153"/>
        <v>C21</v>
      </c>
      <c r="S1597" s="18">
        <f t="shared" si="154"/>
        <v>1.896504329377438</v>
      </c>
      <c r="T1597" s="18">
        <f>S1597/Explications!$C$8</f>
        <v>6.3216810979247931E-2</v>
      </c>
    </row>
    <row r="1598" spans="7:20">
      <c r="G1598" s="7" t="s">
        <v>37</v>
      </c>
      <c r="H1598" s="7" t="s">
        <v>59</v>
      </c>
      <c r="I1598" s="7">
        <v>46.8093</v>
      </c>
      <c r="J1598" s="7">
        <v>-71.2273</v>
      </c>
      <c r="K1598" s="7">
        <v>46.707000000000001</v>
      </c>
      <c r="L1598" s="7">
        <v>-71.217100000000002</v>
      </c>
      <c r="M1598" s="10" t="str">
        <f t="shared" si="149"/>
        <v>C21</v>
      </c>
      <c r="N1598" s="10" t="str">
        <f t="shared" si="150"/>
        <v>C43</v>
      </c>
      <c r="O1598" s="5">
        <f t="shared" si="151"/>
        <v>11.401747671120795</v>
      </c>
      <c r="P1598" s="22">
        <f>O1598/Explications!$C$8</f>
        <v>0.38005825570402652</v>
      </c>
      <c r="Q1598" s="7" t="str">
        <f t="shared" si="152"/>
        <v>C43</v>
      </c>
      <c r="R1598" s="7" t="str">
        <f t="shared" si="153"/>
        <v>C21</v>
      </c>
      <c r="S1598" s="18">
        <f t="shared" si="154"/>
        <v>11.401747671120795</v>
      </c>
      <c r="T1598" s="18">
        <f>S1598/Explications!$C$8</f>
        <v>0.38005825570402652</v>
      </c>
    </row>
    <row r="1599" spans="7:20">
      <c r="G1599" s="7" t="s">
        <v>37</v>
      </c>
      <c r="H1599" s="7" t="s">
        <v>60</v>
      </c>
      <c r="I1599" s="7">
        <v>46.8093</v>
      </c>
      <c r="J1599" s="7">
        <v>-71.2273</v>
      </c>
      <c r="K1599" s="7">
        <v>46.802900000000001</v>
      </c>
      <c r="L1599" s="7">
        <v>-71.228899999999996</v>
      </c>
      <c r="M1599" s="10" t="str">
        <f t="shared" si="149"/>
        <v>C21</v>
      </c>
      <c r="N1599" s="10" t="str">
        <f t="shared" si="150"/>
        <v>C44</v>
      </c>
      <c r="O1599" s="5">
        <f t="shared" si="151"/>
        <v>0.72199128643809263</v>
      </c>
      <c r="P1599" s="22">
        <f>O1599/Explications!$C$8</f>
        <v>2.4066376214603089E-2</v>
      </c>
      <c r="Q1599" s="7" t="str">
        <f t="shared" si="152"/>
        <v>C44</v>
      </c>
      <c r="R1599" s="7" t="str">
        <f t="shared" si="153"/>
        <v>C21</v>
      </c>
      <c r="S1599" s="18">
        <f t="shared" si="154"/>
        <v>0.72199128643809263</v>
      </c>
      <c r="T1599" s="18">
        <f>S1599/Explications!$C$8</f>
        <v>2.4066376214603089E-2</v>
      </c>
    </row>
    <row r="1600" spans="7:20">
      <c r="G1600" s="7" t="s">
        <v>37</v>
      </c>
      <c r="H1600" s="7" t="s">
        <v>61</v>
      </c>
      <c r="I1600" s="7">
        <v>46.8093</v>
      </c>
      <c r="J1600" s="7">
        <v>-71.2273</v>
      </c>
      <c r="K1600" s="7">
        <v>46.796900000000001</v>
      </c>
      <c r="L1600" s="7">
        <v>-71.3078</v>
      </c>
      <c r="M1600" s="10" t="str">
        <f t="shared" si="149"/>
        <v>C21</v>
      </c>
      <c r="N1600" s="10" t="str">
        <f t="shared" si="150"/>
        <v>C45</v>
      </c>
      <c r="O1600" s="5">
        <f t="shared" si="151"/>
        <v>6.2803831962601562</v>
      </c>
      <c r="P1600" s="22">
        <f>O1600/Explications!$C$8</f>
        <v>0.20934610654200519</v>
      </c>
      <c r="Q1600" s="7" t="str">
        <f t="shared" si="152"/>
        <v>C45</v>
      </c>
      <c r="R1600" s="7" t="str">
        <f t="shared" si="153"/>
        <v>C21</v>
      </c>
      <c r="S1600" s="18">
        <f t="shared" si="154"/>
        <v>6.2803831962601562</v>
      </c>
      <c r="T1600" s="18">
        <f>S1600/Explications!$C$8</f>
        <v>0.20934610654200519</v>
      </c>
    </row>
    <row r="1601" spans="7:20">
      <c r="G1601" s="7" t="s">
        <v>37</v>
      </c>
      <c r="H1601" s="7" t="s">
        <v>62</v>
      </c>
      <c r="I1601" s="7">
        <v>46.8093</v>
      </c>
      <c r="J1601" s="7">
        <v>-71.2273</v>
      </c>
      <c r="K1601" s="7">
        <v>46.803600000000003</v>
      </c>
      <c r="L1601" s="7">
        <v>-71.231099999999998</v>
      </c>
      <c r="M1601" s="10" t="str">
        <f t="shared" si="149"/>
        <v>C21</v>
      </c>
      <c r="N1601" s="10" t="str">
        <f t="shared" si="150"/>
        <v>C46</v>
      </c>
      <c r="O1601" s="5">
        <f t="shared" si="151"/>
        <v>0.69667885360683979</v>
      </c>
      <c r="P1601" s="22">
        <f>O1601/Explications!$C$8</f>
        <v>2.3222628453561326E-2</v>
      </c>
      <c r="Q1601" s="7" t="str">
        <f t="shared" si="152"/>
        <v>C46</v>
      </c>
      <c r="R1601" s="7" t="str">
        <f t="shared" si="153"/>
        <v>C21</v>
      </c>
      <c r="S1601" s="18">
        <f t="shared" si="154"/>
        <v>0.69667885360683979</v>
      </c>
      <c r="T1601" s="18">
        <f>S1601/Explications!$C$8</f>
        <v>2.3222628453561326E-2</v>
      </c>
    </row>
    <row r="1602" spans="7:20">
      <c r="G1602" s="7" t="s">
        <v>37</v>
      </c>
      <c r="H1602" s="7" t="s">
        <v>63</v>
      </c>
      <c r="I1602" s="7">
        <v>46.8093</v>
      </c>
      <c r="J1602" s="7">
        <v>-71.2273</v>
      </c>
      <c r="K1602" s="7">
        <v>46.802399999999999</v>
      </c>
      <c r="L1602" s="7">
        <v>-71.269800000000004</v>
      </c>
      <c r="M1602" s="10" t="str">
        <f t="shared" si="149"/>
        <v>C21</v>
      </c>
      <c r="N1602" s="10" t="str">
        <f t="shared" si="150"/>
        <v>C47</v>
      </c>
      <c r="O1602" s="5">
        <f t="shared" si="151"/>
        <v>3.3244181917323457</v>
      </c>
      <c r="P1602" s="22">
        <f>O1602/Explications!$C$8</f>
        <v>0.11081393972441152</v>
      </c>
      <c r="Q1602" s="7" t="str">
        <f t="shared" si="152"/>
        <v>C47</v>
      </c>
      <c r="R1602" s="7" t="str">
        <f t="shared" si="153"/>
        <v>C21</v>
      </c>
      <c r="S1602" s="18">
        <f t="shared" si="154"/>
        <v>3.3244181917323457</v>
      </c>
      <c r="T1602" s="18">
        <f>S1602/Explications!$C$8</f>
        <v>0.11081393972441152</v>
      </c>
    </row>
    <row r="1603" spans="7:20">
      <c r="G1603" s="7" t="s">
        <v>37</v>
      </c>
      <c r="H1603" s="7" t="s">
        <v>64</v>
      </c>
      <c r="I1603" s="7">
        <v>46.8093</v>
      </c>
      <c r="J1603" s="7">
        <v>-71.2273</v>
      </c>
      <c r="K1603" s="7">
        <v>46.826799999999999</v>
      </c>
      <c r="L1603" s="7">
        <v>-71.224199999999996</v>
      </c>
      <c r="M1603" s="10" t="str">
        <f t="shared" si="149"/>
        <v>C21</v>
      </c>
      <c r="N1603" s="10" t="str">
        <f t="shared" si="150"/>
        <v>C48</v>
      </c>
      <c r="O1603" s="5">
        <f t="shared" si="151"/>
        <v>1.9601564237747799</v>
      </c>
      <c r="P1603" s="22">
        <f>O1603/Explications!$C$8</f>
        <v>6.5338547459159332E-2</v>
      </c>
      <c r="Q1603" s="7" t="str">
        <f t="shared" si="152"/>
        <v>C48</v>
      </c>
      <c r="R1603" s="7" t="str">
        <f t="shared" si="153"/>
        <v>C21</v>
      </c>
      <c r="S1603" s="18">
        <f t="shared" si="154"/>
        <v>1.9601564237747799</v>
      </c>
      <c r="T1603" s="18">
        <f>S1603/Explications!$C$8</f>
        <v>6.5338547459159332E-2</v>
      </c>
    </row>
    <row r="1604" spans="7:20">
      <c r="G1604" s="7" t="s">
        <v>37</v>
      </c>
      <c r="H1604" s="7" t="s">
        <v>65</v>
      </c>
      <c r="I1604" s="7">
        <v>46.8093</v>
      </c>
      <c r="J1604" s="7">
        <v>-71.2273</v>
      </c>
      <c r="K1604" s="7">
        <v>46.864100000000001</v>
      </c>
      <c r="L1604" s="7">
        <v>-71.255499999999998</v>
      </c>
      <c r="M1604" s="10" t="str">
        <f t="shared" ref="M1604:M1667" si="155">G1604</f>
        <v>C21</v>
      </c>
      <c r="N1604" s="10" t="str">
        <f t="shared" ref="N1604:N1667" si="156">H1604</f>
        <v>C49</v>
      </c>
      <c r="O1604" s="5">
        <f t="shared" ref="O1604:O1667" si="157">ACOS(SIN(RADIANS(I1604))*SIN(RADIANS(K1604))+COS(RADIANS(I1604))*COS(RADIANS(K1604))*COS(RADIANS(J1604-L1604)))*6371</f>
        <v>6.4600182914783311</v>
      </c>
      <c r="P1604" s="22">
        <f>O1604/Explications!$C$8</f>
        <v>0.21533394304927769</v>
      </c>
      <c r="Q1604" s="7" t="str">
        <f t="shared" ref="Q1604:Q1667" si="158">N1604</f>
        <v>C49</v>
      </c>
      <c r="R1604" s="7" t="str">
        <f t="shared" ref="R1604:R1667" si="159">M1604</f>
        <v>C21</v>
      </c>
      <c r="S1604" s="18">
        <f t="shared" ref="S1604:S1667" si="160">O1604</f>
        <v>6.4600182914783311</v>
      </c>
      <c r="T1604" s="18">
        <f>S1604/Explications!$C$8</f>
        <v>0.21533394304927769</v>
      </c>
    </row>
    <row r="1605" spans="7:20">
      <c r="G1605" s="7" t="s">
        <v>37</v>
      </c>
      <c r="H1605" s="7" t="s">
        <v>66</v>
      </c>
      <c r="I1605" s="7">
        <v>46.8093</v>
      </c>
      <c r="J1605" s="7">
        <v>-71.2273</v>
      </c>
      <c r="K1605" s="7">
        <v>46.843800000000002</v>
      </c>
      <c r="L1605" s="7">
        <v>-71.247299999999996</v>
      </c>
      <c r="M1605" s="10" t="str">
        <f t="shared" si="155"/>
        <v>C21</v>
      </c>
      <c r="N1605" s="10" t="str">
        <f t="shared" si="156"/>
        <v>C50</v>
      </c>
      <c r="O1605" s="5">
        <f t="shared" si="157"/>
        <v>4.1269752290808288</v>
      </c>
      <c r="P1605" s="22">
        <f>O1605/Explications!$C$8</f>
        <v>0.13756584096936095</v>
      </c>
      <c r="Q1605" s="7" t="str">
        <f t="shared" si="158"/>
        <v>C50</v>
      </c>
      <c r="R1605" s="7" t="str">
        <f t="shared" si="159"/>
        <v>C21</v>
      </c>
      <c r="S1605" s="18">
        <f t="shared" si="160"/>
        <v>4.1269752290808288</v>
      </c>
      <c r="T1605" s="18">
        <f>S1605/Explications!$C$8</f>
        <v>0.13756584096936095</v>
      </c>
    </row>
    <row r="1606" spans="7:20">
      <c r="G1606" s="7" t="s">
        <v>37</v>
      </c>
      <c r="H1606" s="7" t="s">
        <v>67</v>
      </c>
      <c r="I1606" s="7">
        <v>46.8093</v>
      </c>
      <c r="J1606" s="7">
        <v>-71.2273</v>
      </c>
      <c r="K1606" s="7">
        <v>46.765599999999999</v>
      </c>
      <c r="L1606" s="7">
        <v>-71.312100000000001</v>
      </c>
      <c r="M1606" s="10" t="str">
        <f t="shared" si="155"/>
        <v>C21</v>
      </c>
      <c r="N1606" s="10" t="str">
        <f t="shared" si="156"/>
        <v>C51</v>
      </c>
      <c r="O1606" s="5">
        <f t="shared" si="157"/>
        <v>8.0806022745930992</v>
      </c>
      <c r="P1606" s="22">
        <f>O1606/Explications!$C$8</f>
        <v>0.2693534091531033</v>
      </c>
      <c r="Q1606" s="7" t="str">
        <f t="shared" si="158"/>
        <v>C51</v>
      </c>
      <c r="R1606" s="7" t="str">
        <f t="shared" si="159"/>
        <v>C21</v>
      </c>
      <c r="S1606" s="18">
        <f t="shared" si="160"/>
        <v>8.0806022745930992</v>
      </c>
      <c r="T1606" s="18">
        <f>S1606/Explications!$C$8</f>
        <v>0.2693534091531033</v>
      </c>
    </row>
    <row r="1607" spans="7:20">
      <c r="G1607" s="7" t="s">
        <v>37</v>
      </c>
      <c r="H1607" s="7" t="s">
        <v>68</v>
      </c>
      <c r="I1607" s="7">
        <v>46.8093</v>
      </c>
      <c r="J1607" s="7">
        <v>-71.2273</v>
      </c>
      <c r="K1607" s="7">
        <v>46.787599999999998</v>
      </c>
      <c r="L1607" s="7">
        <v>-71.288600000000002</v>
      </c>
      <c r="M1607" s="10" t="str">
        <f t="shared" si="155"/>
        <v>C21</v>
      </c>
      <c r="N1607" s="10" t="str">
        <f t="shared" si="156"/>
        <v>C52</v>
      </c>
      <c r="O1607" s="5">
        <f t="shared" si="157"/>
        <v>5.2531366942800952</v>
      </c>
      <c r="P1607" s="22">
        <f>O1607/Explications!$C$8</f>
        <v>0.17510455647600318</v>
      </c>
      <c r="Q1607" s="7" t="str">
        <f t="shared" si="158"/>
        <v>C52</v>
      </c>
      <c r="R1607" s="7" t="str">
        <f t="shared" si="159"/>
        <v>C21</v>
      </c>
      <c r="S1607" s="18">
        <f t="shared" si="160"/>
        <v>5.2531366942800952</v>
      </c>
      <c r="T1607" s="18">
        <f>S1607/Explications!$C$8</f>
        <v>0.17510455647600318</v>
      </c>
    </row>
    <row r="1608" spans="7:20">
      <c r="G1608" s="7" t="s">
        <v>37</v>
      </c>
      <c r="H1608" s="7" t="s">
        <v>69</v>
      </c>
      <c r="I1608" s="7">
        <v>46.8093</v>
      </c>
      <c r="J1608" s="7">
        <v>-71.2273</v>
      </c>
      <c r="K1608" s="7">
        <v>46.764600000000002</v>
      </c>
      <c r="L1608" s="7">
        <v>-71.308300000000003</v>
      </c>
      <c r="M1608" s="10" t="str">
        <f t="shared" si="155"/>
        <v>C21</v>
      </c>
      <c r="N1608" s="10" t="str">
        <f t="shared" si="156"/>
        <v>C53</v>
      </c>
      <c r="O1608" s="5">
        <f t="shared" si="157"/>
        <v>7.9207137853037626</v>
      </c>
      <c r="P1608" s="22">
        <f>O1608/Explications!$C$8</f>
        <v>0.26402379284345873</v>
      </c>
      <c r="Q1608" s="7" t="str">
        <f t="shared" si="158"/>
        <v>C53</v>
      </c>
      <c r="R1608" s="7" t="str">
        <f t="shared" si="159"/>
        <v>C21</v>
      </c>
      <c r="S1608" s="18">
        <f t="shared" si="160"/>
        <v>7.9207137853037626</v>
      </c>
      <c r="T1608" s="18">
        <f>S1608/Explications!$C$8</f>
        <v>0.26402379284345873</v>
      </c>
    </row>
    <row r="1609" spans="7:20">
      <c r="G1609" s="7" t="s">
        <v>37</v>
      </c>
      <c r="H1609" s="7" t="s">
        <v>70</v>
      </c>
      <c r="I1609" s="7">
        <v>46.8093</v>
      </c>
      <c r="J1609" s="7">
        <v>-71.2273</v>
      </c>
      <c r="K1609" s="7">
        <v>46.849699999999999</v>
      </c>
      <c r="L1609" s="7">
        <v>-71.097399999999993</v>
      </c>
      <c r="M1609" s="10" t="str">
        <f t="shared" si="155"/>
        <v>C21</v>
      </c>
      <c r="N1609" s="10" t="str">
        <f t="shared" si="156"/>
        <v>C54</v>
      </c>
      <c r="O1609" s="5">
        <f t="shared" si="157"/>
        <v>10.855454074764808</v>
      </c>
      <c r="P1609" s="22">
        <f>O1609/Explications!$C$8</f>
        <v>0.3618484691588269</v>
      </c>
      <c r="Q1609" s="7" t="str">
        <f t="shared" si="158"/>
        <v>C54</v>
      </c>
      <c r="R1609" s="7" t="str">
        <f t="shared" si="159"/>
        <v>C21</v>
      </c>
      <c r="S1609" s="18">
        <f t="shared" si="160"/>
        <v>10.855454074764808</v>
      </c>
      <c r="T1609" s="18">
        <f>S1609/Explications!$C$8</f>
        <v>0.3618484691588269</v>
      </c>
    </row>
    <row r="1610" spans="7:20">
      <c r="G1610" s="7" t="s">
        <v>37</v>
      </c>
      <c r="H1610" s="7" t="s">
        <v>71</v>
      </c>
      <c r="I1610" s="7">
        <v>46.8093</v>
      </c>
      <c r="J1610" s="7">
        <v>-71.2273</v>
      </c>
      <c r="K1610" s="7">
        <v>46.788899999999998</v>
      </c>
      <c r="L1610" s="7">
        <v>-71.321399999999997</v>
      </c>
      <c r="M1610" s="10" t="str">
        <f t="shared" si="155"/>
        <v>C21</v>
      </c>
      <c r="N1610" s="10" t="str">
        <f t="shared" si="156"/>
        <v>C55</v>
      </c>
      <c r="O1610" s="5">
        <f t="shared" si="157"/>
        <v>7.5134405089449805</v>
      </c>
      <c r="P1610" s="22">
        <f>O1610/Explications!$C$8</f>
        <v>0.25044801696483271</v>
      </c>
      <c r="Q1610" s="7" t="str">
        <f t="shared" si="158"/>
        <v>C55</v>
      </c>
      <c r="R1610" s="7" t="str">
        <f t="shared" si="159"/>
        <v>C21</v>
      </c>
      <c r="S1610" s="18">
        <f t="shared" si="160"/>
        <v>7.5134405089449805</v>
      </c>
      <c r="T1610" s="18">
        <f>S1610/Explications!$C$8</f>
        <v>0.25044801696483271</v>
      </c>
    </row>
    <row r="1611" spans="7:20">
      <c r="G1611" s="7" t="s">
        <v>37</v>
      </c>
      <c r="H1611" s="7" t="s">
        <v>72</v>
      </c>
      <c r="I1611" s="7">
        <v>46.8093</v>
      </c>
      <c r="J1611" s="7">
        <v>-71.2273</v>
      </c>
      <c r="K1611" s="7">
        <v>46.795400000000001</v>
      </c>
      <c r="L1611" s="7">
        <v>-71.232600000000005</v>
      </c>
      <c r="M1611" s="10" t="str">
        <f t="shared" si="155"/>
        <v>C21</v>
      </c>
      <c r="N1611" s="10" t="str">
        <f t="shared" si="156"/>
        <v>C56</v>
      </c>
      <c r="O1611" s="5">
        <f t="shared" si="157"/>
        <v>1.5973876187769291</v>
      </c>
      <c r="P1611" s="22">
        <f>O1611/Explications!$C$8</f>
        <v>5.3246253959230973E-2</v>
      </c>
      <c r="Q1611" s="7" t="str">
        <f t="shared" si="158"/>
        <v>C56</v>
      </c>
      <c r="R1611" s="7" t="str">
        <f t="shared" si="159"/>
        <v>C21</v>
      </c>
      <c r="S1611" s="18">
        <f t="shared" si="160"/>
        <v>1.5973876187769291</v>
      </c>
      <c r="T1611" s="18">
        <f>S1611/Explications!$C$8</f>
        <v>5.3246253959230973E-2</v>
      </c>
    </row>
    <row r="1612" spans="7:20">
      <c r="G1612" s="7" t="s">
        <v>37</v>
      </c>
      <c r="H1612" s="7" t="s">
        <v>73</v>
      </c>
      <c r="I1612" s="7">
        <v>46.8093</v>
      </c>
      <c r="J1612" s="7">
        <v>-71.2273</v>
      </c>
      <c r="K1612" s="7">
        <v>46.801200000000001</v>
      </c>
      <c r="L1612" s="7">
        <v>-71.224999999999994</v>
      </c>
      <c r="M1612" s="10" t="str">
        <f t="shared" si="155"/>
        <v>C21</v>
      </c>
      <c r="N1612" s="10" t="str">
        <f t="shared" si="156"/>
        <v>C57</v>
      </c>
      <c r="O1612" s="5">
        <f t="shared" si="157"/>
        <v>0.91753290797138032</v>
      </c>
      <c r="P1612" s="22">
        <f>O1612/Explications!$C$8</f>
        <v>3.0584430265712677E-2</v>
      </c>
      <c r="Q1612" s="7" t="str">
        <f t="shared" si="158"/>
        <v>C57</v>
      </c>
      <c r="R1612" s="7" t="str">
        <f t="shared" si="159"/>
        <v>C21</v>
      </c>
      <c r="S1612" s="18">
        <f t="shared" si="160"/>
        <v>0.91753290797138032</v>
      </c>
      <c r="T1612" s="18">
        <f>S1612/Explications!$C$8</f>
        <v>3.0584430265712677E-2</v>
      </c>
    </row>
    <row r="1613" spans="7:20">
      <c r="G1613" s="7" t="s">
        <v>37</v>
      </c>
      <c r="H1613" s="7" t="s">
        <v>74</v>
      </c>
      <c r="I1613" s="7">
        <v>46.8093</v>
      </c>
      <c r="J1613" s="7">
        <v>-71.2273</v>
      </c>
      <c r="K1613" s="7">
        <v>46.773200000000003</v>
      </c>
      <c r="L1613" s="7">
        <v>-71.275899999999993</v>
      </c>
      <c r="M1613" s="10" t="str">
        <f t="shared" si="155"/>
        <v>C21</v>
      </c>
      <c r="N1613" s="10" t="str">
        <f t="shared" si="156"/>
        <v>C58</v>
      </c>
      <c r="O1613" s="5">
        <f t="shared" si="157"/>
        <v>5.4592014781135951</v>
      </c>
      <c r="P1613" s="22">
        <f>O1613/Explications!$C$8</f>
        <v>0.18197338260378651</v>
      </c>
      <c r="Q1613" s="7" t="str">
        <f t="shared" si="158"/>
        <v>C58</v>
      </c>
      <c r="R1613" s="7" t="str">
        <f t="shared" si="159"/>
        <v>C21</v>
      </c>
      <c r="S1613" s="18">
        <f t="shared" si="160"/>
        <v>5.4592014781135951</v>
      </c>
      <c r="T1613" s="18">
        <f>S1613/Explications!$C$8</f>
        <v>0.18197338260378651</v>
      </c>
    </row>
    <row r="1614" spans="7:20">
      <c r="G1614" s="7" t="s">
        <v>37</v>
      </c>
      <c r="H1614" s="7" t="s">
        <v>75</v>
      </c>
      <c r="I1614" s="7">
        <v>46.8093</v>
      </c>
      <c r="J1614" s="7">
        <v>-71.2273</v>
      </c>
      <c r="K1614" s="7">
        <v>46.814399999999999</v>
      </c>
      <c r="L1614" s="7">
        <v>-71.225700000000003</v>
      </c>
      <c r="M1614" s="10" t="str">
        <f t="shared" si="155"/>
        <v>C21</v>
      </c>
      <c r="N1614" s="10" t="str">
        <f t="shared" si="156"/>
        <v>C59</v>
      </c>
      <c r="O1614" s="5">
        <f t="shared" si="157"/>
        <v>0.58001878536292906</v>
      </c>
      <c r="P1614" s="22">
        <f>O1614/Explications!$C$8</f>
        <v>1.9333959512097636E-2</v>
      </c>
      <c r="Q1614" s="7" t="str">
        <f t="shared" si="158"/>
        <v>C59</v>
      </c>
      <c r="R1614" s="7" t="str">
        <f t="shared" si="159"/>
        <v>C21</v>
      </c>
      <c r="S1614" s="18">
        <f t="shared" si="160"/>
        <v>0.58001878536292906</v>
      </c>
      <c r="T1614" s="18">
        <f>S1614/Explications!$C$8</f>
        <v>1.9333959512097636E-2</v>
      </c>
    </row>
    <row r="1615" spans="7:20">
      <c r="G1615" s="7" t="s">
        <v>37</v>
      </c>
      <c r="H1615" s="7" t="s">
        <v>76</v>
      </c>
      <c r="I1615" s="7">
        <v>46.8093</v>
      </c>
      <c r="J1615" s="7">
        <v>-71.2273</v>
      </c>
      <c r="K1615" s="7">
        <v>46.772500000000001</v>
      </c>
      <c r="L1615" s="7">
        <v>-71.276300000000006</v>
      </c>
      <c r="M1615" s="10" t="str">
        <f t="shared" si="155"/>
        <v>C21</v>
      </c>
      <c r="N1615" s="10" t="str">
        <f t="shared" si="156"/>
        <v>C60</v>
      </c>
      <c r="O1615" s="5">
        <f t="shared" si="157"/>
        <v>5.5371728191890357</v>
      </c>
      <c r="P1615" s="22">
        <f>O1615/Explications!$C$8</f>
        <v>0.18457242730630119</v>
      </c>
      <c r="Q1615" s="7" t="str">
        <f t="shared" si="158"/>
        <v>C60</v>
      </c>
      <c r="R1615" s="7" t="str">
        <f t="shared" si="159"/>
        <v>C21</v>
      </c>
      <c r="S1615" s="18">
        <f t="shared" si="160"/>
        <v>5.5371728191890357</v>
      </c>
      <c r="T1615" s="18">
        <f>S1615/Explications!$C$8</f>
        <v>0.18457242730630119</v>
      </c>
    </row>
    <row r="1616" spans="7:20">
      <c r="G1616" s="7" t="s">
        <v>37</v>
      </c>
      <c r="H1616" s="7" t="s">
        <v>77</v>
      </c>
      <c r="I1616" s="7">
        <v>46.8093</v>
      </c>
      <c r="J1616" s="7">
        <v>-71.2273</v>
      </c>
      <c r="K1616" s="7">
        <v>46.810899999999997</v>
      </c>
      <c r="L1616" s="7">
        <v>-71.215599999999995</v>
      </c>
      <c r="M1616" s="10" t="str">
        <f t="shared" si="155"/>
        <v>C21</v>
      </c>
      <c r="N1616" s="10" t="str">
        <f t="shared" si="156"/>
        <v>C61</v>
      </c>
      <c r="O1616" s="5">
        <f t="shared" si="157"/>
        <v>0.90801548088367867</v>
      </c>
      <c r="P1616" s="22">
        <f>O1616/Explications!$C$8</f>
        <v>3.0267182696122621E-2</v>
      </c>
      <c r="Q1616" s="7" t="str">
        <f t="shared" si="158"/>
        <v>C61</v>
      </c>
      <c r="R1616" s="7" t="str">
        <f t="shared" si="159"/>
        <v>C21</v>
      </c>
      <c r="S1616" s="18">
        <f t="shared" si="160"/>
        <v>0.90801548088367867</v>
      </c>
      <c r="T1616" s="18">
        <f>S1616/Explications!$C$8</f>
        <v>3.0267182696122621E-2</v>
      </c>
    </row>
    <row r="1617" spans="7:20">
      <c r="G1617" s="7" t="s">
        <v>37</v>
      </c>
      <c r="H1617" s="7" t="s">
        <v>78</v>
      </c>
      <c r="I1617" s="7">
        <v>46.8093</v>
      </c>
      <c r="J1617" s="7">
        <v>-71.2273</v>
      </c>
      <c r="K1617" s="7">
        <v>46.795200000000001</v>
      </c>
      <c r="L1617" s="7">
        <v>-71.245099999999994</v>
      </c>
      <c r="M1617" s="10" t="str">
        <f t="shared" si="155"/>
        <v>C21</v>
      </c>
      <c r="N1617" s="10" t="str">
        <f t="shared" si="156"/>
        <v>C62</v>
      </c>
      <c r="O1617" s="5">
        <f t="shared" si="157"/>
        <v>2.0721385786034392</v>
      </c>
      <c r="P1617" s="22">
        <f>O1617/Explications!$C$8</f>
        <v>6.907128595344797E-2</v>
      </c>
      <c r="Q1617" s="7" t="str">
        <f t="shared" si="158"/>
        <v>C62</v>
      </c>
      <c r="R1617" s="7" t="str">
        <f t="shared" si="159"/>
        <v>C21</v>
      </c>
      <c r="S1617" s="18">
        <f t="shared" si="160"/>
        <v>2.0721385786034392</v>
      </c>
      <c r="T1617" s="18">
        <f>S1617/Explications!$C$8</f>
        <v>6.907128595344797E-2</v>
      </c>
    </row>
    <row r="1618" spans="7:20">
      <c r="G1618" s="7" t="s">
        <v>37</v>
      </c>
      <c r="H1618" s="7" t="s">
        <v>79</v>
      </c>
      <c r="I1618" s="7">
        <v>46.8093</v>
      </c>
      <c r="J1618" s="7">
        <v>-71.2273</v>
      </c>
      <c r="K1618" s="7">
        <v>46.822000000000003</v>
      </c>
      <c r="L1618" s="7">
        <v>-71.345699999999994</v>
      </c>
      <c r="M1618" s="10" t="str">
        <f t="shared" si="155"/>
        <v>C21</v>
      </c>
      <c r="N1618" s="10" t="str">
        <f t="shared" si="156"/>
        <v>C63</v>
      </c>
      <c r="O1618" s="5">
        <f t="shared" si="157"/>
        <v>9.1197675686559574</v>
      </c>
      <c r="P1618" s="22">
        <f>O1618/Explications!$C$8</f>
        <v>0.30399225228853194</v>
      </c>
      <c r="Q1618" s="7" t="str">
        <f t="shared" si="158"/>
        <v>C63</v>
      </c>
      <c r="R1618" s="7" t="str">
        <f t="shared" si="159"/>
        <v>C21</v>
      </c>
      <c r="S1618" s="18">
        <f t="shared" si="160"/>
        <v>9.1197675686559574</v>
      </c>
      <c r="T1618" s="18">
        <f>S1618/Explications!$C$8</f>
        <v>0.30399225228853194</v>
      </c>
    </row>
    <row r="1619" spans="7:20">
      <c r="G1619" s="7" t="s">
        <v>37</v>
      </c>
      <c r="H1619" s="7" t="s">
        <v>80</v>
      </c>
      <c r="I1619" s="7">
        <v>46.8093</v>
      </c>
      <c r="J1619" s="7">
        <v>-71.2273</v>
      </c>
      <c r="K1619" s="7">
        <v>46.779400000000003</v>
      </c>
      <c r="L1619" s="7">
        <v>-71.350399999999993</v>
      </c>
      <c r="M1619" s="10" t="str">
        <f t="shared" si="155"/>
        <v>C21</v>
      </c>
      <c r="N1619" s="10" t="str">
        <f t="shared" si="156"/>
        <v>C64</v>
      </c>
      <c r="O1619" s="5">
        <f t="shared" si="157"/>
        <v>9.9434335159112539</v>
      </c>
      <c r="P1619" s="22">
        <f>O1619/Explications!$C$8</f>
        <v>0.33144778386370849</v>
      </c>
      <c r="Q1619" s="7" t="str">
        <f t="shared" si="158"/>
        <v>C64</v>
      </c>
      <c r="R1619" s="7" t="str">
        <f t="shared" si="159"/>
        <v>C21</v>
      </c>
      <c r="S1619" s="18">
        <f t="shared" si="160"/>
        <v>9.9434335159112539</v>
      </c>
      <c r="T1619" s="18">
        <f>S1619/Explications!$C$8</f>
        <v>0.33144778386370849</v>
      </c>
    </row>
    <row r="1620" spans="7:20">
      <c r="G1620" s="7" t="s">
        <v>37</v>
      </c>
      <c r="H1620" s="7" t="s">
        <v>81</v>
      </c>
      <c r="I1620" s="7">
        <v>46.8093</v>
      </c>
      <c r="J1620" s="7">
        <v>-71.2273</v>
      </c>
      <c r="K1620" s="7">
        <v>46.772300000000001</v>
      </c>
      <c r="L1620" s="7">
        <v>-71.279799999999994</v>
      </c>
      <c r="M1620" s="10" t="str">
        <f t="shared" si="155"/>
        <v>C21</v>
      </c>
      <c r="N1620" s="10" t="str">
        <f t="shared" si="156"/>
        <v>C65</v>
      </c>
      <c r="O1620" s="5">
        <f t="shared" si="157"/>
        <v>5.7360129760875544</v>
      </c>
      <c r="P1620" s="22">
        <f>O1620/Explications!$C$8</f>
        <v>0.19120043253625182</v>
      </c>
      <c r="Q1620" s="7" t="str">
        <f t="shared" si="158"/>
        <v>C65</v>
      </c>
      <c r="R1620" s="7" t="str">
        <f t="shared" si="159"/>
        <v>C21</v>
      </c>
      <c r="S1620" s="18">
        <f t="shared" si="160"/>
        <v>5.7360129760875544</v>
      </c>
      <c r="T1620" s="18">
        <f>S1620/Explications!$C$8</f>
        <v>0.19120043253625182</v>
      </c>
    </row>
    <row r="1621" spans="7:20">
      <c r="G1621" s="7" t="s">
        <v>37</v>
      </c>
      <c r="H1621" s="7" t="s">
        <v>82</v>
      </c>
      <c r="I1621" s="7">
        <v>46.8093</v>
      </c>
      <c r="J1621" s="7">
        <v>-71.2273</v>
      </c>
      <c r="K1621" s="7">
        <v>46.814900000000002</v>
      </c>
      <c r="L1621" s="7">
        <v>-71.225200000000001</v>
      </c>
      <c r="M1621" s="10" t="str">
        <f t="shared" si="155"/>
        <v>C21</v>
      </c>
      <c r="N1621" s="10" t="str">
        <f t="shared" si="156"/>
        <v>C66</v>
      </c>
      <c r="O1621" s="5">
        <f t="shared" si="157"/>
        <v>0.64287226476484016</v>
      </c>
      <c r="P1621" s="22">
        <f>O1621/Explications!$C$8</f>
        <v>2.1429075492161338E-2</v>
      </c>
      <c r="Q1621" s="7" t="str">
        <f t="shared" si="158"/>
        <v>C66</v>
      </c>
      <c r="R1621" s="7" t="str">
        <f t="shared" si="159"/>
        <v>C21</v>
      </c>
      <c r="S1621" s="18">
        <f t="shared" si="160"/>
        <v>0.64287226476484016</v>
      </c>
      <c r="T1621" s="18">
        <f>S1621/Explications!$C$8</f>
        <v>2.1429075492161338E-2</v>
      </c>
    </row>
    <row r="1622" spans="7:20">
      <c r="G1622" s="7" t="s">
        <v>37</v>
      </c>
      <c r="H1622" s="7" t="s">
        <v>83</v>
      </c>
      <c r="I1622" s="7">
        <v>46.8093</v>
      </c>
      <c r="J1622" s="7">
        <v>-71.2273</v>
      </c>
      <c r="K1622" s="7">
        <v>46.814700000000002</v>
      </c>
      <c r="L1622" s="7">
        <v>-71.207300000000004</v>
      </c>
      <c r="M1622" s="10" t="str">
        <f t="shared" si="155"/>
        <v>C21</v>
      </c>
      <c r="N1622" s="10" t="str">
        <f t="shared" si="156"/>
        <v>C67</v>
      </c>
      <c r="O1622" s="5">
        <f t="shared" si="157"/>
        <v>1.6361844550227262</v>
      </c>
      <c r="P1622" s="22">
        <f>O1622/Explications!$C$8</f>
        <v>5.4539481834090874E-2</v>
      </c>
      <c r="Q1622" s="7" t="str">
        <f t="shared" si="158"/>
        <v>C67</v>
      </c>
      <c r="R1622" s="7" t="str">
        <f t="shared" si="159"/>
        <v>C21</v>
      </c>
      <c r="S1622" s="18">
        <f t="shared" si="160"/>
        <v>1.6361844550227262</v>
      </c>
      <c r="T1622" s="18">
        <f>S1622/Explications!$C$8</f>
        <v>5.4539481834090874E-2</v>
      </c>
    </row>
    <row r="1623" spans="7:20">
      <c r="G1623" s="7" t="s">
        <v>37</v>
      </c>
      <c r="H1623" s="7" t="s">
        <v>84</v>
      </c>
      <c r="I1623" s="7">
        <v>46.8093</v>
      </c>
      <c r="J1623" s="7">
        <v>-71.2273</v>
      </c>
      <c r="K1623" s="7">
        <v>46.815600000000003</v>
      </c>
      <c r="L1623" s="7">
        <v>-71.2029</v>
      </c>
      <c r="M1623" s="10" t="str">
        <f t="shared" si="155"/>
        <v>C21</v>
      </c>
      <c r="N1623" s="10" t="str">
        <f t="shared" si="156"/>
        <v>C68</v>
      </c>
      <c r="O1623" s="5">
        <f t="shared" si="157"/>
        <v>1.984601755918274</v>
      </c>
      <c r="P1623" s="22">
        <f>O1623/Explications!$C$8</f>
        <v>6.6153391863942465E-2</v>
      </c>
      <c r="Q1623" s="7" t="str">
        <f t="shared" si="158"/>
        <v>C68</v>
      </c>
      <c r="R1623" s="7" t="str">
        <f t="shared" si="159"/>
        <v>C21</v>
      </c>
      <c r="S1623" s="18">
        <f t="shared" si="160"/>
        <v>1.984601755918274</v>
      </c>
      <c r="T1623" s="18">
        <f>S1623/Explications!$C$8</f>
        <v>6.6153391863942465E-2</v>
      </c>
    </row>
    <row r="1624" spans="7:20">
      <c r="G1624" s="7" t="s">
        <v>37</v>
      </c>
      <c r="H1624" s="7" t="s">
        <v>85</v>
      </c>
      <c r="I1624" s="7">
        <v>46.8093</v>
      </c>
      <c r="J1624" s="7">
        <v>-71.2273</v>
      </c>
      <c r="K1624" s="7">
        <v>46.821899999999999</v>
      </c>
      <c r="L1624" s="7">
        <v>-71.249899999999997</v>
      </c>
      <c r="M1624" s="10" t="str">
        <f t="shared" si="155"/>
        <v>C21</v>
      </c>
      <c r="N1624" s="10" t="str">
        <f t="shared" si="156"/>
        <v>C69</v>
      </c>
      <c r="O1624" s="5">
        <f t="shared" si="157"/>
        <v>2.2182364058654871</v>
      </c>
      <c r="P1624" s="22">
        <f>O1624/Explications!$C$8</f>
        <v>7.3941213528849567E-2</v>
      </c>
      <c r="Q1624" s="7" t="str">
        <f t="shared" si="158"/>
        <v>C69</v>
      </c>
      <c r="R1624" s="7" t="str">
        <f t="shared" si="159"/>
        <v>C21</v>
      </c>
      <c r="S1624" s="18">
        <f t="shared" si="160"/>
        <v>2.2182364058654871</v>
      </c>
      <c r="T1624" s="18">
        <f>S1624/Explications!$C$8</f>
        <v>7.3941213528849567E-2</v>
      </c>
    </row>
    <row r="1625" spans="7:20">
      <c r="G1625" s="7" t="s">
        <v>37</v>
      </c>
      <c r="H1625" s="7" t="s">
        <v>86</v>
      </c>
      <c r="I1625" s="7">
        <v>46.8093</v>
      </c>
      <c r="J1625" s="7">
        <v>-71.2273</v>
      </c>
      <c r="K1625" s="7">
        <v>46.8872</v>
      </c>
      <c r="L1625" s="7">
        <v>-71.27</v>
      </c>
      <c r="M1625" s="10" t="str">
        <f t="shared" si="155"/>
        <v>C21</v>
      </c>
      <c r="N1625" s="10" t="str">
        <f t="shared" si="156"/>
        <v>C70</v>
      </c>
      <c r="O1625" s="5">
        <f t="shared" si="157"/>
        <v>9.2507759749759266</v>
      </c>
      <c r="P1625" s="22">
        <f>O1625/Explications!$C$8</f>
        <v>0.30835919916586424</v>
      </c>
      <c r="Q1625" s="7" t="str">
        <f t="shared" si="158"/>
        <v>C70</v>
      </c>
      <c r="R1625" s="7" t="str">
        <f t="shared" si="159"/>
        <v>C21</v>
      </c>
      <c r="S1625" s="18">
        <f t="shared" si="160"/>
        <v>9.2507759749759266</v>
      </c>
      <c r="T1625" s="18">
        <f>S1625/Explications!$C$8</f>
        <v>0.30835919916586424</v>
      </c>
    </row>
    <row r="1626" spans="7:20">
      <c r="G1626" s="7" t="s">
        <v>37</v>
      </c>
      <c r="H1626" s="7" t="s">
        <v>87</v>
      </c>
      <c r="I1626" s="7">
        <v>46.8093</v>
      </c>
      <c r="J1626" s="7">
        <v>-71.2273</v>
      </c>
      <c r="K1626" s="7">
        <v>46.816299999999998</v>
      </c>
      <c r="L1626" s="7">
        <v>-71.210300000000004</v>
      </c>
      <c r="M1626" s="10" t="str">
        <f t="shared" si="155"/>
        <v>C21</v>
      </c>
      <c r="N1626" s="10" t="str">
        <f t="shared" si="156"/>
        <v>C71</v>
      </c>
      <c r="O1626" s="5">
        <f t="shared" si="157"/>
        <v>1.5098057346257823</v>
      </c>
      <c r="P1626" s="22">
        <f>O1626/Explications!$C$8</f>
        <v>5.0326857820859411E-2</v>
      </c>
      <c r="Q1626" s="7" t="str">
        <f t="shared" si="158"/>
        <v>C71</v>
      </c>
      <c r="R1626" s="7" t="str">
        <f t="shared" si="159"/>
        <v>C21</v>
      </c>
      <c r="S1626" s="18">
        <f t="shared" si="160"/>
        <v>1.5098057346257823</v>
      </c>
      <c r="T1626" s="18">
        <f>S1626/Explications!$C$8</f>
        <v>5.0326857820859411E-2</v>
      </c>
    </row>
    <row r="1627" spans="7:20">
      <c r="G1627" s="7" t="s">
        <v>37</v>
      </c>
      <c r="H1627" s="7" t="s">
        <v>88</v>
      </c>
      <c r="I1627" s="7">
        <v>46.8093</v>
      </c>
      <c r="J1627" s="7">
        <v>-71.2273</v>
      </c>
      <c r="K1627" s="7">
        <v>46.807000000000002</v>
      </c>
      <c r="L1627" s="7">
        <v>-71.3566</v>
      </c>
      <c r="M1627" s="10" t="str">
        <f t="shared" si="155"/>
        <v>C21</v>
      </c>
      <c r="N1627" s="10" t="str">
        <f t="shared" si="156"/>
        <v>C72</v>
      </c>
      <c r="O1627" s="5">
        <f t="shared" si="157"/>
        <v>9.8439095024729237</v>
      </c>
      <c r="P1627" s="22">
        <f>O1627/Explications!$C$8</f>
        <v>0.32813031674909748</v>
      </c>
      <c r="Q1627" s="7" t="str">
        <f t="shared" si="158"/>
        <v>C72</v>
      </c>
      <c r="R1627" s="7" t="str">
        <f t="shared" si="159"/>
        <v>C21</v>
      </c>
      <c r="S1627" s="18">
        <f t="shared" si="160"/>
        <v>9.8439095024729237</v>
      </c>
      <c r="T1627" s="18">
        <f>S1627/Explications!$C$8</f>
        <v>0.32813031674909748</v>
      </c>
    </row>
    <row r="1628" spans="7:20">
      <c r="G1628" s="7" t="s">
        <v>37</v>
      </c>
      <c r="H1628" s="7" t="s">
        <v>89</v>
      </c>
      <c r="I1628" s="7">
        <v>46.8093</v>
      </c>
      <c r="J1628" s="7">
        <v>-71.2273</v>
      </c>
      <c r="K1628" s="7">
        <v>46.822899999999997</v>
      </c>
      <c r="L1628" s="7">
        <v>-71.341899999999995</v>
      </c>
      <c r="M1628" s="10" t="str">
        <f t="shared" si="155"/>
        <v>C21</v>
      </c>
      <c r="N1628" s="10" t="str">
        <f t="shared" si="156"/>
        <v>C73</v>
      </c>
      <c r="O1628" s="5">
        <f t="shared" si="157"/>
        <v>8.8506808476787313</v>
      </c>
      <c r="P1628" s="22">
        <f>O1628/Explications!$C$8</f>
        <v>0.2950226949226244</v>
      </c>
      <c r="Q1628" s="7" t="str">
        <f t="shared" si="158"/>
        <v>C73</v>
      </c>
      <c r="R1628" s="7" t="str">
        <f t="shared" si="159"/>
        <v>C21</v>
      </c>
      <c r="S1628" s="18">
        <f t="shared" si="160"/>
        <v>8.8506808476787313</v>
      </c>
      <c r="T1628" s="18">
        <f>S1628/Explications!$C$8</f>
        <v>0.2950226949226244</v>
      </c>
    </row>
    <row r="1629" spans="7:20">
      <c r="G1629" s="7" t="s">
        <v>37</v>
      </c>
      <c r="H1629" s="7" t="s">
        <v>90</v>
      </c>
      <c r="I1629" s="7">
        <v>46.8093</v>
      </c>
      <c r="J1629" s="7">
        <v>-71.2273</v>
      </c>
      <c r="K1629" s="7">
        <v>46.730699999999999</v>
      </c>
      <c r="L1629" s="7">
        <v>-71.261099999999999</v>
      </c>
      <c r="M1629" s="10" t="str">
        <f t="shared" si="155"/>
        <v>C21</v>
      </c>
      <c r="N1629" s="10" t="str">
        <f t="shared" si="156"/>
        <v>C74</v>
      </c>
      <c r="O1629" s="5">
        <f t="shared" si="157"/>
        <v>9.1111398373992607</v>
      </c>
      <c r="P1629" s="22">
        <f>O1629/Explications!$C$8</f>
        <v>0.30370466124664203</v>
      </c>
      <c r="Q1629" s="7" t="str">
        <f t="shared" si="158"/>
        <v>C74</v>
      </c>
      <c r="R1629" s="7" t="str">
        <f t="shared" si="159"/>
        <v>C21</v>
      </c>
      <c r="S1629" s="18">
        <f t="shared" si="160"/>
        <v>9.1111398373992607</v>
      </c>
      <c r="T1629" s="18">
        <f>S1629/Explications!$C$8</f>
        <v>0.30370466124664203</v>
      </c>
    </row>
    <row r="1630" spans="7:20">
      <c r="G1630" s="7" t="s">
        <v>37</v>
      </c>
      <c r="H1630" s="7" t="s">
        <v>91</v>
      </c>
      <c r="I1630" s="7">
        <v>46.8093</v>
      </c>
      <c r="J1630" s="7">
        <v>-71.2273</v>
      </c>
      <c r="K1630" s="7">
        <v>46.840600000000002</v>
      </c>
      <c r="L1630" s="7">
        <v>-71.289100000000005</v>
      </c>
      <c r="M1630" s="10" t="str">
        <f t="shared" si="155"/>
        <v>C21</v>
      </c>
      <c r="N1630" s="10" t="str">
        <f t="shared" si="156"/>
        <v>C75</v>
      </c>
      <c r="O1630" s="5">
        <f t="shared" si="157"/>
        <v>5.849892998786796</v>
      </c>
      <c r="P1630" s="22">
        <f>O1630/Explications!$C$8</f>
        <v>0.19499643329289321</v>
      </c>
      <c r="Q1630" s="7" t="str">
        <f t="shared" si="158"/>
        <v>C75</v>
      </c>
      <c r="R1630" s="7" t="str">
        <f t="shared" si="159"/>
        <v>C21</v>
      </c>
      <c r="S1630" s="18">
        <f t="shared" si="160"/>
        <v>5.849892998786796</v>
      </c>
      <c r="T1630" s="18">
        <f>S1630/Explications!$C$8</f>
        <v>0.19499643329289321</v>
      </c>
    </row>
    <row r="1631" spans="7:20">
      <c r="G1631" s="7" t="s">
        <v>37</v>
      </c>
      <c r="H1631" s="7" t="s">
        <v>92</v>
      </c>
      <c r="I1631" s="7">
        <v>46.8093</v>
      </c>
      <c r="J1631" s="7">
        <v>-71.2273</v>
      </c>
      <c r="K1631" s="7">
        <v>46.840600000000002</v>
      </c>
      <c r="L1631" s="7">
        <v>-71.281599999999997</v>
      </c>
      <c r="M1631" s="10" t="str">
        <f t="shared" si="155"/>
        <v>C21</v>
      </c>
      <c r="N1631" s="10" t="str">
        <f t="shared" si="156"/>
        <v>C76</v>
      </c>
      <c r="O1631" s="5">
        <f t="shared" si="157"/>
        <v>5.4019278222705065</v>
      </c>
      <c r="P1631" s="22">
        <f>O1631/Explications!$C$8</f>
        <v>0.18006426074235021</v>
      </c>
      <c r="Q1631" s="7" t="str">
        <f t="shared" si="158"/>
        <v>C76</v>
      </c>
      <c r="R1631" s="7" t="str">
        <f t="shared" si="159"/>
        <v>C21</v>
      </c>
      <c r="S1631" s="18">
        <f t="shared" si="160"/>
        <v>5.4019278222705065</v>
      </c>
      <c r="T1631" s="18">
        <f>S1631/Explications!$C$8</f>
        <v>0.18006426074235021</v>
      </c>
    </row>
    <row r="1632" spans="7:20">
      <c r="G1632" s="7" t="s">
        <v>37</v>
      </c>
      <c r="H1632" s="7" t="s">
        <v>93</v>
      </c>
      <c r="I1632" s="7">
        <v>46.8093</v>
      </c>
      <c r="J1632" s="7">
        <v>-71.2273</v>
      </c>
      <c r="K1632" s="7">
        <v>46.839399999999998</v>
      </c>
      <c r="L1632" s="7">
        <v>-71.282600000000002</v>
      </c>
      <c r="M1632" s="10" t="str">
        <f t="shared" si="155"/>
        <v>C21</v>
      </c>
      <c r="N1632" s="10" t="str">
        <f t="shared" si="156"/>
        <v>C77</v>
      </c>
      <c r="O1632" s="5">
        <f t="shared" si="157"/>
        <v>5.3763042725453349</v>
      </c>
      <c r="P1632" s="22">
        <f>O1632/Explications!$C$8</f>
        <v>0.17921014241817784</v>
      </c>
      <c r="Q1632" s="7" t="str">
        <f t="shared" si="158"/>
        <v>C77</v>
      </c>
      <c r="R1632" s="7" t="str">
        <f t="shared" si="159"/>
        <v>C21</v>
      </c>
      <c r="S1632" s="18">
        <f t="shared" si="160"/>
        <v>5.3763042725453349</v>
      </c>
      <c r="T1632" s="18">
        <f>S1632/Explications!$C$8</f>
        <v>0.17921014241817784</v>
      </c>
    </row>
    <row r="1633" spans="7:20">
      <c r="G1633" s="7" t="s">
        <v>37</v>
      </c>
      <c r="H1633" s="7" t="s">
        <v>94</v>
      </c>
      <c r="I1633" s="7">
        <v>46.8093</v>
      </c>
      <c r="J1633" s="7">
        <v>-71.2273</v>
      </c>
      <c r="K1633" s="7">
        <v>46.788499999999999</v>
      </c>
      <c r="L1633" s="7">
        <v>-71.282399999999996</v>
      </c>
      <c r="M1633" s="10" t="str">
        <f t="shared" si="155"/>
        <v>C21</v>
      </c>
      <c r="N1633" s="10" t="str">
        <f t="shared" si="156"/>
        <v>C78</v>
      </c>
      <c r="O1633" s="5">
        <f t="shared" si="157"/>
        <v>4.7896325317430808</v>
      </c>
      <c r="P1633" s="22">
        <f>O1633/Explications!$C$8</f>
        <v>0.15965441772476935</v>
      </c>
      <c r="Q1633" s="7" t="str">
        <f t="shared" si="158"/>
        <v>C78</v>
      </c>
      <c r="R1633" s="7" t="str">
        <f t="shared" si="159"/>
        <v>C21</v>
      </c>
      <c r="S1633" s="18">
        <f t="shared" si="160"/>
        <v>4.7896325317430808</v>
      </c>
      <c r="T1633" s="18">
        <f>S1633/Explications!$C$8</f>
        <v>0.15965441772476935</v>
      </c>
    </row>
    <row r="1634" spans="7:20">
      <c r="G1634" s="7" t="s">
        <v>37</v>
      </c>
      <c r="H1634" s="7" t="s">
        <v>95</v>
      </c>
      <c r="I1634" s="7">
        <v>46.8093</v>
      </c>
      <c r="J1634" s="7">
        <v>-71.2273</v>
      </c>
      <c r="K1634" s="7">
        <v>46.840699999999998</v>
      </c>
      <c r="L1634" s="7">
        <v>-71.325400000000002</v>
      </c>
      <c r="M1634" s="10" t="str">
        <f t="shared" si="155"/>
        <v>C21</v>
      </c>
      <c r="N1634" s="10" t="str">
        <f t="shared" si="156"/>
        <v>C79</v>
      </c>
      <c r="O1634" s="5">
        <f t="shared" si="157"/>
        <v>8.2400148588388902</v>
      </c>
      <c r="P1634" s="22">
        <f>O1634/Explications!$C$8</f>
        <v>0.27466716196129631</v>
      </c>
      <c r="Q1634" s="7" t="str">
        <f t="shared" si="158"/>
        <v>C79</v>
      </c>
      <c r="R1634" s="7" t="str">
        <f t="shared" si="159"/>
        <v>C21</v>
      </c>
      <c r="S1634" s="18">
        <f t="shared" si="160"/>
        <v>8.2400148588388902</v>
      </c>
      <c r="T1634" s="18">
        <f>S1634/Explications!$C$8</f>
        <v>0.27466716196129631</v>
      </c>
    </row>
    <row r="1635" spans="7:20">
      <c r="G1635" s="7" t="s">
        <v>37</v>
      </c>
      <c r="H1635" s="7" t="s">
        <v>96</v>
      </c>
      <c r="I1635" s="7">
        <v>46.8093</v>
      </c>
      <c r="J1635" s="7">
        <v>-71.2273</v>
      </c>
      <c r="K1635" s="7">
        <v>46.798400000000001</v>
      </c>
      <c r="L1635" s="7">
        <v>-71.183199999999999</v>
      </c>
      <c r="M1635" s="10" t="str">
        <f t="shared" si="155"/>
        <v>C21</v>
      </c>
      <c r="N1635" s="10" t="str">
        <f t="shared" si="156"/>
        <v>C80</v>
      </c>
      <c r="O1635" s="5">
        <f t="shared" si="157"/>
        <v>3.5686932486115279</v>
      </c>
      <c r="P1635" s="22">
        <f>O1635/Explications!$C$8</f>
        <v>0.11895644162038427</v>
      </c>
      <c r="Q1635" s="7" t="str">
        <f t="shared" si="158"/>
        <v>C80</v>
      </c>
      <c r="R1635" s="7" t="str">
        <f t="shared" si="159"/>
        <v>C21</v>
      </c>
      <c r="S1635" s="18">
        <f t="shared" si="160"/>
        <v>3.5686932486115279</v>
      </c>
      <c r="T1635" s="18">
        <f>S1635/Explications!$C$8</f>
        <v>0.11895644162038427</v>
      </c>
    </row>
    <row r="1636" spans="7:20">
      <c r="G1636" s="7" t="s">
        <v>37</v>
      </c>
      <c r="H1636" s="7" t="s">
        <v>97</v>
      </c>
      <c r="I1636" s="7">
        <v>46.8093</v>
      </c>
      <c r="J1636" s="7">
        <v>-71.2273</v>
      </c>
      <c r="K1636" s="7">
        <v>46.724800000000002</v>
      </c>
      <c r="L1636" s="7">
        <v>-71.2988</v>
      </c>
      <c r="M1636" s="10" t="str">
        <f t="shared" si="155"/>
        <v>C21</v>
      </c>
      <c r="N1636" s="10" t="str">
        <f t="shared" si="156"/>
        <v>C81</v>
      </c>
      <c r="O1636" s="5">
        <f t="shared" si="157"/>
        <v>10.860054353631382</v>
      </c>
      <c r="P1636" s="22">
        <f>O1636/Explications!$C$8</f>
        <v>0.36200181178771274</v>
      </c>
      <c r="Q1636" s="7" t="str">
        <f t="shared" si="158"/>
        <v>C81</v>
      </c>
      <c r="R1636" s="7" t="str">
        <f t="shared" si="159"/>
        <v>C21</v>
      </c>
      <c r="S1636" s="18">
        <f t="shared" si="160"/>
        <v>10.860054353631382</v>
      </c>
      <c r="T1636" s="18">
        <f>S1636/Explications!$C$8</f>
        <v>0.36200181178771274</v>
      </c>
    </row>
    <row r="1637" spans="7:20">
      <c r="G1637" s="7" t="s">
        <v>37</v>
      </c>
      <c r="H1637" s="7" t="s">
        <v>98</v>
      </c>
      <c r="I1637" s="7">
        <v>46.8093</v>
      </c>
      <c r="J1637" s="7">
        <v>-71.2273</v>
      </c>
      <c r="K1637" s="7">
        <v>46.795499999999997</v>
      </c>
      <c r="L1637" s="7">
        <v>-71.242900000000006</v>
      </c>
      <c r="M1637" s="10" t="str">
        <f t="shared" si="155"/>
        <v>C21</v>
      </c>
      <c r="N1637" s="10" t="str">
        <f t="shared" si="156"/>
        <v>C82</v>
      </c>
      <c r="O1637" s="5">
        <f t="shared" si="157"/>
        <v>1.9402462395922613</v>
      </c>
      <c r="P1637" s="22">
        <f>O1637/Explications!$C$8</f>
        <v>6.4674874653075379E-2</v>
      </c>
      <c r="Q1637" s="7" t="str">
        <f t="shared" si="158"/>
        <v>C82</v>
      </c>
      <c r="R1637" s="7" t="str">
        <f t="shared" si="159"/>
        <v>C21</v>
      </c>
      <c r="S1637" s="18">
        <f t="shared" si="160"/>
        <v>1.9402462395922613</v>
      </c>
      <c r="T1637" s="18">
        <f>S1637/Explications!$C$8</f>
        <v>6.4674874653075379E-2</v>
      </c>
    </row>
    <row r="1638" spans="7:20">
      <c r="G1638" s="7" t="s">
        <v>37</v>
      </c>
      <c r="H1638" s="7" t="s">
        <v>99</v>
      </c>
      <c r="I1638" s="7">
        <v>46.8093</v>
      </c>
      <c r="J1638" s="7">
        <v>-71.2273</v>
      </c>
      <c r="K1638" s="7">
        <v>46.8157</v>
      </c>
      <c r="L1638" s="7">
        <v>-71.201899999999995</v>
      </c>
      <c r="M1638" s="10" t="str">
        <f t="shared" si="155"/>
        <v>C21</v>
      </c>
      <c r="N1638" s="10" t="str">
        <f t="shared" si="156"/>
        <v>C83</v>
      </c>
      <c r="O1638" s="5">
        <f t="shared" si="157"/>
        <v>2.0597927742406386</v>
      </c>
      <c r="P1638" s="22">
        <f>O1638/Explications!$C$8</f>
        <v>6.8659759141354623E-2</v>
      </c>
      <c r="Q1638" s="7" t="str">
        <f t="shared" si="158"/>
        <v>C83</v>
      </c>
      <c r="R1638" s="7" t="str">
        <f t="shared" si="159"/>
        <v>C21</v>
      </c>
      <c r="S1638" s="18">
        <f t="shared" si="160"/>
        <v>2.0597927742406386</v>
      </c>
      <c r="T1638" s="18">
        <f>S1638/Explications!$C$8</f>
        <v>6.8659759141354623E-2</v>
      </c>
    </row>
    <row r="1639" spans="7:20">
      <c r="G1639" s="7" t="s">
        <v>37</v>
      </c>
      <c r="H1639" s="7" t="s">
        <v>100</v>
      </c>
      <c r="I1639" s="7">
        <v>46.8093</v>
      </c>
      <c r="J1639" s="7">
        <v>-71.2273</v>
      </c>
      <c r="K1639" s="7">
        <v>46.837600000000002</v>
      </c>
      <c r="L1639" s="7">
        <v>-71.196299999999994</v>
      </c>
      <c r="M1639" s="10" t="str">
        <f t="shared" si="155"/>
        <v>C21</v>
      </c>
      <c r="N1639" s="10" t="str">
        <f t="shared" si="156"/>
        <v>C84</v>
      </c>
      <c r="O1639" s="5">
        <f t="shared" si="157"/>
        <v>3.9326339379658255</v>
      </c>
      <c r="P1639" s="22">
        <f>O1639/Explications!$C$8</f>
        <v>0.13108779793219419</v>
      </c>
      <c r="Q1639" s="7" t="str">
        <f t="shared" si="158"/>
        <v>C84</v>
      </c>
      <c r="R1639" s="7" t="str">
        <f t="shared" si="159"/>
        <v>C21</v>
      </c>
      <c r="S1639" s="18">
        <f t="shared" si="160"/>
        <v>3.9326339379658255</v>
      </c>
      <c r="T1639" s="18">
        <f>S1639/Explications!$C$8</f>
        <v>0.13108779793219419</v>
      </c>
    </row>
    <row r="1640" spans="7:20">
      <c r="G1640" s="7" t="s">
        <v>37</v>
      </c>
      <c r="H1640" s="7" t="s">
        <v>101</v>
      </c>
      <c r="I1640" s="7">
        <v>46.8093</v>
      </c>
      <c r="J1640" s="7">
        <v>-71.2273</v>
      </c>
      <c r="K1640" s="7">
        <v>46.7988</v>
      </c>
      <c r="L1640" s="7">
        <v>-71.318200000000004</v>
      </c>
      <c r="M1640" s="10" t="str">
        <f t="shared" si="155"/>
        <v>C21</v>
      </c>
      <c r="N1640" s="10" t="str">
        <f t="shared" si="156"/>
        <v>C85</v>
      </c>
      <c r="O1640" s="5">
        <f t="shared" si="157"/>
        <v>7.016442644721689</v>
      </c>
      <c r="P1640" s="22">
        <f>O1640/Explications!$C$8</f>
        <v>0.23388142149072297</v>
      </c>
      <c r="Q1640" s="7" t="str">
        <f t="shared" si="158"/>
        <v>C85</v>
      </c>
      <c r="R1640" s="7" t="str">
        <f t="shared" si="159"/>
        <v>C21</v>
      </c>
      <c r="S1640" s="18">
        <f t="shared" si="160"/>
        <v>7.016442644721689</v>
      </c>
      <c r="T1640" s="18">
        <f>S1640/Explications!$C$8</f>
        <v>0.23388142149072297</v>
      </c>
    </row>
    <row r="1641" spans="7:20">
      <c r="G1641" s="7" t="s">
        <v>38</v>
      </c>
      <c r="H1641" s="7" t="s">
        <v>39</v>
      </c>
      <c r="I1641" s="7">
        <v>46.781300000000002</v>
      </c>
      <c r="J1641" s="7">
        <v>-71.301000000000002</v>
      </c>
      <c r="K1641" s="7">
        <v>46.844900000000003</v>
      </c>
      <c r="L1641" s="7">
        <v>-71.251400000000004</v>
      </c>
      <c r="M1641" s="10" t="str">
        <f t="shared" si="155"/>
        <v>C22</v>
      </c>
      <c r="N1641" s="10" t="str">
        <f t="shared" si="156"/>
        <v>C23</v>
      </c>
      <c r="O1641" s="5">
        <f t="shared" si="157"/>
        <v>8.0162525024162168</v>
      </c>
      <c r="P1641" s="22">
        <f>O1641/Explications!$C$8</f>
        <v>0.26720841674720724</v>
      </c>
      <c r="Q1641" s="7" t="str">
        <f t="shared" si="158"/>
        <v>C23</v>
      </c>
      <c r="R1641" s="7" t="str">
        <f t="shared" si="159"/>
        <v>C22</v>
      </c>
      <c r="S1641" s="18">
        <f t="shared" si="160"/>
        <v>8.0162525024162168</v>
      </c>
      <c r="T1641" s="18">
        <f>S1641/Explications!$C$8</f>
        <v>0.26720841674720724</v>
      </c>
    </row>
    <row r="1642" spans="7:20">
      <c r="G1642" s="7" t="s">
        <v>38</v>
      </c>
      <c r="H1642" s="7" t="s">
        <v>40</v>
      </c>
      <c r="I1642" s="7">
        <v>46.781300000000002</v>
      </c>
      <c r="J1642" s="7">
        <v>-71.301000000000002</v>
      </c>
      <c r="K1642" s="7">
        <v>46.805500000000002</v>
      </c>
      <c r="L1642" s="7">
        <v>-71.2196</v>
      </c>
      <c r="M1642" s="10" t="str">
        <f t="shared" si="155"/>
        <v>C22</v>
      </c>
      <c r="N1642" s="10" t="str">
        <f t="shared" si="156"/>
        <v>C24</v>
      </c>
      <c r="O1642" s="5">
        <f t="shared" si="157"/>
        <v>6.7558193621333045</v>
      </c>
      <c r="P1642" s="22">
        <f>O1642/Explications!$C$8</f>
        <v>0.22519397873777683</v>
      </c>
      <c r="Q1642" s="7" t="str">
        <f t="shared" si="158"/>
        <v>C24</v>
      </c>
      <c r="R1642" s="7" t="str">
        <f t="shared" si="159"/>
        <v>C22</v>
      </c>
      <c r="S1642" s="18">
        <f t="shared" si="160"/>
        <v>6.7558193621333045</v>
      </c>
      <c r="T1642" s="18">
        <f>S1642/Explications!$C$8</f>
        <v>0.22519397873777683</v>
      </c>
    </row>
    <row r="1643" spans="7:20">
      <c r="G1643" s="7" t="s">
        <v>38</v>
      </c>
      <c r="H1643" s="7" t="s">
        <v>41</v>
      </c>
      <c r="I1643" s="7">
        <v>46.781300000000002</v>
      </c>
      <c r="J1643" s="7">
        <v>-71.301000000000002</v>
      </c>
      <c r="K1643" s="7">
        <v>46.734900000000003</v>
      </c>
      <c r="L1643" s="7">
        <v>-71.266199999999998</v>
      </c>
      <c r="M1643" s="10" t="str">
        <f t="shared" si="155"/>
        <v>C22</v>
      </c>
      <c r="N1643" s="10" t="str">
        <f t="shared" si="156"/>
        <v>C25</v>
      </c>
      <c r="O1643" s="5">
        <f t="shared" si="157"/>
        <v>5.800649218547564</v>
      </c>
      <c r="P1643" s="22">
        <f>O1643/Explications!$C$8</f>
        <v>0.19335497395158546</v>
      </c>
      <c r="Q1643" s="7" t="str">
        <f t="shared" si="158"/>
        <v>C25</v>
      </c>
      <c r="R1643" s="7" t="str">
        <f t="shared" si="159"/>
        <v>C22</v>
      </c>
      <c r="S1643" s="18">
        <f t="shared" si="160"/>
        <v>5.800649218547564</v>
      </c>
      <c r="T1643" s="18">
        <f>S1643/Explications!$C$8</f>
        <v>0.19335497395158546</v>
      </c>
    </row>
    <row r="1644" spans="7:20">
      <c r="G1644" s="7" t="s">
        <v>38</v>
      </c>
      <c r="H1644" s="7" t="s">
        <v>42</v>
      </c>
      <c r="I1644" s="7">
        <v>46.781300000000002</v>
      </c>
      <c r="J1644" s="7">
        <v>-71.301000000000002</v>
      </c>
      <c r="K1644" s="7">
        <v>46.817700000000002</v>
      </c>
      <c r="L1644" s="7">
        <v>-71.214100000000002</v>
      </c>
      <c r="M1644" s="10" t="str">
        <f t="shared" si="155"/>
        <v>C22</v>
      </c>
      <c r="N1644" s="10" t="str">
        <f t="shared" si="156"/>
        <v>C26</v>
      </c>
      <c r="O1644" s="5">
        <f t="shared" si="157"/>
        <v>7.7547959896570227</v>
      </c>
      <c r="P1644" s="22">
        <f>O1644/Explications!$C$8</f>
        <v>0.2584931996552341</v>
      </c>
      <c r="Q1644" s="7" t="str">
        <f t="shared" si="158"/>
        <v>C26</v>
      </c>
      <c r="R1644" s="7" t="str">
        <f t="shared" si="159"/>
        <v>C22</v>
      </c>
      <c r="S1644" s="18">
        <f t="shared" si="160"/>
        <v>7.7547959896570227</v>
      </c>
      <c r="T1644" s="18">
        <f>S1644/Explications!$C$8</f>
        <v>0.2584931996552341</v>
      </c>
    </row>
    <row r="1645" spans="7:20">
      <c r="G1645" s="7" t="s">
        <v>38</v>
      </c>
      <c r="H1645" s="7" t="s">
        <v>43</v>
      </c>
      <c r="I1645" s="7">
        <v>46.781300000000002</v>
      </c>
      <c r="J1645" s="7">
        <v>-71.301000000000002</v>
      </c>
      <c r="K1645" s="7">
        <v>46.603000000000002</v>
      </c>
      <c r="L1645" s="7">
        <v>-71.490600000000001</v>
      </c>
      <c r="M1645" s="10" t="str">
        <f t="shared" si="155"/>
        <v>C22</v>
      </c>
      <c r="N1645" s="10" t="str">
        <f t="shared" si="156"/>
        <v>C27</v>
      </c>
      <c r="O1645" s="5">
        <f t="shared" si="157"/>
        <v>24.539549173552118</v>
      </c>
      <c r="P1645" s="22">
        <f>O1645/Explications!$C$8</f>
        <v>0.81798497245173729</v>
      </c>
      <c r="Q1645" s="7" t="str">
        <f t="shared" si="158"/>
        <v>C27</v>
      </c>
      <c r="R1645" s="7" t="str">
        <f t="shared" si="159"/>
        <v>C22</v>
      </c>
      <c r="S1645" s="18">
        <f t="shared" si="160"/>
        <v>24.539549173552118</v>
      </c>
      <c r="T1645" s="18">
        <f>S1645/Explications!$C$8</f>
        <v>0.81798497245173729</v>
      </c>
    </row>
    <row r="1646" spans="7:20">
      <c r="G1646" s="7" t="s">
        <v>38</v>
      </c>
      <c r="H1646" s="7" t="s">
        <v>44</v>
      </c>
      <c r="I1646" s="7">
        <v>46.781300000000002</v>
      </c>
      <c r="J1646" s="7">
        <v>-71.301000000000002</v>
      </c>
      <c r="K1646" s="7">
        <v>47.000500000000002</v>
      </c>
      <c r="L1646" s="7">
        <v>-71.388400000000004</v>
      </c>
      <c r="M1646" s="10" t="str">
        <f t="shared" si="155"/>
        <v>C22</v>
      </c>
      <c r="N1646" s="10" t="str">
        <f t="shared" si="156"/>
        <v>C28</v>
      </c>
      <c r="O1646" s="5">
        <f t="shared" si="157"/>
        <v>25.262568623682256</v>
      </c>
      <c r="P1646" s="22">
        <f>O1646/Explications!$C$8</f>
        <v>0.84208562078940852</v>
      </c>
      <c r="Q1646" s="7" t="str">
        <f t="shared" si="158"/>
        <v>C28</v>
      </c>
      <c r="R1646" s="7" t="str">
        <f t="shared" si="159"/>
        <v>C22</v>
      </c>
      <c r="S1646" s="18">
        <f t="shared" si="160"/>
        <v>25.262568623682256</v>
      </c>
      <c r="T1646" s="18">
        <f>S1646/Explications!$C$8</f>
        <v>0.84208562078940852</v>
      </c>
    </row>
    <row r="1647" spans="7:20">
      <c r="G1647" s="7" t="s">
        <v>38</v>
      </c>
      <c r="H1647" s="7" t="s">
        <v>45</v>
      </c>
      <c r="I1647" s="7">
        <v>46.781300000000002</v>
      </c>
      <c r="J1647" s="7">
        <v>-71.301000000000002</v>
      </c>
      <c r="K1647" s="7">
        <v>46.839100000000002</v>
      </c>
      <c r="L1647" s="7">
        <v>-71.245699999999999</v>
      </c>
      <c r="M1647" s="10" t="str">
        <f t="shared" si="155"/>
        <v>C22</v>
      </c>
      <c r="N1647" s="10" t="str">
        <f t="shared" si="156"/>
        <v>C29</v>
      </c>
      <c r="O1647" s="5">
        <f t="shared" si="157"/>
        <v>7.68237978140397</v>
      </c>
      <c r="P1647" s="22">
        <f>O1647/Explications!$C$8</f>
        <v>0.25607932604679901</v>
      </c>
      <c r="Q1647" s="7" t="str">
        <f t="shared" si="158"/>
        <v>C29</v>
      </c>
      <c r="R1647" s="7" t="str">
        <f t="shared" si="159"/>
        <v>C22</v>
      </c>
      <c r="S1647" s="18">
        <f t="shared" si="160"/>
        <v>7.68237978140397</v>
      </c>
      <c r="T1647" s="18">
        <f>S1647/Explications!$C$8</f>
        <v>0.25607932604679901</v>
      </c>
    </row>
    <row r="1648" spans="7:20">
      <c r="G1648" s="7" t="s">
        <v>38</v>
      </c>
      <c r="H1648" s="7" t="s">
        <v>46</v>
      </c>
      <c r="I1648" s="7">
        <v>46.781300000000002</v>
      </c>
      <c r="J1648" s="7">
        <v>-71.301000000000002</v>
      </c>
      <c r="K1648" s="7">
        <v>46.865699999999997</v>
      </c>
      <c r="L1648" s="7">
        <v>-71.27</v>
      </c>
      <c r="M1648" s="10" t="str">
        <f t="shared" si="155"/>
        <v>C22</v>
      </c>
      <c r="N1648" s="10" t="str">
        <f t="shared" si="156"/>
        <v>C30</v>
      </c>
      <c r="O1648" s="5">
        <f t="shared" si="157"/>
        <v>9.6767032237413773</v>
      </c>
      <c r="P1648" s="22">
        <f>O1648/Explications!$C$8</f>
        <v>0.32255677412471256</v>
      </c>
      <c r="Q1648" s="7" t="str">
        <f t="shared" si="158"/>
        <v>C30</v>
      </c>
      <c r="R1648" s="7" t="str">
        <f t="shared" si="159"/>
        <v>C22</v>
      </c>
      <c r="S1648" s="18">
        <f t="shared" si="160"/>
        <v>9.6767032237413773</v>
      </c>
      <c r="T1648" s="18">
        <f>S1648/Explications!$C$8</f>
        <v>0.32255677412471256</v>
      </c>
    </row>
    <row r="1649" spans="7:20">
      <c r="G1649" s="7" t="s">
        <v>38</v>
      </c>
      <c r="H1649" s="7" t="s">
        <v>47</v>
      </c>
      <c r="I1649" s="7">
        <v>46.781300000000002</v>
      </c>
      <c r="J1649" s="7">
        <v>-71.301000000000002</v>
      </c>
      <c r="K1649" s="7">
        <v>46.805500000000002</v>
      </c>
      <c r="L1649" s="7">
        <v>-71.217299999999994</v>
      </c>
      <c r="M1649" s="10" t="str">
        <f t="shared" si="155"/>
        <v>C22</v>
      </c>
      <c r="N1649" s="10" t="str">
        <f t="shared" si="156"/>
        <v>C31</v>
      </c>
      <c r="O1649" s="5">
        <f t="shared" si="157"/>
        <v>6.9167753061370547</v>
      </c>
      <c r="P1649" s="22">
        <f>O1649/Explications!$C$8</f>
        <v>0.23055917687123514</v>
      </c>
      <c r="Q1649" s="7" t="str">
        <f t="shared" si="158"/>
        <v>C31</v>
      </c>
      <c r="R1649" s="7" t="str">
        <f t="shared" si="159"/>
        <v>C22</v>
      </c>
      <c r="S1649" s="18">
        <f t="shared" si="160"/>
        <v>6.9167753061370547</v>
      </c>
      <c r="T1649" s="18">
        <f>S1649/Explications!$C$8</f>
        <v>0.23055917687123514</v>
      </c>
    </row>
    <row r="1650" spans="7:20">
      <c r="G1650" s="7" t="s">
        <v>38</v>
      </c>
      <c r="H1650" s="7" t="s">
        <v>48</v>
      </c>
      <c r="I1650" s="7">
        <v>46.781300000000002</v>
      </c>
      <c r="J1650" s="7">
        <v>-71.301000000000002</v>
      </c>
      <c r="K1650" s="7">
        <v>46.792299999999997</v>
      </c>
      <c r="L1650" s="7">
        <v>-71.172899999999998</v>
      </c>
      <c r="M1650" s="10" t="str">
        <f t="shared" si="155"/>
        <v>C22</v>
      </c>
      <c r="N1650" s="10" t="str">
        <f t="shared" si="156"/>
        <v>C32</v>
      </c>
      <c r="O1650" s="5">
        <f t="shared" si="157"/>
        <v>9.8295260574480352</v>
      </c>
      <c r="P1650" s="22">
        <f>O1650/Explications!$C$8</f>
        <v>0.3276508685816012</v>
      </c>
      <c r="Q1650" s="7" t="str">
        <f t="shared" si="158"/>
        <v>C32</v>
      </c>
      <c r="R1650" s="7" t="str">
        <f t="shared" si="159"/>
        <v>C22</v>
      </c>
      <c r="S1650" s="18">
        <f t="shared" si="160"/>
        <v>9.8295260574480352</v>
      </c>
      <c r="T1650" s="18">
        <f>S1650/Explications!$C$8</f>
        <v>0.3276508685816012</v>
      </c>
    </row>
    <row r="1651" spans="7:20">
      <c r="G1651" s="7" t="s">
        <v>38</v>
      </c>
      <c r="H1651" s="7" t="s">
        <v>49</v>
      </c>
      <c r="I1651" s="7">
        <v>46.781300000000002</v>
      </c>
      <c r="J1651" s="7">
        <v>-71.301000000000002</v>
      </c>
      <c r="K1651" s="7">
        <v>46.7883</v>
      </c>
      <c r="L1651" s="7">
        <v>-71.131200000000007</v>
      </c>
      <c r="M1651" s="10" t="str">
        <f t="shared" si="155"/>
        <v>C22</v>
      </c>
      <c r="N1651" s="10" t="str">
        <f t="shared" si="156"/>
        <v>C33</v>
      </c>
      <c r="O1651" s="5">
        <f t="shared" si="157"/>
        <v>12.951922419015329</v>
      </c>
      <c r="P1651" s="22">
        <f>O1651/Explications!$C$8</f>
        <v>0.43173074730051098</v>
      </c>
      <c r="Q1651" s="7" t="str">
        <f t="shared" si="158"/>
        <v>C33</v>
      </c>
      <c r="R1651" s="7" t="str">
        <f t="shared" si="159"/>
        <v>C22</v>
      </c>
      <c r="S1651" s="18">
        <f t="shared" si="160"/>
        <v>12.951922419015329</v>
      </c>
      <c r="T1651" s="18">
        <f>S1651/Explications!$C$8</f>
        <v>0.43173074730051098</v>
      </c>
    </row>
    <row r="1652" spans="7:20">
      <c r="G1652" s="7" t="s">
        <v>38</v>
      </c>
      <c r="H1652" s="7" t="s">
        <v>50</v>
      </c>
      <c r="I1652" s="7">
        <v>46.781300000000002</v>
      </c>
      <c r="J1652" s="7">
        <v>-71.301000000000002</v>
      </c>
      <c r="K1652" s="7">
        <v>46.8611</v>
      </c>
      <c r="L1652" s="7">
        <v>-71.268799999999999</v>
      </c>
      <c r="M1652" s="10" t="str">
        <f t="shared" si="155"/>
        <v>C22</v>
      </c>
      <c r="N1652" s="10" t="str">
        <f t="shared" si="156"/>
        <v>C34</v>
      </c>
      <c r="O1652" s="5">
        <f t="shared" si="157"/>
        <v>9.2053852895946271</v>
      </c>
      <c r="P1652" s="22">
        <f>O1652/Explications!$C$8</f>
        <v>0.30684617631982092</v>
      </c>
      <c r="Q1652" s="7" t="str">
        <f t="shared" si="158"/>
        <v>C34</v>
      </c>
      <c r="R1652" s="7" t="str">
        <f t="shared" si="159"/>
        <v>C22</v>
      </c>
      <c r="S1652" s="18">
        <f t="shared" si="160"/>
        <v>9.2053852895946271</v>
      </c>
      <c r="T1652" s="18">
        <f>S1652/Explications!$C$8</f>
        <v>0.30684617631982092</v>
      </c>
    </row>
    <row r="1653" spans="7:20">
      <c r="G1653" s="7" t="s">
        <v>38</v>
      </c>
      <c r="H1653" s="7" t="s">
        <v>51</v>
      </c>
      <c r="I1653" s="7">
        <v>46.781300000000002</v>
      </c>
      <c r="J1653" s="7">
        <v>-71.301000000000002</v>
      </c>
      <c r="K1653" s="7">
        <v>46.869700000000002</v>
      </c>
      <c r="L1653" s="7">
        <v>-71.205200000000005</v>
      </c>
      <c r="M1653" s="10" t="str">
        <f t="shared" si="155"/>
        <v>C22</v>
      </c>
      <c r="N1653" s="10" t="str">
        <f t="shared" si="156"/>
        <v>C35</v>
      </c>
      <c r="O1653" s="5">
        <f t="shared" si="157"/>
        <v>12.237083722963202</v>
      </c>
      <c r="P1653" s="22">
        <f>O1653/Explications!$C$8</f>
        <v>0.40790279076544006</v>
      </c>
      <c r="Q1653" s="7" t="str">
        <f t="shared" si="158"/>
        <v>C35</v>
      </c>
      <c r="R1653" s="7" t="str">
        <f t="shared" si="159"/>
        <v>C22</v>
      </c>
      <c r="S1653" s="18">
        <f t="shared" si="160"/>
        <v>12.237083722963202</v>
      </c>
      <c r="T1653" s="18">
        <f>S1653/Explications!$C$8</f>
        <v>0.40790279076544006</v>
      </c>
    </row>
    <row r="1654" spans="7:20">
      <c r="G1654" s="7" t="s">
        <v>38</v>
      </c>
      <c r="H1654" s="7" t="s">
        <v>52</v>
      </c>
      <c r="I1654" s="7">
        <v>46.781300000000002</v>
      </c>
      <c r="J1654" s="7">
        <v>-71.301000000000002</v>
      </c>
      <c r="K1654" s="7">
        <v>46.774099999999997</v>
      </c>
      <c r="L1654" s="7">
        <v>-71.174000000000007</v>
      </c>
      <c r="M1654" s="10" t="str">
        <f t="shared" si="155"/>
        <v>C22</v>
      </c>
      <c r="N1654" s="10" t="str">
        <f t="shared" si="156"/>
        <v>C36</v>
      </c>
      <c r="O1654" s="5">
        <f t="shared" si="157"/>
        <v>9.7040937390250672</v>
      </c>
      <c r="P1654" s="22">
        <f>O1654/Explications!$C$8</f>
        <v>0.32346979130083559</v>
      </c>
      <c r="Q1654" s="7" t="str">
        <f t="shared" si="158"/>
        <v>C36</v>
      </c>
      <c r="R1654" s="7" t="str">
        <f t="shared" si="159"/>
        <v>C22</v>
      </c>
      <c r="S1654" s="18">
        <f t="shared" si="160"/>
        <v>9.7040937390250672</v>
      </c>
      <c r="T1654" s="18">
        <f>S1654/Explications!$C$8</f>
        <v>0.32346979130083559</v>
      </c>
    </row>
    <row r="1655" spans="7:20">
      <c r="G1655" s="7" t="s">
        <v>38</v>
      </c>
      <c r="H1655" s="7" t="s">
        <v>53</v>
      </c>
      <c r="I1655" s="7">
        <v>46.781300000000002</v>
      </c>
      <c r="J1655" s="7">
        <v>-71.301000000000002</v>
      </c>
      <c r="K1655" s="7">
        <v>46.808500000000002</v>
      </c>
      <c r="L1655" s="7">
        <v>-71.326599999999999</v>
      </c>
      <c r="M1655" s="10" t="str">
        <f t="shared" si="155"/>
        <v>C22</v>
      </c>
      <c r="N1655" s="10" t="str">
        <f t="shared" si="156"/>
        <v>C37</v>
      </c>
      <c r="O1655" s="5">
        <f t="shared" si="157"/>
        <v>3.5979815695157109</v>
      </c>
      <c r="P1655" s="22">
        <f>O1655/Explications!$C$8</f>
        <v>0.11993271898385703</v>
      </c>
      <c r="Q1655" s="7" t="str">
        <f t="shared" si="158"/>
        <v>C37</v>
      </c>
      <c r="R1655" s="7" t="str">
        <f t="shared" si="159"/>
        <v>C22</v>
      </c>
      <c r="S1655" s="18">
        <f t="shared" si="160"/>
        <v>3.5979815695157109</v>
      </c>
      <c r="T1655" s="18">
        <f>S1655/Explications!$C$8</f>
        <v>0.11993271898385703</v>
      </c>
    </row>
    <row r="1656" spans="7:20">
      <c r="G1656" s="7" t="s">
        <v>38</v>
      </c>
      <c r="H1656" s="7" t="s">
        <v>54</v>
      </c>
      <c r="I1656" s="7">
        <v>46.781300000000002</v>
      </c>
      <c r="J1656" s="7">
        <v>-71.301000000000002</v>
      </c>
      <c r="K1656" s="7">
        <v>46.797499999999999</v>
      </c>
      <c r="L1656" s="7">
        <v>-71.306100000000001</v>
      </c>
      <c r="M1656" s="10" t="str">
        <f t="shared" si="155"/>
        <v>C22</v>
      </c>
      <c r="N1656" s="10" t="str">
        <f t="shared" si="156"/>
        <v>C38</v>
      </c>
      <c r="O1656" s="5">
        <f t="shared" si="157"/>
        <v>1.8427291252983673</v>
      </c>
      <c r="P1656" s="22">
        <f>O1656/Explications!$C$8</f>
        <v>6.1424304176612245E-2</v>
      </c>
      <c r="Q1656" s="7" t="str">
        <f t="shared" si="158"/>
        <v>C38</v>
      </c>
      <c r="R1656" s="7" t="str">
        <f t="shared" si="159"/>
        <v>C22</v>
      </c>
      <c r="S1656" s="18">
        <f t="shared" si="160"/>
        <v>1.8427291252983673</v>
      </c>
      <c r="T1656" s="18">
        <f>S1656/Explications!$C$8</f>
        <v>6.1424304176612245E-2</v>
      </c>
    </row>
    <row r="1657" spans="7:20">
      <c r="G1657" s="7" t="s">
        <v>38</v>
      </c>
      <c r="H1657" s="7" t="s">
        <v>55</v>
      </c>
      <c r="I1657" s="7">
        <v>46.781300000000002</v>
      </c>
      <c r="J1657" s="7">
        <v>-71.301000000000002</v>
      </c>
      <c r="K1657" s="7">
        <v>46.8155</v>
      </c>
      <c r="L1657" s="7">
        <v>-71.268199999999993</v>
      </c>
      <c r="M1657" s="10" t="str">
        <f t="shared" si="155"/>
        <v>C22</v>
      </c>
      <c r="N1657" s="10" t="str">
        <f t="shared" si="156"/>
        <v>C39</v>
      </c>
      <c r="O1657" s="5">
        <f t="shared" si="157"/>
        <v>4.5492365860029551</v>
      </c>
      <c r="P1657" s="22">
        <f>O1657/Explications!$C$8</f>
        <v>0.15164121953343185</v>
      </c>
      <c r="Q1657" s="7" t="str">
        <f t="shared" si="158"/>
        <v>C39</v>
      </c>
      <c r="R1657" s="7" t="str">
        <f t="shared" si="159"/>
        <v>C22</v>
      </c>
      <c r="S1657" s="18">
        <f t="shared" si="160"/>
        <v>4.5492365860029551</v>
      </c>
      <c r="T1657" s="18">
        <f>S1657/Explications!$C$8</f>
        <v>0.15164121953343185</v>
      </c>
    </row>
    <row r="1658" spans="7:20">
      <c r="G1658" s="7" t="s">
        <v>38</v>
      </c>
      <c r="H1658" s="7" t="s">
        <v>56</v>
      </c>
      <c r="I1658" s="7">
        <v>46.781300000000002</v>
      </c>
      <c r="J1658" s="7">
        <v>-71.301000000000002</v>
      </c>
      <c r="K1658" s="7">
        <v>46.866700000000002</v>
      </c>
      <c r="L1658" s="7">
        <v>-71.215900000000005</v>
      </c>
      <c r="M1658" s="10" t="str">
        <f t="shared" si="155"/>
        <v>C22</v>
      </c>
      <c r="N1658" s="10" t="str">
        <f t="shared" si="156"/>
        <v>C40</v>
      </c>
      <c r="O1658" s="5">
        <f t="shared" si="157"/>
        <v>11.493365837887749</v>
      </c>
      <c r="P1658" s="22">
        <f>O1658/Explications!$C$8</f>
        <v>0.38311219459625828</v>
      </c>
      <c r="Q1658" s="7" t="str">
        <f t="shared" si="158"/>
        <v>C40</v>
      </c>
      <c r="R1658" s="7" t="str">
        <f t="shared" si="159"/>
        <v>C22</v>
      </c>
      <c r="S1658" s="18">
        <f t="shared" si="160"/>
        <v>11.493365837887749</v>
      </c>
      <c r="T1658" s="18">
        <f>S1658/Explications!$C$8</f>
        <v>0.38311219459625828</v>
      </c>
    </row>
    <row r="1659" spans="7:20">
      <c r="G1659" s="7" t="s">
        <v>38</v>
      </c>
      <c r="H1659" s="7" t="s">
        <v>57</v>
      </c>
      <c r="I1659" s="7">
        <v>46.781300000000002</v>
      </c>
      <c r="J1659" s="7">
        <v>-71.301000000000002</v>
      </c>
      <c r="K1659" s="7">
        <v>46.762099999999997</v>
      </c>
      <c r="L1659" s="7">
        <v>-71.235399999999998</v>
      </c>
      <c r="M1659" s="10" t="str">
        <f t="shared" si="155"/>
        <v>C22</v>
      </c>
      <c r="N1659" s="10" t="str">
        <f t="shared" si="156"/>
        <v>C41</v>
      </c>
      <c r="O1659" s="5">
        <f t="shared" si="157"/>
        <v>5.4330256672289279</v>
      </c>
      <c r="P1659" s="22">
        <f>O1659/Explications!$C$8</f>
        <v>0.18110085557429759</v>
      </c>
      <c r="Q1659" s="7" t="str">
        <f t="shared" si="158"/>
        <v>C41</v>
      </c>
      <c r="R1659" s="7" t="str">
        <f t="shared" si="159"/>
        <v>C22</v>
      </c>
      <c r="S1659" s="18">
        <f t="shared" si="160"/>
        <v>5.4330256672289279</v>
      </c>
      <c r="T1659" s="18">
        <f>S1659/Explications!$C$8</f>
        <v>0.18110085557429759</v>
      </c>
    </row>
    <row r="1660" spans="7:20">
      <c r="G1660" s="7" t="s">
        <v>38</v>
      </c>
      <c r="H1660" s="7" t="s">
        <v>58</v>
      </c>
      <c r="I1660" s="7">
        <v>46.781300000000002</v>
      </c>
      <c r="J1660" s="7">
        <v>-71.301000000000002</v>
      </c>
      <c r="K1660" s="7">
        <v>46.8157</v>
      </c>
      <c r="L1660" s="7">
        <v>-71.2042</v>
      </c>
      <c r="M1660" s="10" t="str">
        <f t="shared" si="155"/>
        <v>C22</v>
      </c>
      <c r="N1660" s="10" t="str">
        <f t="shared" si="156"/>
        <v>C42</v>
      </c>
      <c r="O1660" s="5">
        <f t="shared" si="157"/>
        <v>8.3021311740776707</v>
      </c>
      <c r="P1660" s="22">
        <f>O1660/Explications!$C$8</f>
        <v>0.276737705802589</v>
      </c>
      <c r="Q1660" s="7" t="str">
        <f t="shared" si="158"/>
        <v>C42</v>
      </c>
      <c r="R1660" s="7" t="str">
        <f t="shared" si="159"/>
        <v>C22</v>
      </c>
      <c r="S1660" s="18">
        <f t="shared" si="160"/>
        <v>8.3021311740776707</v>
      </c>
      <c r="T1660" s="18">
        <f>S1660/Explications!$C$8</f>
        <v>0.276737705802589</v>
      </c>
    </row>
    <row r="1661" spans="7:20">
      <c r="G1661" s="7" t="s">
        <v>38</v>
      </c>
      <c r="H1661" s="7" t="s">
        <v>59</v>
      </c>
      <c r="I1661" s="7">
        <v>46.781300000000002</v>
      </c>
      <c r="J1661" s="7">
        <v>-71.301000000000002</v>
      </c>
      <c r="K1661" s="7">
        <v>46.707000000000001</v>
      </c>
      <c r="L1661" s="7">
        <v>-71.217100000000002</v>
      </c>
      <c r="M1661" s="10" t="str">
        <f t="shared" si="155"/>
        <v>C22</v>
      </c>
      <c r="N1661" s="10" t="str">
        <f t="shared" si="156"/>
        <v>C43</v>
      </c>
      <c r="O1661" s="5">
        <f t="shared" si="157"/>
        <v>10.446373244648349</v>
      </c>
      <c r="P1661" s="22">
        <f>O1661/Explications!$C$8</f>
        <v>0.34821244148827829</v>
      </c>
      <c r="Q1661" s="7" t="str">
        <f t="shared" si="158"/>
        <v>C43</v>
      </c>
      <c r="R1661" s="7" t="str">
        <f t="shared" si="159"/>
        <v>C22</v>
      </c>
      <c r="S1661" s="18">
        <f t="shared" si="160"/>
        <v>10.446373244648349</v>
      </c>
      <c r="T1661" s="18">
        <f>S1661/Explications!$C$8</f>
        <v>0.34821244148827829</v>
      </c>
    </row>
    <row r="1662" spans="7:20">
      <c r="G1662" s="7" t="s">
        <v>38</v>
      </c>
      <c r="H1662" s="7" t="s">
        <v>60</v>
      </c>
      <c r="I1662" s="7">
        <v>46.781300000000002</v>
      </c>
      <c r="J1662" s="7">
        <v>-71.301000000000002</v>
      </c>
      <c r="K1662" s="7">
        <v>46.802900000000001</v>
      </c>
      <c r="L1662" s="7">
        <v>-71.228899999999996</v>
      </c>
      <c r="M1662" s="10" t="str">
        <f t="shared" si="155"/>
        <v>C22</v>
      </c>
      <c r="N1662" s="10" t="str">
        <f t="shared" si="156"/>
        <v>C44</v>
      </c>
      <c r="O1662" s="5">
        <f t="shared" si="157"/>
        <v>5.9914098872232442</v>
      </c>
      <c r="P1662" s="22">
        <f>O1662/Explications!$C$8</f>
        <v>0.19971366290744147</v>
      </c>
      <c r="Q1662" s="7" t="str">
        <f t="shared" si="158"/>
        <v>C44</v>
      </c>
      <c r="R1662" s="7" t="str">
        <f t="shared" si="159"/>
        <v>C22</v>
      </c>
      <c r="S1662" s="18">
        <f t="shared" si="160"/>
        <v>5.9914098872232442</v>
      </c>
      <c r="T1662" s="18">
        <f>S1662/Explications!$C$8</f>
        <v>0.19971366290744147</v>
      </c>
    </row>
    <row r="1663" spans="7:20">
      <c r="G1663" s="7" t="s">
        <v>38</v>
      </c>
      <c r="H1663" s="7" t="s">
        <v>61</v>
      </c>
      <c r="I1663" s="7">
        <v>46.781300000000002</v>
      </c>
      <c r="J1663" s="7">
        <v>-71.301000000000002</v>
      </c>
      <c r="K1663" s="7">
        <v>46.796900000000001</v>
      </c>
      <c r="L1663" s="7">
        <v>-71.3078</v>
      </c>
      <c r="M1663" s="10" t="str">
        <f t="shared" si="155"/>
        <v>C22</v>
      </c>
      <c r="N1663" s="10" t="str">
        <f t="shared" si="156"/>
        <v>C45</v>
      </c>
      <c r="O1663" s="5">
        <f t="shared" si="157"/>
        <v>1.8102488363555573</v>
      </c>
      <c r="P1663" s="22">
        <f>O1663/Explications!$C$8</f>
        <v>6.0341627878518579E-2</v>
      </c>
      <c r="Q1663" s="7" t="str">
        <f t="shared" si="158"/>
        <v>C45</v>
      </c>
      <c r="R1663" s="7" t="str">
        <f t="shared" si="159"/>
        <v>C22</v>
      </c>
      <c r="S1663" s="18">
        <f t="shared" si="160"/>
        <v>1.8102488363555573</v>
      </c>
      <c r="T1663" s="18">
        <f>S1663/Explications!$C$8</f>
        <v>6.0341627878518579E-2</v>
      </c>
    </row>
    <row r="1664" spans="7:20">
      <c r="G1664" s="7" t="s">
        <v>38</v>
      </c>
      <c r="H1664" s="7" t="s">
        <v>62</v>
      </c>
      <c r="I1664" s="7">
        <v>46.781300000000002</v>
      </c>
      <c r="J1664" s="7">
        <v>-71.301000000000002</v>
      </c>
      <c r="K1664" s="7">
        <v>46.803600000000003</v>
      </c>
      <c r="L1664" s="7">
        <v>-71.231099999999998</v>
      </c>
      <c r="M1664" s="10" t="str">
        <f t="shared" si="155"/>
        <v>C22</v>
      </c>
      <c r="N1664" s="10" t="str">
        <f t="shared" si="156"/>
        <v>C46</v>
      </c>
      <c r="O1664" s="5">
        <f t="shared" si="157"/>
        <v>5.8707759540442446</v>
      </c>
      <c r="P1664" s="22">
        <f>O1664/Explications!$C$8</f>
        <v>0.19569253180147481</v>
      </c>
      <c r="Q1664" s="7" t="str">
        <f t="shared" si="158"/>
        <v>C46</v>
      </c>
      <c r="R1664" s="7" t="str">
        <f t="shared" si="159"/>
        <v>C22</v>
      </c>
      <c r="S1664" s="18">
        <f t="shared" si="160"/>
        <v>5.8707759540442446</v>
      </c>
      <c r="T1664" s="18">
        <f>S1664/Explications!$C$8</f>
        <v>0.19569253180147481</v>
      </c>
    </row>
    <row r="1665" spans="7:20">
      <c r="G1665" s="7" t="s">
        <v>38</v>
      </c>
      <c r="H1665" s="7" t="s">
        <v>63</v>
      </c>
      <c r="I1665" s="7">
        <v>46.781300000000002</v>
      </c>
      <c r="J1665" s="7">
        <v>-71.301000000000002</v>
      </c>
      <c r="K1665" s="7">
        <v>46.802399999999999</v>
      </c>
      <c r="L1665" s="7">
        <v>-71.269800000000004</v>
      </c>
      <c r="M1665" s="10" t="str">
        <f t="shared" si="155"/>
        <v>C22</v>
      </c>
      <c r="N1665" s="10" t="str">
        <f t="shared" si="156"/>
        <v>C47</v>
      </c>
      <c r="O1665" s="5">
        <f t="shared" si="157"/>
        <v>3.3386390403415636</v>
      </c>
      <c r="P1665" s="22">
        <f>O1665/Explications!$C$8</f>
        <v>0.11128796801138545</v>
      </c>
      <c r="Q1665" s="7" t="str">
        <f t="shared" si="158"/>
        <v>C47</v>
      </c>
      <c r="R1665" s="7" t="str">
        <f t="shared" si="159"/>
        <v>C22</v>
      </c>
      <c r="S1665" s="18">
        <f t="shared" si="160"/>
        <v>3.3386390403415636</v>
      </c>
      <c r="T1665" s="18">
        <f>S1665/Explications!$C$8</f>
        <v>0.11128796801138545</v>
      </c>
    </row>
    <row r="1666" spans="7:20">
      <c r="G1666" s="7" t="s">
        <v>38</v>
      </c>
      <c r="H1666" s="7" t="s">
        <v>64</v>
      </c>
      <c r="I1666" s="7">
        <v>46.781300000000002</v>
      </c>
      <c r="J1666" s="7">
        <v>-71.301000000000002</v>
      </c>
      <c r="K1666" s="7">
        <v>46.826799999999999</v>
      </c>
      <c r="L1666" s="7">
        <v>-71.224199999999996</v>
      </c>
      <c r="M1666" s="10" t="str">
        <f t="shared" si="155"/>
        <v>C22</v>
      </c>
      <c r="N1666" s="10" t="str">
        <f t="shared" si="156"/>
        <v>C48</v>
      </c>
      <c r="O1666" s="5">
        <f t="shared" si="157"/>
        <v>7.7308677710375555</v>
      </c>
      <c r="P1666" s="22">
        <f>O1666/Explications!$C$8</f>
        <v>0.2576955923679185</v>
      </c>
      <c r="Q1666" s="7" t="str">
        <f t="shared" si="158"/>
        <v>C48</v>
      </c>
      <c r="R1666" s="7" t="str">
        <f t="shared" si="159"/>
        <v>C22</v>
      </c>
      <c r="S1666" s="18">
        <f t="shared" si="160"/>
        <v>7.7308677710375555</v>
      </c>
      <c r="T1666" s="18">
        <f>S1666/Explications!$C$8</f>
        <v>0.2576955923679185</v>
      </c>
    </row>
    <row r="1667" spans="7:20">
      <c r="G1667" s="7" t="s">
        <v>38</v>
      </c>
      <c r="H1667" s="7" t="s">
        <v>65</v>
      </c>
      <c r="I1667" s="7">
        <v>46.781300000000002</v>
      </c>
      <c r="J1667" s="7">
        <v>-71.301000000000002</v>
      </c>
      <c r="K1667" s="7">
        <v>46.864100000000001</v>
      </c>
      <c r="L1667" s="7">
        <v>-71.255499999999998</v>
      </c>
      <c r="M1667" s="10" t="str">
        <f t="shared" si="155"/>
        <v>C22</v>
      </c>
      <c r="N1667" s="10" t="str">
        <f t="shared" si="156"/>
        <v>C49</v>
      </c>
      <c r="O1667" s="5">
        <f t="shared" si="157"/>
        <v>9.8362893963380316</v>
      </c>
      <c r="P1667" s="22">
        <f>O1667/Explications!$C$8</f>
        <v>0.3278763132112677</v>
      </c>
      <c r="Q1667" s="7" t="str">
        <f t="shared" si="158"/>
        <v>C49</v>
      </c>
      <c r="R1667" s="7" t="str">
        <f t="shared" si="159"/>
        <v>C22</v>
      </c>
      <c r="S1667" s="18">
        <f t="shared" si="160"/>
        <v>9.8362893963380316</v>
      </c>
      <c r="T1667" s="18">
        <f>S1667/Explications!$C$8</f>
        <v>0.3278763132112677</v>
      </c>
    </row>
    <row r="1668" spans="7:20">
      <c r="G1668" s="7" t="s">
        <v>38</v>
      </c>
      <c r="H1668" s="7" t="s">
        <v>66</v>
      </c>
      <c r="I1668" s="7">
        <v>46.781300000000002</v>
      </c>
      <c r="J1668" s="7">
        <v>-71.301000000000002</v>
      </c>
      <c r="K1668" s="7">
        <v>46.843800000000002</v>
      </c>
      <c r="L1668" s="7">
        <v>-71.247299999999996</v>
      </c>
      <c r="M1668" s="10" t="str">
        <f t="shared" ref="M1668:M1731" si="161">G1668</f>
        <v>C22</v>
      </c>
      <c r="N1668" s="10" t="str">
        <f t="shared" ref="N1668:N1731" si="162">H1668</f>
        <v>C50</v>
      </c>
      <c r="O1668" s="5">
        <f t="shared" ref="O1668:O1731" si="163">ACOS(SIN(RADIANS(I1668))*SIN(RADIANS(K1668))+COS(RADIANS(I1668))*COS(RADIANS(K1668))*COS(RADIANS(J1668-L1668)))*6371</f>
        <v>8.0621534583356365</v>
      </c>
      <c r="P1668" s="22">
        <f>O1668/Explications!$C$8</f>
        <v>0.2687384486111879</v>
      </c>
      <c r="Q1668" s="7" t="str">
        <f t="shared" ref="Q1668:Q1731" si="164">N1668</f>
        <v>C50</v>
      </c>
      <c r="R1668" s="7" t="str">
        <f t="shared" ref="R1668:R1731" si="165">M1668</f>
        <v>C22</v>
      </c>
      <c r="S1668" s="18">
        <f t="shared" ref="S1668:S1731" si="166">O1668</f>
        <v>8.0621534583356365</v>
      </c>
      <c r="T1668" s="18">
        <f>S1668/Explications!$C$8</f>
        <v>0.2687384486111879</v>
      </c>
    </row>
    <row r="1669" spans="7:20">
      <c r="G1669" s="7" t="s">
        <v>38</v>
      </c>
      <c r="H1669" s="7" t="s">
        <v>67</v>
      </c>
      <c r="I1669" s="7">
        <v>46.781300000000002</v>
      </c>
      <c r="J1669" s="7">
        <v>-71.301000000000002</v>
      </c>
      <c r="K1669" s="7">
        <v>46.765599999999999</v>
      </c>
      <c r="L1669" s="7">
        <v>-71.312100000000001</v>
      </c>
      <c r="M1669" s="10" t="str">
        <f t="shared" si="161"/>
        <v>C22</v>
      </c>
      <c r="N1669" s="10" t="str">
        <f t="shared" si="162"/>
        <v>C51</v>
      </c>
      <c r="O1669" s="5">
        <f t="shared" si="163"/>
        <v>1.9396544517034662</v>
      </c>
      <c r="P1669" s="22">
        <f>O1669/Explications!$C$8</f>
        <v>6.4655148390115533E-2</v>
      </c>
      <c r="Q1669" s="7" t="str">
        <f t="shared" si="164"/>
        <v>C51</v>
      </c>
      <c r="R1669" s="7" t="str">
        <f t="shared" si="165"/>
        <v>C22</v>
      </c>
      <c r="S1669" s="18">
        <f t="shared" si="166"/>
        <v>1.9396544517034662</v>
      </c>
      <c r="T1669" s="18">
        <f>S1669/Explications!$C$8</f>
        <v>6.4655148390115533E-2</v>
      </c>
    </row>
    <row r="1670" spans="7:20">
      <c r="G1670" s="7" t="s">
        <v>38</v>
      </c>
      <c r="H1670" s="7" t="s">
        <v>68</v>
      </c>
      <c r="I1670" s="7">
        <v>46.781300000000002</v>
      </c>
      <c r="J1670" s="7">
        <v>-71.301000000000002</v>
      </c>
      <c r="K1670" s="7">
        <v>46.787599999999998</v>
      </c>
      <c r="L1670" s="7">
        <v>-71.288600000000002</v>
      </c>
      <c r="M1670" s="10" t="str">
        <f t="shared" si="161"/>
        <v>C22</v>
      </c>
      <c r="N1670" s="10" t="str">
        <f t="shared" si="162"/>
        <v>C52</v>
      </c>
      <c r="O1670" s="5">
        <f t="shared" si="163"/>
        <v>1.1756428390878786</v>
      </c>
      <c r="P1670" s="22">
        <f>O1670/Explications!$C$8</f>
        <v>3.9188094636262619E-2</v>
      </c>
      <c r="Q1670" s="7" t="str">
        <f t="shared" si="164"/>
        <v>C52</v>
      </c>
      <c r="R1670" s="7" t="str">
        <f t="shared" si="165"/>
        <v>C22</v>
      </c>
      <c r="S1670" s="18">
        <f t="shared" si="166"/>
        <v>1.1756428390878786</v>
      </c>
      <c r="T1670" s="18">
        <f>S1670/Explications!$C$8</f>
        <v>3.9188094636262619E-2</v>
      </c>
    </row>
    <row r="1671" spans="7:20">
      <c r="G1671" s="7" t="s">
        <v>38</v>
      </c>
      <c r="H1671" s="7" t="s">
        <v>69</v>
      </c>
      <c r="I1671" s="7">
        <v>46.781300000000002</v>
      </c>
      <c r="J1671" s="7">
        <v>-71.301000000000002</v>
      </c>
      <c r="K1671" s="7">
        <v>46.764600000000002</v>
      </c>
      <c r="L1671" s="7">
        <v>-71.308300000000003</v>
      </c>
      <c r="M1671" s="10" t="str">
        <f t="shared" si="161"/>
        <v>C22</v>
      </c>
      <c r="N1671" s="10" t="str">
        <f t="shared" si="162"/>
        <v>C53</v>
      </c>
      <c r="O1671" s="5">
        <f t="shared" si="163"/>
        <v>1.938389609485335</v>
      </c>
      <c r="P1671" s="22">
        <f>O1671/Explications!$C$8</f>
        <v>6.4612986982844497E-2</v>
      </c>
      <c r="Q1671" s="7" t="str">
        <f t="shared" si="164"/>
        <v>C53</v>
      </c>
      <c r="R1671" s="7" t="str">
        <f t="shared" si="165"/>
        <v>C22</v>
      </c>
      <c r="S1671" s="18">
        <f t="shared" si="166"/>
        <v>1.938389609485335</v>
      </c>
      <c r="T1671" s="18">
        <f>S1671/Explications!$C$8</f>
        <v>6.4612986982844497E-2</v>
      </c>
    </row>
    <row r="1672" spans="7:20">
      <c r="G1672" s="7" t="s">
        <v>38</v>
      </c>
      <c r="H1672" s="7" t="s">
        <v>70</v>
      </c>
      <c r="I1672" s="7">
        <v>46.781300000000002</v>
      </c>
      <c r="J1672" s="7">
        <v>-71.301000000000002</v>
      </c>
      <c r="K1672" s="7">
        <v>46.849699999999999</v>
      </c>
      <c r="L1672" s="7">
        <v>-71.097399999999993</v>
      </c>
      <c r="M1672" s="10" t="str">
        <f t="shared" si="161"/>
        <v>C22</v>
      </c>
      <c r="N1672" s="10" t="str">
        <f t="shared" si="162"/>
        <v>C54</v>
      </c>
      <c r="O1672" s="5">
        <f t="shared" si="163"/>
        <v>17.259372895256941</v>
      </c>
      <c r="P1672" s="22">
        <f>O1672/Explications!$C$8</f>
        <v>0.57531242984189801</v>
      </c>
      <c r="Q1672" s="7" t="str">
        <f t="shared" si="164"/>
        <v>C54</v>
      </c>
      <c r="R1672" s="7" t="str">
        <f t="shared" si="165"/>
        <v>C22</v>
      </c>
      <c r="S1672" s="18">
        <f t="shared" si="166"/>
        <v>17.259372895256941</v>
      </c>
      <c r="T1672" s="18">
        <f>S1672/Explications!$C$8</f>
        <v>0.57531242984189801</v>
      </c>
    </row>
    <row r="1673" spans="7:20">
      <c r="G1673" s="7" t="s">
        <v>38</v>
      </c>
      <c r="H1673" s="7" t="s">
        <v>71</v>
      </c>
      <c r="I1673" s="7">
        <v>46.781300000000002</v>
      </c>
      <c r="J1673" s="7">
        <v>-71.301000000000002</v>
      </c>
      <c r="K1673" s="7">
        <v>46.788899999999998</v>
      </c>
      <c r="L1673" s="7">
        <v>-71.321399999999997</v>
      </c>
      <c r="M1673" s="10" t="str">
        <f t="shared" si="161"/>
        <v>C22</v>
      </c>
      <c r="N1673" s="10" t="str">
        <f t="shared" si="162"/>
        <v>C55</v>
      </c>
      <c r="O1673" s="5">
        <f t="shared" si="163"/>
        <v>1.7682530304934869</v>
      </c>
      <c r="P1673" s="22">
        <f>O1673/Explications!$C$8</f>
        <v>5.8941767683116229E-2</v>
      </c>
      <c r="Q1673" s="7" t="str">
        <f t="shared" si="164"/>
        <v>C55</v>
      </c>
      <c r="R1673" s="7" t="str">
        <f t="shared" si="165"/>
        <v>C22</v>
      </c>
      <c r="S1673" s="18">
        <f t="shared" si="166"/>
        <v>1.7682530304934869</v>
      </c>
      <c r="T1673" s="18">
        <f>S1673/Explications!$C$8</f>
        <v>5.8941767683116229E-2</v>
      </c>
    </row>
    <row r="1674" spans="7:20">
      <c r="G1674" s="7" t="s">
        <v>38</v>
      </c>
      <c r="H1674" s="7" t="s">
        <v>72</v>
      </c>
      <c r="I1674" s="7">
        <v>46.781300000000002</v>
      </c>
      <c r="J1674" s="7">
        <v>-71.301000000000002</v>
      </c>
      <c r="K1674" s="7">
        <v>46.795400000000001</v>
      </c>
      <c r="L1674" s="7">
        <v>-71.232600000000005</v>
      </c>
      <c r="M1674" s="10" t="str">
        <f t="shared" si="161"/>
        <v>C22</v>
      </c>
      <c r="N1674" s="10" t="str">
        <f t="shared" si="162"/>
        <v>C56</v>
      </c>
      <c r="O1674" s="5">
        <f t="shared" si="163"/>
        <v>5.4385058237133448</v>
      </c>
      <c r="P1674" s="22">
        <f>O1674/Explications!$C$8</f>
        <v>0.18128352745711149</v>
      </c>
      <c r="Q1674" s="7" t="str">
        <f t="shared" si="164"/>
        <v>C56</v>
      </c>
      <c r="R1674" s="7" t="str">
        <f t="shared" si="165"/>
        <v>C22</v>
      </c>
      <c r="S1674" s="18">
        <f t="shared" si="166"/>
        <v>5.4385058237133448</v>
      </c>
      <c r="T1674" s="18">
        <f>S1674/Explications!$C$8</f>
        <v>0.18128352745711149</v>
      </c>
    </row>
    <row r="1675" spans="7:20">
      <c r="G1675" s="7" t="s">
        <v>38</v>
      </c>
      <c r="H1675" s="7" t="s">
        <v>73</v>
      </c>
      <c r="I1675" s="7">
        <v>46.781300000000002</v>
      </c>
      <c r="J1675" s="7">
        <v>-71.301000000000002</v>
      </c>
      <c r="K1675" s="7">
        <v>46.801200000000001</v>
      </c>
      <c r="L1675" s="7">
        <v>-71.224999999999994</v>
      </c>
      <c r="M1675" s="10" t="str">
        <f t="shared" si="161"/>
        <v>C22</v>
      </c>
      <c r="N1675" s="10" t="str">
        <f t="shared" si="162"/>
        <v>C57</v>
      </c>
      <c r="O1675" s="5">
        <f t="shared" si="163"/>
        <v>6.1946163755852384</v>
      </c>
      <c r="P1675" s="22">
        <f>O1675/Explications!$C$8</f>
        <v>0.20648721251950794</v>
      </c>
      <c r="Q1675" s="7" t="str">
        <f t="shared" si="164"/>
        <v>C57</v>
      </c>
      <c r="R1675" s="7" t="str">
        <f t="shared" si="165"/>
        <v>C22</v>
      </c>
      <c r="S1675" s="18">
        <f t="shared" si="166"/>
        <v>6.1946163755852384</v>
      </c>
      <c r="T1675" s="18">
        <f>S1675/Explications!$C$8</f>
        <v>0.20648721251950794</v>
      </c>
    </row>
    <row r="1676" spans="7:20">
      <c r="G1676" s="7" t="s">
        <v>38</v>
      </c>
      <c r="H1676" s="7" t="s">
        <v>74</v>
      </c>
      <c r="I1676" s="7">
        <v>46.781300000000002</v>
      </c>
      <c r="J1676" s="7">
        <v>-71.301000000000002</v>
      </c>
      <c r="K1676" s="7">
        <v>46.773200000000003</v>
      </c>
      <c r="L1676" s="7">
        <v>-71.275899999999993</v>
      </c>
      <c r="M1676" s="10" t="str">
        <f t="shared" si="161"/>
        <v>C22</v>
      </c>
      <c r="N1676" s="10" t="str">
        <f t="shared" si="162"/>
        <v>C58</v>
      </c>
      <c r="O1676" s="5">
        <f t="shared" si="163"/>
        <v>2.1129532936964202</v>
      </c>
      <c r="P1676" s="22">
        <f>O1676/Explications!$C$8</f>
        <v>7.0431776456547343E-2</v>
      </c>
      <c r="Q1676" s="7" t="str">
        <f t="shared" si="164"/>
        <v>C58</v>
      </c>
      <c r="R1676" s="7" t="str">
        <f t="shared" si="165"/>
        <v>C22</v>
      </c>
      <c r="S1676" s="18">
        <f t="shared" si="166"/>
        <v>2.1129532936964202</v>
      </c>
      <c r="T1676" s="18">
        <f>S1676/Explications!$C$8</f>
        <v>7.0431776456547343E-2</v>
      </c>
    </row>
    <row r="1677" spans="7:20">
      <c r="G1677" s="7" t="s">
        <v>38</v>
      </c>
      <c r="H1677" s="7" t="s">
        <v>75</v>
      </c>
      <c r="I1677" s="7">
        <v>46.781300000000002</v>
      </c>
      <c r="J1677" s="7">
        <v>-71.301000000000002</v>
      </c>
      <c r="K1677" s="7">
        <v>46.814399999999999</v>
      </c>
      <c r="L1677" s="7">
        <v>-71.225700000000003</v>
      </c>
      <c r="M1677" s="10" t="str">
        <f t="shared" si="161"/>
        <v>C22</v>
      </c>
      <c r="N1677" s="10" t="str">
        <f t="shared" si="162"/>
        <v>C59</v>
      </c>
      <c r="O1677" s="5">
        <f t="shared" si="163"/>
        <v>6.8118604436621659</v>
      </c>
      <c r="P1677" s="22">
        <f>O1677/Explications!$C$8</f>
        <v>0.22706201478873886</v>
      </c>
      <c r="Q1677" s="7" t="str">
        <f t="shared" si="164"/>
        <v>C59</v>
      </c>
      <c r="R1677" s="7" t="str">
        <f t="shared" si="165"/>
        <v>C22</v>
      </c>
      <c r="S1677" s="18">
        <f t="shared" si="166"/>
        <v>6.8118604436621659</v>
      </c>
      <c r="T1677" s="18">
        <f>S1677/Explications!$C$8</f>
        <v>0.22706201478873886</v>
      </c>
    </row>
    <row r="1678" spans="7:20">
      <c r="G1678" s="7" t="s">
        <v>38</v>
      </c>
      <c r="H1678" s="7" t="s">
        <v>76</v>
      </c>
      <c r="I1678" s="7">
        <v>46.781300000000002</v>
      </c>
      <c r="J1678" s="7">
        <v>-71.301000000000002</v>
      </c>
      <c r="K1678" s="7">
        <v>46.772500000000001</v>
      </c>
      <c r="L1678" s="7">
        <v>-71.276300000000006</v>
      </c>
      <c r="M1678" s="10" t="str">
        <f t="shared" si="161"/>
        <v>C22</v>
      </c>
      <c r="N1678" s="10" t="str">
        <f t="shared" si="162"/>
        <v>C60</v>
      </c>
      <c r="O1678" s="5">
        <f t="shared" si="163"/>
        <v>2.1202296606349162</v>
      </c>
      <c r="P1678" s="22">
        <f>O1678/Explications!$C$8</f>
        <v>7.0674322021163874E-2</v>
      </c>
      <c r="Q1678" s="7" t="str">
        <f t="shared" si="164"/>
        <v>C60</v>
      </c>
      <c r="R1678" s="7" t="str">
        <f t="shared" si="165"/>
        <v>C22</v>
      </c>
      <c r="S1678" s="18">
        <f t="shared" si="166"/>
        <v>2.1202296606349162</v>
      </c>
      <c r="T1678" s="18">
        <f>S1678/Explications!$C$8</f>
        <v>7.0674322021163874E-2</v>
      </c>
    </row>
    <row r="1679" spans="7:20">
      <c r="G1679" s="7" t="s">
        <v>38</v>
      </c>
      <c r="H1679" s="7" t="s">
        <v>77</v>
      </c>
      <c r="I1679" s="7">
        <v>46.781300000000002</v>
      </c>
      <c r="J1679" s="7">
        <v>-71.301000000000002</v>
      </c>
      <c r="K1679" s="7">
        <v>46.810899999999997</v>
      </c>
      <c r="L1679" s="7">
        <v>-71.215599999999995</v>
      </c>
      <c r="M1679" s="10" t="str">
        <f t="shared" si="161"/>
        <v>C22</v>
      </c>
      <c r="N1679" s="10" t="str">
        <f t="shared" si="162"/>
        <v>C61</v>
      </c>
      <c r="O1679" s="5">
        <f t="shared" si="163"/>
        <v>7.2866741559623884</v>
      </c>
      <c r="P1679" s="22">
        <f>O1679/Explications!$C$8</f>
        <v>0.24288913853207961</v>
      </c>
      <c r="Q1679" s="7" t="str">
        <f t="shared" si="164"/>
        <v>C61</v>
      </c>
      <c r="R1679" s="7" t="str">
        <f t="shared" si="165"/>
        <v>C22</v>
      </c>
      <c r="S1679" s="18">
        <f t="shared" si="166"/>
        <v>7.2866741559623884</v>
      </c>
      <c r="T1679" s="18">
        <f>S1679/Explications!$C$8</f>
        <v>0.24288913853207961</v>
      </c>
    </row>
    <row r="1680" spans="7:20">
      <c r="G1680" s="7" t="s">
        <v>38</v>
      </c>
      <c r="H1680" s="7" t="s">
        <v>78</v>
      </c>
      <c r="I1680" s="7">
        <v>46.781300000000002</v>
      </c>
      <c r="J1680" s="7">
        <v>-71.301000000000002</v>
      </c>
      <c r="K1680" s="7">
        <v>46.795200000000001</v>
      </c>
      <c r="L1680" s="7">
        <v>-71.245099999999994</v>
      </c>
      <c r="M1680" s="10" t="str">
        <f t="shared" si="161"/>
        <v>C22</v>
      </c>
      <c r="N1680" s="10" t="str">
        <f t="shared" si="162"/>
        <v>C62</v>
      </c>
      <c r="O1680" s="5">
        <f t="shared" si="163"/>
        <v>4.5279009027217159</v>
      </c>
      <c r="P1680" s="22">
        <f>O1680/Explications!$C$8</f>
        <v>0.15093003009072387</v>
      </c>
      <c r="Q1680" s="7" t="str">
        <f t="shared" si="164"/>
        <v>C62</v>
      </c>
      <c r="R1680" s="7" t="str">
        <f t="shared" si="165"/>
        <v>C22</v>
      </c>
      <c r="S1680" s="18">
        <f t="shared" si="166"/>
        <v>4.5279009027217159</v>
      </c>
      <c r="T1680" s="18">
        <f>S1680/Explications!$C$8</f>
        <v>0.15093003009072387</v>
      </c>
    </row>
    <row r="1681" spans="7:20">
      <c r="G1681" s="7" t="s">
        <v>38</v>
      </c>
      <c r="H1681" s="7" t="s">
        <v>79</v>
      </c>
      <c r="I1681" s="7">
        <v>46.781300000000002</v>
      </c>
      <c r="J1681" s="7">
        <v>-71.301000000000002</v>
      </c>
      <c r="K1681" s="7">
        <v>46.822000000000003</v>
      </c>
      <c r="L1681" s="7">
        <v>-71.345699999999994</v>
      </c>
      <c r="M1681" s="10" t="str">
        <f t="shared" si="161"/>
        <v>C22</v>
      </c>
      <c r="N1681" s="10" t="str">
        <f t="shared" si="162"/>
        <v>C63</v>
      </c>
      <c r="O1681" s="5">
        <f t="shared" si="163"/>
        <v>5.6619369349772484</v>
      </c>
      <c r="P1681" s="22">
        <f>O1681/Explications!$C$8</f>
        <v>0.18873123116590829</v>
      </c>
      <c r="Q1681" s="7" t="str">
        <f t="shared" si="164"/>
        <v>C63</v>
      </c>
      <c r="R1681" s="7" t="str">
        <f t="shared" si="165"/>
        <v>C22</v>
      </c>
      <c r="S1681" s="18">
        <f t="shared" si="166"/>
        <v>5.6619369349772484</v>
      </c>
      <c r="T1681" s="18">
        <f>S1681/Explications!$C$8</f>
        <v>0.18873123116590829</v>
      </c>
    </row>
    <row r="1682" spans="7:20">
      <c r="G1682" s="7" t="s">
        <v>38</v>
      </c>
      <c r="H1682" s="7" t="s">
        <v>80</v>
      </c>
      <c r="I1682" s="7">
        <v>46.781300000000002</v>
      </c>
      <c r="J1682" s="7">
        <v>-71.301000000000002</v>
      </c>
      <c r="K1682" s="7">
        <v>46.779400000000003</v>
      </c>
      <c r="L1682" s="7">
        <v>-71.350399999999993</v>
      </c>
      <c r="M1682" s="10" t="str">
        <f t="shared" si="161"/>
        <v>C22</v>
      </c>
      <c r="N1682" s="10" t="str">
        <f t="shared" si="162"/>
        <v>C64</v>
      </c>
      <c r="O1682" s="5">
        <f t="shared" si="163"/>
        <v>3.7675386770956623</v>
      </c>
      <c r="P1682" s="22">
        <f>O1682/Explications!$C$8</f>
        <v>0.12558462256985542</v>
      </c>
      <c r="Q1682" s="7" t="str">
        <f t="shared" si="164"/>
        <v>C64</v>
      </c>
      <c r="R1682" s="7" t="str">
        <f t="shared" si="165"/>
        <v>C22</v>
      </c>
      <c r="S1682" s="18">
        <f t="shared" si="166"/>
        <v>3.7675386770956623</v>
      </c>
      <c r="T1682" s="18">
        <f>S1682/Explications!$C$8</f>
        <v>0.12558462256985542</v>
      </c>
    </row>
    <row r="1683" spans="7:20">
      <c r="G1683" s="7" t="s">
        <v>38</v>
      </c>
      <c r="H1683" s="7" t="s">
        <v>81</v>
      </c>
      <c r="I1683" s="7">
        <v>46.781300000000002</v>
      </c>
      <c r="J1683" s="7">
        <v>-71.301000000000002</v>
      </c>
      <c r="K1683" s="7">
        <v>46.772300000000001</v>
      </c>
      <c r="L1683" s="7">
        <v>-71.279799999999994</v>
      </c>
      <c r="M1683" s="10" t="str">
        <f t="shared" si="161"/>
        <v>C22</v>
      </c>
      <c r="N1683" s="10" t="str">
        <f t="shared" si="162"/>
        <v>C65</v>
      </c>
      <c r="O1683" s="5">
        <f t="shared" si="163"/>
        <v>1.8994207278404296</v>
      </c>
      <c r="P1683" s="22">
        <f>O1683/Explications!$C$8</f>
        <v>6.3314024261347648E-2</v>
      </c>
      <c r="Q1683" s="7" t="str">
        <f t="shared" si="164"/>
        <v>C65</v>
      </c>
      <c r="R1683" s="7" t="str">
        <f t="shared" si="165"/>
        <v>C22</v>
      </c>
      <c r="S1683" s="18">
        <f t="shared" si="166"/>
        <v>1.8994207278404296</v>
      </c>
      <c r="T1683" s="18">
        <f>S1683/Explications!$C$8</f>
        <v>6.3314024261347648E-2</v>
      </c>
    </row>
    <row r="1684" spans="7:20">
      <c r="G1684" s="7" t="s">
        <v>38</v>
      </c>
      <c r="H1684" s="7" t="s">
        <v>82</v>
      </c>
      <c r="I1684" s="7">
        <v>46.781300000000002</v>
      </c>
      <c r="J1684" s="7">
        <v>-71.301000000000002</v>
      </c>
      <c r="K1684" s="7">
        <v>46.814900000000002</v>
      </c>
      <c r="L1684" s="7">
        <v>-71.225200000000001</v>
      </c>
      <c r="M1684" s="10" t="str">
        <f t="shared" si="161"/>
        <v>C22</v>
      </c>
      <c r="N1684" s="10" t="str">
        <f t="shared" si="162"/>
        <v>C66</v>
      </c>
      <c r="O1684" s="5">
        <f t="shared" si="163"/>
        <v>6.8739546618758398</v>
      </c>
      <c r="P1684" s="22">
        <f>O1684/Explications!$C$8</f>
        <v>0.229131822062528</v>
      </c>
      <c r="Q1684" s="7" t="str">
        <f t="shared" si="164"/>
        <v>C66</v>
      </c>
      <c r="R1684" s="7" t="str">
        <f t="shared" si="165"/>
        <v>C22</v>
      </c>
      <c r="S1684" s="18">
        <f t="shared" si="166"/>
        <v>6.8739546618758398</v>
      </c>
      <c r="T1684" s="18">
        <f>S1684/Explications!$C$8</f>
        <v>0.229131822062528</v>
      </c>
    </row>
    <row r="1685" spans="7:20">
      <c r="G1685" s="7" t="s">
        <v>38</v>
      </c>
      <c r="H1685" s="7" t="s">
        <v>83</v>
      </c>
      <c r="I1685" s="7">
        <v>46.781300000000002</v>
      </c>
      <c r="J1685" s="7">
        <v>-71.301000000000002</v>
      </c>
      <c r="K1685" s="7">
        <v>46.814700000000002</v>
      </c>
      <c r="L1685" s="7">
        <v>-71.207300000000004</v>
      </c>
      <c r="M1685" s="10" t="str">
        <f t="shared" si="161"/>
        <v>C22</v>
      </c>
      <c r="N1685" s="10" t="str">
        <f t="shared" si="162"/>
        <v>C67</v>
      </c>
      <c r="O1685" s="5">
        <f t="shared" si="163"/>
        <v>8.0415300820210902</v>
      </c>
      <c r="P1685" s="22">
        <f>O1685/Explications!$C$8</f>
        <v>0.26805100273403631</v>
      </c>
      <c r="Q1685" s="7" t="str">
        <f t="shared" si="164"/>
        <v>C67</v>
      </c>
      <c r="R1685" s="7" t="str">
        <f t="shared" si="165"/>
        <v>C22</v>
      </c>
      <c r="S1685" s="18">
        <f t="shared" si="166"/>
        <v>8.0415300820210902</v>
      </c>
      <c r="T1685" s="18">
        <f>S1685/Explications!$C$8</f>
        <v>0.26805100273403631</v>
      </c>
    </row>
    <row r="1686" spans="7:20">
      <c r="G1686" s="7" t="s">
        <v>38</v>
      </c>
      <c r="H1686" s="7" t="s">
        <v>84</v>
      </c>
      <c r="I1686" s="7">
        <v>46.781300000000002</v>
      </c>
      <c r="J1686" s="7">
        <v>-71.301000000000002</v>
      </c>
      <c r="K1686" s="7">
        <v>46.815600000000003</v>
      </c>
      <c r="L1686" s="7">
        <v>-71.2029</v>
      </c>
      <c r="M1686" s="10" t="str">
        <f t="shared" si="161"/>
        <v>C22</v>
      </c>
      <c r="N1686" s="10" t="str">
        <f t="shared" si="162"/>
        <v>C68</v>
      </c>
      <c r="O1686" s="5">
        <f t="shared" si="163"/>
        <v>8.3850249634083873</v>
      </c>
      <c r="P1686" s="22">
        <f>O1686/Explications!$C$8</f>
        <v>0.27950083211361293</v>
      </c>
      <c r="Q1686" s="7" t="str">
        <f t="shared" si="164"/>
        <v>C68</v>
      </c>
      <c r="R1686" s="7" t="str">
        <f t="shared" si="165"/>
        <v>C22</v>
      </c>
      <c r="S1686" s="18">
        <f t="shared" si="166"/>
        <v>8.3850249634083873</v>
      </c>
      <c r="T1686" s="18">
        <f>S1686/Explications!$C$8</f>
        <v>0.27950083211361293</v>
      </c>
    </row>
    <row r="1687" spans="7:20">
      <c r="G1687" s="7" t="s">
        <v>38</v>
      </c>
      <c r="H1687" s="7" t="s">
        <v>85</v>
      </c>
      <c r="I1687" s="7">
        <v>46.781300000000002</v>
      </c>
      <c r="J1687" s="7">
        <v>-71.301000000000002</v>
      </c>
      <c r="K1687" s="7">
        <v>46.821899999999999</v>
      </c>
      <c r="L1687" s="7">
        <v>-71.249899999999997</v>
      </c>
      <c r="M1687" s="10" t="str">
        <f t="shared" si="161"/>
        <v>C22</v>
      </c>
      <c r="N1687" s="10" t="str">
        <f t="shared" si="162"/>
        <v>C69</v>
      </c>
      <c r="O1687" s="5">
        <f t="shared" si="163"/>
        <v>5.9589612683873998</v>
      </c>
      <c r="P1687" s="22">
        <f>O1687/Explications!$C$8</f>
        <v>0.19863204227958001</v>
      </c>
      <c r="Q1687" s="7" t="str">
        <f t="shared" si="164"/>
        <v>C69</v>
      </c>
      <c r="R1687" s="7" t="str">
        <f t="shared" si="165"/>
        <v>C22</v>
      </c>
      <c r="S1687" s="18">
        <f t="shared" si="166"/>
        <v>5.9589612683873998</v>
      </c>
      <c r="T1687" s="18">
        <f>S1687/Explications!$C$8</f>
        <v>0.19863204227958001</v>
      </c>
    </row>
    <row r="1688" spans="7:20">
      <c r="G1688" s="7" t="s">
        <v>38</v>
      </c>
      <c r="H1688" s="7" t="s">
        <v>86</v>
      </c>
      <c r="I1688" s="7">
        <v>46.781300000000002</v>
      </c>
      <c r="J1688" s="7">
        <v>-71.301000000000002</v>
      </c>
      <c r="K1688" s="7">
        <v>46.8872</v>
      </c>
      <c r="L1688" s="7">
        <v>-71.27</v>
      </c>
      <c r="M1688" s="10" t="str">
        <f t="shared" si="161"/>
        <v>C22</v>
      </c>
      <c r="N1688" s="10" t="str">
        <f t="shared" si="162"/>
        <v>C70</v>
      </c>
      <c r="O1688" s="5">
        <f t="shared" si="163"/>
        <v>12.009343074498521</v>
      </c>
      <c r="P1688" s="22">
        <f>O1688/Explications!$C$8</f>
        <v>0.40031143581661738</v>
      </c>
      <c r="Q1688" s="7" t="str">
        <f t="shared" si="164"/>
        <v>C70</v>
      </c>
      <c r="R1688" s="7" t="str">
        <f t="shared" si="165"/>
        <v>C22</v>
      </c>
      <c r="S1688" s="18">
        <f t="shared" si="166"/>
        <v>12.009343074498521</v>
      </c>
      <c r="T1688" s="18">
        <f>S1688/Explications!$C$8</f>
        <v>0.40031143581661738</v>
      </c>
    </row>
    <row r="1689" spans="7:20">
      <c r="G1689" s="7" t="s">
        <v>38</v>
      </c>
      <c r="H1689" s="7" t="s">
        <v>87</v>
      </c>
      <c r="I1689" s="7">
        <v>46.781300000000002</v>
      </c>
      <c r="J1689" s="7">
        <v>-71.301000000000002</v>
      </c>
      <c r="K1689" s="7">
        <v>46.816299999999998</v>
      </c>
      <c r="L1689" s="7">
        <v>-71.210300000000004</v>
      </c>
      <c r="M1689" s="10" t="str">
        <f t="shared" si="161"/>
        <v>C22</v>
      </c>
      <c r="N1689" s="10" t="str">
        <f t="shared" si="162"/>
        <v>C71</v>
      </c>
      <c r="O1689" s="5">
        <f t="shared" si="163"/>
        <v>7.9254321127441036</v>
      </c>
      <c r="P1689" s="22">
        <f>O1689/Explications!$C$8</f>
        <v>0.26418107042480343</v>
      </c>
      <c r="Q1689" s="7" t="str">
        <f t="shared" si="164"/>
        <v>C71</v>
      </c>
      <c r="R1689" s="7" t="str">
        <f t="shared" si="165"/>
        <v>C22</v>
      </c>
      <c r="S1689" s="18">
        <f t="shared" si="166"/>
        <v>7.9254321127441036</v>
      </c>
      <c r="T1689" s="18">
        <f>S1689/Explications!$C$8</f>
        <v>0.26418107042480343</v>
      </c>
    </row>
    <row r="1690" spans="7:20">
      <c r="G1690" s="7" t="s">
        <v>38</v>
      </c>
      <c r="H1690" s="7" t="s">
        <v>88</v>
      </c>
      <c r="I1690" s="7">
        <v>46.781300000000002</v>
      </c>
      <c r="J1690" s="7">
        <v>-71.301000000000002</v>
      </c>
      <c r="K1690" s="7">
        <v>46.807000000000002</v>
      </c>
      <c r="L1690" s="7">
        <v>-71.3566</v>
      </c>
      <c r="M1690" s="10" t="str">
        <f t="shared" si="161"/>
        <v>C22</v>
      </c>
      <c r="N1690" s="10" t="str">
        <f t="shared" si="162"/>
        <v>C72</v>
      </c>
      <c r="O1690" s="5">
        <f t="shared" si="163"/>
        <v>5.1070206461956147</v>
      </c>
      <c r="P1690" s="22">
        <f>O1690/Explications!$C$8</f>
        <v>0.17023402153985381</v>
      </c>
      <c r="Q1690" s="7" t="str">
        <f t="shared" si="164"/>
        <v>C72</v>
      </c>
      <c r="R1690" s="7" t="str">
        <f t="shared" si="165"/>
        <v>C22</v>
      </c>
      <c r="S1690" s="18">
        <f t="shared" si="166"/>
        <v>5.1070206461956147</v>
      </c>
      <c r="T1690" s="18">
        <f>S1690/Explications!$C$8</f>
        <v>0.17023402153985381</v>
      </c>
    </row>
    <row r="1691" spans="7:20">
      <c r="G1691" s="7" t="s">
        <v>38</v>
      </c>
      <c r="H1691" s="7" t="s">
        <v>89</v>
      </c>
      <c r="I1691" s="7">
        <v>46.781300000000002</v>
      </c>
      <c r="J1691" s="7">
        <v>-71.301000000000002</v>
      </c>
      <c r="K1691" s="7">
        <v>46.822899999999997</v>
      </c>
      <c r="L1691" s="7">
        <v>-71.341899999999995</v>
      </c>
      <c r="M1691" s="10" t="str">
        <f t="shared" si="161"/>
        <v>C22</v>
      </c>
      <c r="N1691" s="10" t="str">
        <f t="shared" si="162"/>
        <v>C73</v>
      </c>
      <c r="O1691" s="5">
        <f t="shared" si="163"/>
        <v>5.5757191509166697</v>
      </c>
      <c r="P1691" s="22">
        <f>O1691/Explications!$C$8</f>
        <v>0.18585730503055567</v>
      </c>
      <c r="Q1691" s="7" t="str">
        <f t="shared" si="164"/>
        <v>C73</v>
      </c>
      <c r="R1691" s="7" t="str">
        <f t="shared" si="165"/>
        <v>C22</v>
      </c>
      <c r="S1691" s="18">
        <f t="shared" si="166"/>
        <v>5.5757191509166697</v>
      </c>
      <c r="T1691" s="18">
        <f>S1691/Explications!$C$8</f>
        <v>0.18585730503055567</v>
      </c>
    </row>
    <row r="1692" spans="7:20">
      <c r="G1692" s="7" t="s">
        <v>38</v>
      </c>
      <c r="H1692" s="7" t="s">
        <v>90</v>
      </c>
      <c r="I1692" s="7">
        <v>46.781300000000002</v>
      </c>
      <c r="J1692" s="7">
        <v>-71.301000000000002</v>
      </c>
      <c r="K1692" s="7">
        <v>46.730699999999999</v>
      </c>
      <c r="L1692" s="7">
        <v>-71.261099999999999</v>
      </c>
      <c r="M1692" s="10" t="str">
        <f t="shared" si="161"/>
        <v>C22</v>
      </c>
      <c r="N1692" s="10" t="str">
        <f t="shared" si="162"/>
        <v>C74</v>
      </c>
      <c r="O1692" s="5">
        <f t="shared" si="163"/>
        <v>6.3950167915130089</v>
      </c>
      <c r="P1692" s="22">
        <f>O1692/Explications!$C$8</f>
        <v>0.21316722638376698</v>
      </c>
      <c r="Q1692" s="7" t="str">
        <f t="shared" si="164"/>
        <v>C74</v>
      </c>
      <c r="R1692" s="7" t="str">
        <f t="shared" si="165"/>
        <v>C22</v>
      </c>
      <c r="S1692" s="18">
        <f t="shared" si="166"/>
        <v>6.3950167915130089</v>
      </c>
      <c r="T1692" s="18">
        <f>S1692/Explications!$C$8</f>
        <v>0.21316722638376698</v>
      </c>
    </row>
    <row r="1693" spans="7:20">
      <c r="G1693" s="7" t="s">
        <v>38</v>
      </c>
      <c r="H1693" s="7" t="s">
        <v>91</v>
      </c>
      <c r="I1693" s="7">
        <v>46.781300000000002</v>
      </c>
      <c r="J1693" s="7">
        <v>-71.301000000000002</v>
      </c>
      <c r="K1693" s="7">
        <v>46.840600000000002</v>
      </c>
      <c r="L1693" s="7">
        <v>-71.289100000000005</v>
      </c>
      <c r="M1693" s="10" t="str">
        <f t="shared" si="161"/>
        <v>C22</v>
      </c>
      <c r="N1693" s="10" t="str">
        <f t="shared" si="162"/>
        <v>C75</v>
      </c>
      <c r="O1693" s="5">
        <f t="shared" si="163"/>
        <v>6.6557590865697955</v>
      </c>
      <c r="P1693" s="22">
        <f>O1693/Explications!$C$8</f>
        <v>0.22185863621899318</v>
      </c>
      <c r="Q1693" s="7" t="str">
        <f t="shared" si="164"/>
        <v>C75</v>
      </c>
      <c r="R1693" s="7" t="str">
        <f t="shared" si="165"/>
        <v>C22</v>
      </c>
      <c r="S1693" s="18">
        <f t="shared" si="166"/>
        <v>6.6557590865697955</v>
      </c>
      <c r="T1693" s="18">
        <f>S1693/Explications!$C$8</f>
        <v>0.22185863621899318</v>
      </c>
    </row>
    <row r="1694" spans="7:20">
      <c r="G1694" s="7" t="s">
        <v>38</v>
      </c>
      <c r="H1694" s="7" t="s">
        <v>92</v>
      </c>
      <c r="I1694" s="7">
        <v>46.781300000000002</v>
      </c>
      <c r="J1694" s="7">
        <v>-71.301000000000002</v>
      </c>
      <c r="K1694" s="7">
        <v>46.840600000000002</v>
      </c>
      <c r="L1694" s="7">
        <v>-71.281599999999997</v>
      </c>
      <c r="M1694" s="10" t="str">
        <f t="shared" si="161"/>
        <v>C22</v>
      </c>
      <c r="N1694" s="10" t="str">
        <f t="shared" si="162"/>
        <v>C76</v>
      </c>
      <c r="O1694" s="5">
        <f t="shared" si="163"/>
        <v>6.7571229462109859</v>
      </c>
      <c r="P1694" s="22">
        <f>O1694/Explications!$C$8</f>
        <v>0.22523743154036618</v>
      </c>
      <c r="Q1694" s="7" t="str">
        <f t="shared" si="164"/>
        <v>C76</v>
      </c>
      <c r="R1694" s="7" t="str">
        <f t="shared" si="165"/>
        <v>C22</v>
      </c>
      <c r="S1694" s="18">
        <f t="shared" si="166"/>
        <v>6.7571229462109859</v>
      </c>
      <c r="T1694" s="18">
        <f>S1694/Explications!$C$8</f>
        <v>0.22523743154036618</v>
      </c>
    </row>
    <row r="1695" spans="7:20">
      <c r="G1695" s="7" t="s">
        <v>38</v>
      </c>
      <c r="H1695" s="7" t="s">
        <v>93</v>
      </c>
      <c r="I1695" s="7">
        <v>46.781300000000002</v>
      </c>
      <c r="J1695" s="7">
        <v>-71.301000000000002</v>
      </c>
      <c r="K1695" s="7">
        <v>46.839399999999998</v>
      </c>
      <c r="L1695" s="7">
        <v>-71.282600000000002</v>
      </c>
      <c r="M1695" s="10" t="str">
        <f t="shared" si="161"/>
        <v>C22</v>
      </c>
      <c r="N1695" s="10" t="str">
        <f t="shared" si="162"/>
        <v>C77</v>
      </c>
      <c r="O1695" s="5">
        <f t="shared" si="163"/>
        <v>6.6104422726821426</v>
      </c>
      <c r="P1695" s="22">
        <f>O1695/Explications!$C$8</f>
        <v>0.22034807575607143</v>
      </c>
      <c r="Q1695" s="7" t="str">
        <f t="shared" si="164"/>
        <v>C77</v>
      </c>
      <c r="R1695" s="7" t="str">
        <f t="shared" si="165"/>
        <v>C22</v>
      </c>
      <c r="S1695" s="18">
        <f t="shared" si="166"/>
        <v>6.6104422726821426</v>
      </c>
      <c r="T1695" s="18">
        <f>S1695/Explications!$C$8</f>
        <v>0.22034807575607143</v>
      </c>
    </row>
    <row r="1696" spans="7:20">
      <c r="G1696" s="7" t="s">
        <v>38</v>
      </c>
      <c r="H1696" s="7" t="s">
        <v>94</v>
      </c>
      <c r="I1696" s="7">
        <v>46.781300000000002</v>
      </c>
      <c r="J1696" s="7">
        <v>-71.301000000000002</v>
      </c>
      <c r="K1696" s="7">
        <v>46.788499999999999</v>
      </c>
      <c r="L1696" s="7">
        <v>-71.282399999999996</v>
      </c>
      <c r="M1696" s="10" t="str">
        <f t="shared" si="161"/>
        <v>C22</v>
      </c>
      <c r="N1696" s="10" t="str">
        <f t="shared" si="162"/>
        <v>C78</v>
      </c>
      <c r="O1696" s="5">
        <f t="shared" si="163"/>
        <v>1.6268296274105754</v>
      </c>
      <c r="P1696" s="22">
        <f>O1696/Explications!$C$8</f>
        <v>5.4227654247019176E-2</v>
      </c>
      <c r="Q1696" s="7" t="str">
        <f t="shared" si="164"/>
        <v>C78</v>
      </c>
      <c r="R1696" s="7" t="str">
        <f t="shared" si="165"/>
        <v>C22</v>
      </c>
      <c r="S1696" s="18">
        <f t="shared" si="166"/>
        <v>1.6268296274105754</v>
      </c>
      <c r="T1696" s="18">
        <f>S1696/Explications!$C$8</f>
        <v>5.4227654247019176E-2</v>
      </c>
    </row>
    <row r="1697" spans="7:20">
      <c r="G1697" s="7" t="s">
        <v>38</v>
      </c>
      <c r="H1697" s="7" t="s">
        <v>95</v>
      </c>
      <c r="I1697" s="7">
        <v>46.781300000000002</v>
      </c>
      <c r="J1697" s="7">
        <v>-71.301000000000002</v>
      </c>
      <c r="K1697" s="7">
        <v>46.840699999999998</v>
      </c>
      <c r="L1697" s="7">
        <v>-71.325400000000002</v>
      </c>
      <c r="M1697" s="10" t="str">
        <f t="shared" si="161"/>
        <v>C22</v>
      </c>
      <c r="N1697" s="10" t="str">
        <f t="shared" si="162"/>
        <v>C79</v>
      </c>
      <c r="O1697" s="5">
        <f t="shared" si="163"/>
        <v>6.8610372415846861</v>
      </c>
      <c r="P1697" s="22">
        <f>O1697/Explications!$C$8</f>
        <v>0.22870124138615619</v>
      </c>
      <c r="Q1697" s="7" t="str">
        <f t="shared" si="164"/>
        <v>C79</v>
      </c>
      <c r="R1697" s="7" t="str">
        <f t="shared" si="165"/>
        <v>C22</v>
      </c>
      <c r="S1697" s="18">
        <f t="shared" si="166"/>
        <v>6.8610372415846861</v>
      </c>
      <c r="T1697" s="18">
        <f>S1697/Explications!$C$8</f>
        <v>0.22870124138615619</v>
      </c>
    </row>
    <row r="1698" spans="7:20">
      <c r="G1698" s="7" t="s">
        <v>38</v>
      </c>
      <c r="H1698" s="7" t="s">
        <v>96</v>
      </c>
      <c r="I1698" s="7">
        <v>46.781300000000002</v>
      </c>
      <c r="J1698" s="7">
        <v>-71.301000000000002</v>
      </c>
      <c r="K1698" s="7">
        <v>46.798400000000001</v>
      </c>
      <c r="L1698" s="7">
        <v>-71.183199999999999</v>
      </c>
      <c r="M1698" s="10" t="str">
        <f t="shared" si="161"/>
        <v>C22</v>
      </c>
      <c r="N1698" s="10" t="str">
        <f t="shared" si="162"/>
        <v>C80</v>
      </c>
      <c r="O1698" s="5">
        <f t="shared" si="163"/>
        <v>9.1677604300194275</v>
      </c>
      <c r="P1698" s="22">
        <f>O1698/Explications!$C$8</f>
        <v>0.30559201433398092</v>
      </c>
      <c r="Q1698" s="7" t="str">
        <f t="shared" si="164"/>
        <v>C80</v>
      </c>
      <c r="R1698" s="7" t="str">
        <f t="shared" si="165"/>
        <v>C22</v>
      </c>
      <c r="S1698" s="18">
        <f t="shared" si="166"/>
        <v>9.1677604300194275</v>
      </c>
      <c r="T1698" s="18">
        <f>S1698/Explications!$C$8</f>
        <v>0.30559201433398092</v>
      </c>
    </row>
    <row r="1699" spans="7:20">
      <c r="G1699" s="7" t="s">
        <v>38</v>
      </c>
      <c r="H1699" s="7" t="s">
        <v>97</v>
      </c>
      <c r="I1699" s="7">
        <v>46.781300000000002</v>
      </c>
      <c r="J1699" s="7">
        <v>-71.301000000000002</v>
      </c>
      <c r="K1699" s="7">
        <v>46.724800000000002</v>
      </c>
      <c r="L1699" s="7">
        <v>-71.2988</v>
      </c>
      <c r="M1699" s="10" t="str">
        <f t="shared" si="161"/>
        <v>C22</v>
      </c>
      <c r="N1699" s="10" t="str">
        <f t="shared" si="162"/>
        <v>C81</v>
      </c>
      <c r="O1699" s="5">
        <f t="shared" si="163"/>
        <v>6.2847486686910567</v>
      </c>
      <c r="P1699" s="22">
        <f>O1699/Explications!$C$8</f>
        <v>0.20949162228970189</v>
      </c>
      <c r="Q1699" s="7" t="str">
        <f t="shared" si="164"/>
        <v>C81</v>
      </c>
      <c r="R1699" s="7" t="str">
        <f t="shared" si="165"/>
        <v>C22</v>
      </c>
      <c r="S1699" s="18">
        <f t="shared" si="166"/>
        <v>6.2847486686910567</v>
      </c>
      <c r="T1699" s="18">
        <f>S1699/Explications!$C$8</f>
        <v>0.20949162228970189</v>
      </c>
    </row>
    <row r="1700" spans="7:20">
      <c r="G1700" s="7" t="s">
        <v>38</v>
      </c>
      <c r="H1700" s="7" t="s">
        <v>98</v>
      </c>
      <c r="I1700" s="7">
        <v>46.781300000000002</v>
      </c>
      <c r="J1700" s="7">
        <v>-71.301000000000002</v>
      </c>
      <c r="K1700" s="7">
        <v>46.795499999999997</v>
      </c>
      <c r="L1700" s="7">
        <v>-71.242900000000006</v>
      </c>
      <c r="M1700" s="10" t="str">
        <f t="shared" si="161"/>
        <v>C22</v>
      </c>
      <c r="N1700" s="10" t="str">
        <f t="shared" si="162"/>
        <v>C82</v>
      </c>
      <c r="O1700" s="5">
        <f t="shared" si="163"/>
        <v>4.6967831694524538</v>
      </c>
      <c r="P1700" s="22">
        <f>O1700/Explications!$C$8</f>
        <v>0.15655943898174846</v>
      </c>
      <c r="Q1700" s="7" t="str">
        <f t="shared" si="164"/>
        <v>C82</v>
      </c>
      <c r="R1700" s="7" t="str">
        <f t="shared" si="165"/>
        <v>C22</v>
      </c>
      <c r="S1700" s="18">
        <f t="shared" si="166"/>
        <v>4.6967831694524538</v>
      </c>
      <c r="T1700" s="18">
        <f>S1700/Explications!$C$8</f>
        <v>0.15655943898174846</v>
      </c>
    </row>
    <row r="1701" spans="7:20">
      <c r="G1701" s="7" t="s">
        <v>38</v>
      </c>
      <c r="H1701" s="7" t="s">
        <v>99</v>
      </c>
      <c r="I1701" s="7">
        <v>46.781300000000002</v>
      </c>
      <c r="J1701" s="7">
        <v>-71.301000000000002</v>
      </c>
      <c r="K1701" s="7">
        <v>46.8157</v>
      </c>
      <c r="L1701" s="7">
        <v>-71.201899999999995</v>
      </c>
      <c r="M1701" s="10" t="str">
        <f t="shared" si="161"/>
        <v>C22</v>
      </c>
      <c r="N1701" s="10" t="str">
        <f t="shared" si="162"/>
        <v>C83</v>
      </c>
      <c r="O1701" s="5">
        <f t="shared" si="163"/>
        <v>8.4579026904196546</v>
      </c>
      <c r="P1701" s="22">
        <f>O1701/Explications!$C$8</f>
        <v>0.28193008968065514</v>
      </c>
      <c r="Q1701" s="7" t="str">
        <f t="shared" si="164"/>
        <v>C83</v>
      </c>
      <c r="R1701" s="7" t="str">
        <f t="shared" si="165"/>
        <v>C22</v>
      </c>
      <c r="S1701" s="18">
        <f t="shared" si="166"/>
        <v>8.4579026904196546</v>
      </c>
      <c r="T1701" s="18">
        <f>S1701/Explications!$C$8</f>
        <v>0.28193008968065514</v>
      </c>
    </row>
    <row r="1702" spans="7:20">
      <c r="G1702" s="7" t="s">
        <v>38</v>
      </c>
      <c r="H1702" s="7" t="s">
        <v>100</v>
      </c>
      <c r="I1702" s="7">
        <v>46.781300000000002</v>
      </c>
      <c r="J1702" s="7">
        <v>-71.301000000000002</v>
      </c>
      <c r="K1702" s="7">
        <v>46.837600000000002</v>
      </c>
      <c r="L1702" s="7">
        <v>-71.196299999999994</v>
      </c>
      <c r="M1702" s="10" t="str">
        <f t="shared" si="161"/>
        <v>C22</v>
      </c>
      <c r="N1702" s="10" t="str">
        <f t="shared" si="162"/>
        <v>C84</v>
      </c>
      <c r="O1702" s="5">
        <f t="shared" si="163"/>
        <v>10.133250663156531</v>
      </c>
      <c r="P1702" s="22">
        <f>O1702/Explications!$C$8</f>
        <v>0.3377750221052177</v>
      </c>
      <c r="Q1702" s="7" t="str">
        <f t="shared" si="164"/>
        <v>C84</v>
      </c>
      <c r="R1702" s="7" t="str">
        <f t="shared" si="165"/>
        <v>C22</v>
      </c>
      <c r="S1702" s="18">
        <f t="shared" si="166"/>
        <v>10.133250663156531</v>
      </c>
      <c r="T1702" s="18">
        <f>S1702/Explications!$C$8</f>
        <v>0.3377750221052177</v>
      </c>
    </row>
    <row r="1703" spans="7:20">
      <c r="G1703" s="7" t="s">
        <v>38</v>
      </c>
      <c r="H1703" s="7" t="s">
        <v>101</v>
      </c>
      <c r="I1703" s="7">
        <v>46.781300000000002</v>
      </c>
      <c r="J1703" s="7">
        <v>-71.301000000000002</v>
      </c>
      <c r="K1703" s="7">
        <v>46.7988</v>
      </c>
      <c r="L1703" s="7">
        <v>-71.318200000000004</v>
      </c>
      <c r="M1703" s="10" t="str">
        <f t="shared" si="161"/>
        <v>C22</v>
      </c>
      <c r="N1703" s="10" t="str">
        <f t="shared" si="162"/>
        <v>C85</v>
      </c>
      <c r="O1703" s="5">
        <f t="shared" si="163"/>
        <v>2.3454837349729178</v>
      </c>
      <c r="P1703" s="22">
        <f>O1703/Explications!$C$8</f>
        <v>7.8182791165763932E-2</v>
      </c>
      <c r="Q1703" s="7" t="str">
        <f t="shared" si="164"/>
        <v>C85</v>
      </c>
      <c r="R1703" s="7" t="str">
        <f t="shared" si="165"/>
        <v>C22</v>
      </c>
      <c r="S1703" s="18">
        <f t="shared" si="166"/>
        <v>2.3454837349729178</v>
      </c>
      <c r="T1703" s="18">
        <f>S1703/Explications!$C$8</f>
        <v>7.8182791165763932E-2</v>
      </c>
    </row>
    <row r="1704" spans="7:20">
      <c r="G1704" s="7" t="s">
        <v>39</v>
      </c>
      <c r="H1704" s="7" t="s">
        <v>40</v>
      </c>
      <c r="I1704" s="7">
        <v>46.844900000000003</v>
      </c>
      <c r="J1704" s="7">
        <v>-71.251400000000004</v>
      </c>
      <c r="K1704" s="7">
        <v>46.805500000000002</v>
      </c>
      <c r="L1704" s="7">
        <v>-71.2196</v>
      </c>
      <c r="M1704" s="10" t="str">
        <f t="shared" si="161"/>
        <v>C23</v>
      </c>
      <c r="N1704" s="10" t="str">
        <f t="shared" si="162"/>
        <v>C24</v>
      </c>
      <c r="O1704" s="5">
        <f t="shared" si="163"/>
        <v>5.0047450440045456</v>
      </c>
      <c r="P1704" s="22">
        <f>O1704/Explications!$C$8</f>
        <v>0.16682483480015151</v>
      </c>
      <c r="Q1704" s="7" t="str">
        <f t="shared" si="164"/>
        <v>C24</v>
      </c>
      <c r="R1704" s="7" t="str">
        <f t="shared" si="165"/>
        <v>C23</v>
      </c>
      <c r="S1704" s="18">
        <f t="shared" si="166"/>
        <v>5.0047450440045456</v>
      </c>
      <c r="T1704" s="18">
        <f>S1704/Explications!$C$8</f>
        <v>0.16682483480015151</v>
      </c>
    </row>
    <row r="1705" spans="7:20">
      <c r="G1705" s="7" t="s">
        <v>39</v>
      </c>
      <c r="H1705" s="7" t="s">
        <v>41</v>
      </c>
      <c r="I1705" s="7">
        <v>46.844900000000003</v>
      </c>
      <c r="J1705" s="7">
        <v>-71.251400000000004</v>
      </c>
      <c r="K1705" s="7">
        <v>46.734900000000003</v>
      </c>
      <c r="L1705" s="7">
        <v>-71.266199999999998</v>
      </c>
      <c r="M1705" s="10" t="str">
        <f t="shared" si="161"/>
        <v>C23</v>
      </c>
      <c r="N1705" s="10" t="str">
        <f t="shared" si="162"/>
        <v>C25</v>
      </c>
      <c r="O1705" s="5">
        <f t="shared" si="163"/>
        <v>12.28323079486419</v>
      </c>
      <c r="P1705" s="22">
        <f>O1705/Explications!$C$8</f>
        <v>0.40944102649547298</v>
      </c>
      <c r="Q1705" s="7" t="str">
        <f t="shared" si="164"/>
        <v>C25</v>
      </c>
      <c r="R1705" s="7" t="str">
        <f t="shared" si="165"/>
        <v>C23</v>
      </c>
      <c r="S1705" s="18">
        <f t="shared" si="166"/>
        <v>12.28323079486419</v>
      </c>
      <c r="T1705" s="18">
        <f>S1705/Explications!$C$8</f>
        <v>0.40944102649547298</v>
      </c>
    </row>
    <row r="1706" spans="7:20">
      <c r="G1706" s="7" t="s">
        <v>39</v>
      </c>
      <c r="H1706" s="7" t="s">
        <v>42</v>
      </c>
      <c r="I1706" s="7">
        <v>46.844900000000003</v>
      </c>
      <c r="J1706" s="7">
        <v>-71.251400000000004</v>
      </c>
      <c r="K1706" s="7">
        <v>46.817700000000002</v>
      </c>
      <c r="L1706" s="7">
        <v>-71.214100000000002</v>
      </c>
      <c r="M1706" s="10" t="str">
        <f t="shared" si="161"/>
        <v>C23</v>
      </c>
      <c r="N1706" s="10" t="str">
        <f t="shared" si="162"/>
        <v>C26</v>
      </c>
      <c r="O1706" s="5">
        <f t="shared" si="163"/>
        <v>4.1472078056186765</v>
      </c>
      <c r="P1706" s="22">
        <f>O1706/Explications!$C$8</f>
        <v>0.13824026018728922</v>
      </c>
      <c r="Q1706" s="7" t="str">
        <f t="shared" si="164"/>
        <v>C26</v>
      </c>
      <c r="R1706" s="7" t="str">
        <f t="shared" si="165"/>
        <v>C23</v>
      </c>
      <c r="S1706" s="18">
        <f t="shared" si="166"/>
        <v>4.1472078056186765</v>
      </c>
      <c r="T1706" s="18">
        <f>S1706/Explications!$C$8</f>
        <v>0.13824026018728922</v>
      </c>
    </row>
    <row r="1707" spans="7:20">
      <c r="G1707" s="7" t="s">
        <v>39</v>
      </c>
      <c r="H1707" s="7" t="s">
        <v>43</v>
      </c>
      <c r="I1707" s="7">
        <v>46.844900000000003</v>
      </c>
      <c r="J1707" s="7">
        <v>-71.251400000000004</v>
      </c>
      <c r="K1707" s="7">
        <v>46.603000000000002</v>
      </c>
      <c r="L1707" s="7">
        <v>-71.490600000000001</v>
      </c>
      <c r="M1707" s="10" t="str">
        <f t="shared" si="161"/>
        <v>C23</v>
      </c>
      <c r="N1707" s="10" t="str">
        <f t="shared" si="162"/>
        <v>C27</v>
      </c>
      <c r="O1707" s="5">
        <f t="shared" si="163"/>
        <v>32.495412579854325</v>
      </c>
      <c r="P1707" s="22">
        <f>O1707/Explications!$C$8</f>
        <v>1.0831804193284775</v>
      </c>
      <c r="Q1707" s="7" t="str">
        <f t="shared" si="164"/>
        <v>C27</v>
      </c>
      <c r="R1707" s="7" t="str">
        <f t="shared" si="165"/>
        <v>C23</v>
      </c>
      <c r="S1707" s="18">
        <f t="shared" si="166"/>
        <v>32.495412579854325</v>
      </c>
      <c r="T1707" s="18">
        <f>S1707/Explications!$C$8</f>
        <v>1.0831804193284775</v>
      </c>
    </row>
    <row r="1708" spans="7:20">
      <c r="G1708" s="7" t="s">
        <v>39</v>
      </c>
      <c r="H1708" s="7" t="s">
        <v>44</v>
      </c>
      <c r="I1708" s="7">
        <v>46.844900000000003</v>
      </c>
      <c r="J1708" s="7">
        <v>-71.251400000000004</v>
      </c>
      <c r="K1708" s="7">
        <v>47.000500000000002</v>
      </c>
      <c r="L1708" s="7">
        <v>-71.388400000000004</v>
      </c>
      <c r="M1708" s="10" t="str">
        <f t="shared" si="161"/>
        <v>C23</v>
      </c>
      <c r="N1708" s="10" t="str">
        <f t="shared" si="162"/>
        <v>C28</v>
      </c>
      <c r="O1708" s="5">
        <f t="shared" si="163"/>
        <v>20.189296016819196</v>
      </c>
      <c r="P1708" s="22">
        <f>O1708/Explications!$C$8</f>
        <v>0.67297653389397316</v>
      </c>
      <c r="Q1708" s="7" t="str">
        <f t="shared" si="164"/>
        <v>C28</v>
      </c>
      <c r="R1708" s="7" t="str">
        <f t="shared" si="165"/>
        <v>C23</v>
      </c>
      <c r="S1708" s="18">
        <f t="shared" si="166"/>
        <v>20.189296016819196</v>
      </c>
      <c r="T1708" s="18">
        <f>S1708/Explications!$C$8</f>
        <v>0.67297653389397316</v>
      </c>
    </row>
    <row r="1709" spans="7:20">
      <c r="G1709" s="7" t="s">
        <v>39</v>
      </c>
      <c r="H1709" s="7" t="s">
        <v>45</v>
      </c>
      <c r="I1709" s="7">
        <v>46.844900000000003</v>
      </c>
      <c r="J1709" s="7">
        <v>-71.251400000000004</v>
      </c>
      <c r="K1709" s="7">
        <v>46.839100000000002</v>
      </c>
      <c r="L1709" s="7">
        <v>-71.245699999999999</v>
      </c>
      <c r="M1709" s="10" t="str">
        <f t="shared" si="161"/>
        <v>C23</v>
      </c>
      <c r="N1709" s="10" t="str">
        <f t="shared" si="162"/>
        <v>C29</v>
      </c>
      <c r="O1709" s="5">
        <f t="shared" si="163"/>
        <v>0.77710219365816524</v>
      </c>
      <c r="P1709" s="22">
        <f>O1709/Explications!$C$8</f>
        <v>2.5903406455272174E-2</v>
      </c>
      <c r="Q1709" s="7" t="str">
        <f t="shared" si="164"/>
        <v>C29</v>
      </c>
      <c r="R1709" s="7" t="str">
        <f t="shared" si="165"/>
        <v>C23</v>
      </c>
      <c r="S1709" s="18">
        <f t="shared" si="166"/>
        <v>0.77710219365816524</v>
      </c>
      <c r="T1709" s="18">
        <f>S1709/Explications!$C$8</f>
        <v>2.5903406455272174E-2</v>
      </c>
    </row>
    <row r="1710" spans="7:20">
      <c r="G1710" s="7" t="s">
        <v>39</v>
      </c>
      <c r="H1710" s="7" t="s">
        <v>46</v>
      </c>
      <c r="I1710" s="7">
        <v>46.844900000000003</v>
      </c>
      <c r="J1710" s="7">
        <v>-71.251400000000004</v>
      </c>
      <c r="K1710" s="7">
        <v>46.865699999999997</v>
      </c>
      <c r="L1710" s="7">
        <v>-71.27</v>
      </c>
      <c r="M1710" s="10" t="str">
        <f t="shared" si="161"/>
        <v>C23</v>
      </c>
      <c r="N1710" s="10" t="str">
        <f t="shared" si="162"/>
        <v>C30</v>
      </c>
      <c r="O1710" s="5">
        <f t="shared" si="163"/>
        <v>2.7110254830678606</v>
      </c>
      <c r="P1710" s="22">
        <f>O1710/Explications!$C$8</f>
        <v>9.0367516102262027E-2</v>
      </c>
      <c r="Q1710" s="7" t="str">
        <f t="shared" si="164"/>
        <v>C30</v>
      </c>
      <c r="R1710" s="7" t="str">
        <f t="shared" si="165"/>
        <v>C23</v>
      </c>
      <c r="S1710" s="18">
        <f t="shared" si="166"/>
        <v>2.7110254830678606</v>
      </c>
      <c r="T1710" s="18">
        <f>S1710/Explications!$C$8</f>
        <v>9.0367516102262027E-2</v>
      </c>
    </row>
    <row r="1711" spans="7:20">
      <c r="G1711" s="7" t="s">
        <v>39</v>
      </c>
      <c r="H1711" s="7" t="s">
        <v>47</v>
      </c>
      <c r="I1711" s="7">
        <v>46.844900000000003</v>
      </c>
      <c r="J1711" s="7">
        <v>-71.251400000000004</v>
      </c>
      <c r="K1711" s="7">
        <v>46.805500000000002</v>
      </c>
      <c r="L1711" s="7">
        <v>-71.217299999999994</v>
      </c>
      <c r="M1711" s="10" t="str">
        <f t="shared" si="161"/>
        <v>C23</v>
      </c>
      <c r="N1711" s="10" t="str">
        <f t="shared" si="162"/>
        <v>C31</v>
      </c>
      <c r="O1711" s="5">
        <f t="shared" si="163"/>
        <v>5.0916444275944057</v>
      </c>
      <c r="P1711" s="22">
        <f>O1711/Explications!$C$8</f>
        <v>0.16972148091981351</v>
      </c>
      <c r="Q1711" s="7" t="str">
        <f t="shared" si="164"/>
        <v>C31</v>
      </c>
      <c r="R1711" s="7" t="str">
        <f t="shared" si="165"/>
        <v>C23</v>
      </c>
      <c r="S1711" s="18">
        <f t="shared" si="166"/>
        <v>5.0916444275944057</v>
      </c>
      <c r="T1711" s="18">
        <f>S1711/Explications!$C$8</f>
        <v>0.16972148091981351</v>
      </c>
    </row>
    <row r="1712" spans="7:20">
      <c r="G1712" s="7" t="s">
        <v>39</v>
      </c>
      <c r="H1712" s="7" t="s">
        <v>48</v>
      </c>
      <c r="I1712" s="7">
        <v>46.844900000000003</v>
      </c>
      <c r="J1712" s="7">
        <v>-71.251400000000004</v>
      </c>
      <c r="K1712" s="7">
        <v>46.792299999999997</v>
      </c>
      <c r="L1712" s="7">
        <v>-71.172899999999998</v>
      </c>
      <c r="M1712" s="10" t="str">
        <f t="shared" si="161"/>
        <v>C23</v>
      </c>
      <c r="N1712" s="10" t="str">
        <f t="shared" si="162"/>
        <v>C32</v>
      </c>
      <c r="O1712" s="5">
        <f t="shared" si="163"/>
        <v>8.3599226669443549</v>
      </c>
      <c r="P1712" s="22">
        <f>O1712/Explications!$C$8</f>
        <v>0.27866408889814515</v>
      </c>
      <c r="Q1712" s="7" t="str">
        <f t="shared" si="164"/>
        <v>C32</v>
      </c>
      <c r="R1712" s="7" t="str">
        <f t="shared" si="165"/>
        <v>C23</v>
      </c>
      <c r="S1712" s="18">
        <f t="shared" si="166"/>
        <v>8.3599226669443549</v>
      </c>
      <c r="T1712" s="18">
        <f>S1712/Explications!$C$8</f>
        <v>0.27866408889814515</v>
      </c>
    </row>
    <row r="1713" spans="7:20">
      <c r="G1713" s="7" t="s">
        <v>39</v>
      </c>
      <c r="H1713" s="7" t="s">
        <v>49</v>
      </c>
      <c r="I1713" s="7">
        <v>46.844900000000003</v>
      </c>
      <c r="J1713" s="7">
        <v>-71.251400000000004</v>
      </c>
      <c r="K1713" s="7">
        <v>46.7883</v>
      </c>
      <c r="L1713" s="7">
        <v>-71.131200000000007</v>
      </c>
      <c r="M1713" s="10" t="str">
        <f t="shared" si="161"/>
        <v>C23</v>
      </c>
      <c r="N1713" s="10" t="str">
        <f t="shared" si="162"/>
        <v>C33</v>
      </c>
      <c r="O1713" s="5">
        <f t="shared" si="163"/>
        <v>11.102688794648362</v>
      </c>
      <c r="P1713" s="22">
        <f>O1713/Explications!$C$8</f>
        <v>0.37008962648827876</v>
      </c>
      <c r="Q1713" s="7" t="str">
        <f t="shared" si="164"/>
        <v>C33</v>
      </c>
      <c r="R1713" s="7" t="str">
        <f t="shared" si="165"/>
        <v>C23</v>
      </c>
      <c r="S1713" s="18">
        <f t="shared" si="166"/>
        <v>11.102688794648362</v>
      </c>
      <c r="T1713" s="18">
        <f>S1713/Explications!$C$8</f>
        <v>0.37008962648827876</v>
      </c>
    </row>
    <row r="1714" spans="7:20">
      <c r="G1714" s="7" t="s">
        <v>39</v>
      </c>
      <c r="H1714" s="7" t="s">
        <v>50</v>
      </c>
      <c r="I1714" s="7">
        <v>46.844900000000003</v>
      </c>
      <c r="J1714" s="7">
        <v>-71.251400000000004</v>
      </c>
      <c r="K1714" s="7">
        <v>46.8611</v>
      </c>
      <c r="L1714" s="7">
        <v>-71.268799999999999</v>
      </c>
      <c r="M1714" s="10" t="str">
        <f t="shared" si="161"/>
        <v>C23</v>
      </c>
      <c r="N1714" s="10" t="str">
        <f t="shared" si="162"/>
        <v>C34</v>
      </c>
      <c r="O1714" s="5">
        <f t="shared" si="163"/>
        <v>2.2350879380289452</v>
      </c>
      <c r="P1714" s="22">
        <f>O1714/Explications!$C$8</f>
        <v>7.4502931267631509E-2</v>
      </c>
      <c r="Q1714" s="7" t="str">
        <f t="shared" si="164"/>
        <v>C34</v>
      </c>
      <c r="R1714" s="7" t="str">
        <f t="shared" si="165"/>
        <v>C23</v>
      </c>
      <c r="S1714" s="18">
        <f t="shared" si="166"/>
        <v>2.2350879380289452</v>
      </c>
      <c r="T1714" s="18">
        <f>S1714/Explications!$C$8</f>
        <v>7.4502931267631509E-2</v>
      </c>
    </row>
    <row r="1715" spans="7:20">
      <c r="G1715" s="7" t="s">
        <v>39</v>
      </c>
      <c r="H1715" s="7" t="s">
        <v>51</v>
      </c>
      <c r="I1715" s="7">
        <v>46.844900000000003</v>
      </c>
      <c r="J1715" s="7">
        <v>-71.251400000000004</v>
      </c>
      <c r="K1715" s="7">
        <v>46.869700000000002</v>
      </c>
      <c r="L1715" s="7">
        <v>-71.205200000000005</v>
      </c>
      <c r="M1715" s="10" t="str">
        <f t="shared" si="161"/>
        <v>C23</v>
      </c>
      <c r="N1715" s="10" t="str">
        <f t="shared" si="162"/>
        <v>C35</v>
      </c>
      <c r="O1715" s="5">
        <f t="shared" si="163"/>
        <v>4.4659935248766889</v>
      </c>
      <c r="P1715" s="22">
        <f>O1715/Explications!$C$8</f>
        <v>0.14886645082922295</v>
      </c>
      <c r="Q1715" s="7" t="str">
        <f t="shared" si="164"/>
        <v>C35</v>
      </c>
      <c r="R1715" s="7" t="str">
        <f t="shared" si="165"/>
        <v>C23</v>
      </c>
      <c r="S1715" s="18">
        <f t="shared" si="166"/>
        <v>4.4659935248766889</v>
      </c>
      <c r="T1715" s="18">
        <f>S1715/Explications!$C$8</f>
        <v>0.14886645082922295</v>
      </c>
    </row>
    <row r="1716" spans="7:20">
      <c r="G1716" s="7" t="s">
        <v>39</v>
      </c>
      <c r="H1716" s="7" t="s">
        <v>52</v>
      </c>
      <c r="I1716" s="7">
        <v>46.844900000000003</v>
      </c>
      <c r="J1716" s="7">
        <v>-71.251400000000004</v>
      </c>
      <c r="K1716" s="7">
        <v>46.774099999999997</v>
      </c>
      <c r="L1716" s="7">
        <v>-71.174000000000007</v>
      </c>
      <c r="M1716" s="10" t="str">
        <f t="shared" si="161"/>
        <v>C23</v>
      </c>
      <c r="N1716" s="10" t="str">
        <f t="shared" si="162"/>
        <v>C36</v>
      </c>
      <c r="O1716" s="5">
        <f t="shared" si="163"/>
        <v>9.8323892398133488</v>
      </c>
      <c r="P1716" s="22">
        <f>O1716/Explications!$C$8</f>
        <v>0.3277463079937783</v>
      </c>
      <c r="Q1716" s="7" t="str">
        <f t="shared" si="164"/>
        <v>C36</v>
      </c>
      <c r="R1716" s="7" t="str">
        <f t="shared" si="165"/>
        <v>C23</v>
      </c>
      <c r="S1716" s="18">
        <f t="shared" si="166"/>
        <v>9.8323892398133488</v>
      </c>
      <c r="T1716" s="18">
        <f>S1716/Explications!$C$8</f>
        <v>0.3277463079937783</v>
      </c>
    </row>
    <row r="1717" spans="7:20">
      <c r="G1717" s="7" t="s">
        <v>39</v>
      </c>
      <c r="H1717" s="7" t="s">
        <v>53</v>
      </c>
      <c r="I1717" s="7">
        <v>46.844900000000003</v>
      </c>
      <c r="J1717" s="7">
        <v>-71.251400000000004</v>
      </c>
      <c r="K1717" s="7">
        <v>46.808500000000002</v>
      </c>
      <c r="L1717" s="7">
        <v>-71.326599999999999</v>
      </c>
      <c r="M1717" s="10" t="str">
        <f t="shared" si="161"/>
        <v>C23</v>
      </c>
      <c r="N1717" s="10" t="str">
        <f t="shared" si="162"/>
        <v>C37</v>
      </c>
      <c r="O1717" s="5">
        <f t="shared" si="163"/>
        <v>7.0081990505029257</v>
      </c>
      <c r="P1717" s="22">
        <f>O1717/Explications!$C$8</f>
        <v>0.23360663501676418</v>
      </c>
      <c r="Q1717" s="7" t="str">
        <f t="shared" si="164"/>
        <v>C37</v>
      </c>
      <c r="R1717" s="7" t="str">
        <f t="shared" si="165"/>
        <v>C23</v>
      </c>
      <c r="S1717" s="18">
        <f t="shared" si="166"/>
        <v>7.0081990505029257</v>
      </c>
      <c r="T1717" s="18">
        <f>S1717/Explications!$C$8</f>
        <v>0.23360663501676418</v>
      </c>
    </row>
    <row r="1718" spans="7:20">
      <c r="G1718" s="7" t="s">
        <v>39</v>
      </c>
      <c r="H1718" s="7" t="s">
        <v>54</v>
      </c>
      <c r="I1718" s="7">
        <v>46.844900000000003</v>
      </c>
      <c r="J1718" s="7">
        <v>-71.251400000000004</v>
      </c>
      <c r="K1718" s="7">
        <v>46.797499999999999</v>
      </c>
      <c r="L1718" s="7">
        <v>-71.306100000000001</v>
      </c>
      <c r="M1718" s="10" t="str">
        <f t="shared" si="161"/>
        <v>C23</v>
      </c>
      <c r="N1718" s="10" t="str">
        <f t="shared" si="162"/>
        <v>C38</v>
      </c>
      <c r="O1718" s="5">
        <f t="shared" si="163"/>
        <v>6.7158074412683719</v>
      </c>
      <c r="P1718" s="22">
        <f>O1718/Explications!$C$8</f>
        <v>0.22386024804227905</v>
      </c>
      <c r="Q1718" s="7" t="str">
        <f t="shared" si="164"/>
        <v>C38</v>
      </c>
      <c r="R1718" s="7" t="str">
        <f t="shared" si="165"/>
        <v>C23</v>
      </c>
      <c r="S1718" s="18">
        <f t="shared" si="166"/>
        <v>6.7158074412683719</v>
      </c>
      <c r="T1718" s="18">
        <f>S1718/Explications!$C$8</f>
        <v>0.22386024804227905</v>
      </c>
    </row>
    <row r="1719" spans="7:20">
      <c r="G1719" s="7" t="s">
        <v>39</v>
      </c>
      <c r="H1719" s="7" t="s">
        <v>55</v>
      </c>
      <c r="I1719" s="7">
        <v>46.844900000000003</v>
      </c>
      <c r="J1719" s="7">
        <v>-71.251400000000004</v>
      </c>
      <c r="K1719" s="7">
        <v>46.8155</v>
      </c>
      <c r="L1719" s="7">
        <v>-71.268199999999993</v>
      </c>
      <c r="M1719" s="10" t="str">
        <f t="shared" si="161"/>
        <v>C23</v>
      </c>
      <c r="N1719" s="10" t="str">
        <f t="shared" si="162"/>
        <v>C39</v>
      </c>
      <c r="O1719" s="5">
        <f t="shared" si="163"/>
        <v>3.5100815007342416</v>
      </c>
      <c r="P1719" s="22">
        <f>O1719/Explications!$C$8</f>
        <v>0.11700271669114139</v>
      </c>
      <c r="Q1719" s="7" t="str">
        <f t="shared" si="164"/>
        <v>C39</v>
      </c>
      <c r="R1719" s="7" t="str">
        <f t="shared" si="165"/>
        <v>C23</v>
      </c>
      <c r="S1719" s="18">
        <f t="shared" si="166"/>
        <v>3.5100815007342416</v>
      </c>
      <c r="T1719" s="18">
        <f>S1719/Explications!$C$8</f>
        <v>0.11700271669114139</v>
      </c>
    </row>
    <row r="1720" spans="7:20">
      <c r="G1720" s="7" t="s">
        <v>39</v>
      </c>
      <c r="H1720" s="7" t="s">
        <v>56</v>
      </c>
      <c r="I1720" s="7">
        <v>46.844900000000003</v>
      </c>
      <c r="J1720" s="7">
        <v>-71.251400000000004</v>
      </c>
      <c r="K1720" s="7">
        <v>46.866700000000002</v>
      </c>
      <c r="L1720" s="7">
        <v>-71.215900000000005</v>
      </c>
      <c r="M1720" s="10" t="str">
        <f t="shared" si="161"/>
        <v>C23</v>
      </c>
      <c r="N1720" s="10" t="str">
        <f t="shared" si="162"/>
        <v>C40</v>
      </c>
      <c r="O1720" s="5">
        <f t="shared" si="163"/>
        <v>3.628047356343207</v>
      </c>
      <c r="P1720" s="22">
        <f>O1720/Explications!$C$8</f>
        <v>0.1209349118781069</v>
      </c>
      <c r="Q1720" s="7" t="str">
        <f t="shared" si="164"/>
        <v>C40</v>
      </c>
      <c r="R1720" s="7" t="str">
        <f t="shared" si="165"/>
        <v>C23</v>
      </c>
      <c r="S1720" s="18">
        <f t="shared" si="166"/>
        <v>3.628047356343207</v>
      </c>
      <c r="T1720" s="18">
        <f>S1720/Explications!$C$8</f>
        <v>0.1209349118781069</v>
      </c>
    </row>
    <row r="1721" spans="7:20">
      <c r="G1721" s="7" t="s">
        <v>39</v>
      </c>
      <c r="H1721" s="7" t="s">
        <v>57</v>
      </c>
      <c r="I1721" s="7">
        <v>46.844900000000003</v>
      </c>
      <c r="J1721" s="7">
        <v>-71.251400000000004</v>
      </c>
      <c r="K1721" s="7">
        <v>46.762099999999997</v>
      </c>
      <c r="L1721" s="7">
        <v>-71.235399999999998</v>
      </c>
      <c r="M1721" s="10" t="str">
        <f t="shared" si="161"/>
        <v>C23</v>
      </c>
      <c r="N1721" s="10" t="str">
        <f t="shared" si="162"/>
        <v>C41</v>
      </c>
      <c r="O1721" s="5">
        <f t="shared" si="163"/>
        <v>9.2871312204329453</v>
      </c>
      <c r="P1721" s="22">
        <f>O1721/Explications!$C$8</f>
        <v>0.3095710406810982</v>
      </c>
      <c r="Q1721" s="7" t="str">
        <f t="shared" si="164"/>
        <v>C41</v>
      </c>
      <c r="R1721" s="7" t="str">
        <f t="shared" si="165"/>
        <v>C23</v>
      </c>
      <c r="S1721" s="18">
        <f t="shared" si="166"/>
        <v>9.2871312204329453</v>
      </c>
      <c r="T1721" s="18">
        <f>S1721/Explications!$C$8</f>
        <v>0.3095710406810982</v>
      </c>
    </row>
    <row r="1722" spans="7:20">
      <c r="G1722" s="7" t="s">
        <v>39</v>
      </c>
      <c r="H1722" s="7" t="s">
        <v>58</v>
      </c>
      <c r="I1722" s="7">
        <v>46.844900000000003</v>
      </c>
      <c r="J1722" s="7">
        <v>-71.251400000000004</v>
      </c>
      <c r="K1722" s="7">
        <v>46.8157</v>
      </c>
      <c r="L1722" s="7">
        <v>-71.2042</v>
      </c>
      <c r="M1722" s="10" t="str">
        <f t="shared" si="161"/>
        <v>C23</v>
      </c>
      <c r="N1722" s="10" t="str">
        <f t="shared" si="162"/>
        <v>C42</v>
      </c>
      <c r="O1722" s="5">
        <f t="shared" si="163"/>
        <v>4.8410553249607799</v>
      </c>
      <c r="P1722" s="22">
        <f>O1722/Explications!$C$8</f>
        <v>0.161368510832026</v>
      </c>
      <c r="Q1722" s="7" t="str">
        <f t="shared" si="164"/>
        <v>C42</v>
      </c>
      <c r="R1722" s="7" t="str">
        <f t="shared" si="165"/>
        <v>C23</v>
      </c>
      <c r="S1722" s="18">
        <f t="shared" si="166"/>
        <v>4.8410553249607799</v>
      </c>
      <c r="T1722" s="18">
        <f>S1722/Explications!$C$8</f>
        <v>0.161368510832026</v>
      </c>
    </row>
    <row r="1723" spans="7:20">
      <c r="G1723" s="7" t="s">
        <v>39</v>
      </c>
      <c r="H1723" s="7" t="s">
        <v>59</v>
      </c>
      <c r="I1723" s="7">
        <v>46.844900000000003</v>
      </c>
      <c r="J1723" s="7">
        <v>-71.251400000000004</v>
      </c>
      <c r="K1723" s="7">
        <v>46.707000000000001</v>
      </c>
      <c r="L1723" s="7">
        <v>-71.217100000000002</v>
      </c>
      <c r="M1723" s="10" t="str">
        <f t="shared" si="161"/>
        <v>C23</v>
      </c>
      <c r="N1723" s="10" t="str">
        <f t="shared" si="162"/>
        <v>C43</v>
      </c>
      <c r="O1723" s="5">
        <f t="shared" si="163"/>
        <v>15.554660203769286</v>
      </c>
      <c r="P1723" s="22">
        <f>O1723/Explications!$C$8</f>
        <v>0.5184886734589762</v>
      </c>
      <c r="Q1723" s="7" t="str">
        <f t="shared" si="164"/>
        <v>C43</v>
      </c>
      <c r="R1723" s="7" t="str">
        <f t="shared" si="165"/>
        <v>C23</v>
      </c>
      <c r="S1723" s="18">
        <f t="shared" si="166"/>
        <v>15.554660203769286</v>
      </c>
      <c r="T1723" s="18">
        <f>S1723/Explications!$C$8</f>
        <v>0.5184886734589762</v>
      </c>
    </row>
    <row r="1724" spans="7:20">
      <c r="G1724" s="7" t="s">
        <v>39</v>
      </c>
      <c r="H1724" s="7" t="s">
        <v>60</v>
      </c>
      <c r="I1724" s="7">
        <v>46.844900000000003</v>
      </c>
      <c r="J1724" s="7">
        <v>-71.251400000000004</v>
      </c>
      <c r="K1724" s="7">
        <v>46.802900000000001</v>
      </c>
      <c r="L1724" s="7">
        <v>-71.228899999999996</v>
      </c>
      <c r="M1724" s="10" t="str">
        <f t="shared" si="161"/>
        <v>C23</v>
      </c>
      <c r="N1724" s="10" t="str">
        <f t="shared" si="162"/>
        <v>C44</v>
      </c>
      <c r="O1724" s="5">
        <f t="shared" si="163"/>
        <v>4.9740566293593247</v>
      </c>
      <c r="P1724" s="22">
        <f>O1724/Explications!$C$8</f>
        <v>0.16580188764531081</v>
      </c>
      <c r="Q1724" s="7" t="str">
        <f t="shared" si="164"/>
        <v>C44</v>
      </c>
      <c r="R1724" s="7" t="str">
        <f t="shared" si="165"/>
        <v>C23</v>
      </c>
      <c r="S1724" s="18">
        <f t="shared" si="166"/>
        <v>4.9740566293593247</v>
      </c>
      <c r="T1724" s="18">
        <f>S1724/Explications!$C$8</f>
        <v>0.16580188764531081</v>
      </c>
    </row>
    <row r="1725" spans="7:20">
      <c r="G1725" s="7" t="s">
        <v>39</v>
      </c>
      <c r="H1725" s="7" t="s">
        <v>61</v>
      </c>
      <c r="I1725" s="7">
        <v>46.844900000000003</v>
      </c>
      <c r="J1725" s="7">
        <v>-71.251400000000004</v>
      </c>
      <c r="K1725" s="7">
        <v>46.796900000000001</v>
      </c>
      <c r="L1725" s="7">
        <v>-71.3078</v>
      </c>
      <c r="M1725" s="10" t="str">
        <f t="shared" si="161"/>
        <v>C23</v>
      </c>
      <c r="N1725" s="10" t="str">
        <f t="shared" si="162"/>
        <v>C45</v>
      </c>
      <c r="O1725" s="5">
        <f t="shared" si="163"/>
        <v>6.848609608347731</v>
      </c>
      <c r="P1725" s="22">
        <f>O1725/Explications!$C$8</f>
        <v>0.22828698694492436</v>
      </c>
      <c r="Q1725" s="7" t="str">
        <f t="shared" si="164"/>
        <v>C45</v>
      </c>
      <c r="R1725" s="7" t="str">
        <f t="shared" si="165"/>
        <v>C23</v>
      </c>
      <c r="S1725" s="18">
        <f t="shared" si="166"/>
        <v>6.848609608347731</v>
      </c>
      <c r="T1725" s="18">
        <f>S1725/Explications!$C$8</f>
        <v>0.22828698694492436</v>
      </c>
    </row>
    <row r="1726" spans="7:20">
      <c r="G1726" s="7" t="s">
        <v>39</v>
      </c>
      <c r="H1726" s="7" t="s">
        <v>62</v>
      </c>
      <c r="I1726" s="7">
        <v>46.844900000000003</v>
      </c>
      <c r="J1726" s="7">
        <v>-71.251400000000004</v>
      </c>
      <c r="K1726" s="7">
        <v>46.803600000000003</v>
      </c>
      <c r="L1726" s="7">
        <v>-71.231099999999998</v>
      </c>
      <c r="M1726" s="10" t="str">
        <f t="shared" si="161"/>
        <v>C23</v>
      </c>
      <c r="N1726" s="10" t="str">
        <f t="shared" si="162"/>
        <v>C46</v>
      </c>
      <c r="O1726" s="5">
        <f t="shared" si="163"/>
        <v>4.8451180972209578</v>
      </c>
      <c r="P1726" s="22">
        <f>O1726/Explications!$C$8</f>
        <v>0.16150393657403192</v>
      </c>
      <c r="Q1726" s="7" t="str">
        <f t="shared" si="164"/>
        <v>C46</v>
      </c>
      <c r="R1726" s="7" t="str">
        <f t="shared" si="165"/>
        <v>C23</v>
      </c>
      <c r="S1726" s="18">
        <f t="shared" si="166"/>
        <v>4.8451180972209578</v>
      </c>
      <c r="T1726" s="18">
        <f>S1726/Explications!$C$8</f>
        <v>0.16150393657403192</v>
      </c>
    </row>
    <row r="1727" spans="7:20">
      <c r="G1727" s="7" t="s">
        <v>39</v>
      </c>
      <c r="H1727" s="7" t="s">
        <v>63</v>
      </c>
      <c r="I1727" s="7">
        <v>46.844900000000003</v>
      </c>
      <c r="J1727" s="7">
        <v>-71.251400000000004</v>
      </c>
      <c r="K1727" s="7">
        <v>46.802399999999999</v>
      </c>
      <c r="L1727" s="7">
        <v>-71.269800000000004</v>
      </c>
      <c r="M1727" s="10" t="str">
        <f t="shared" si="161"/>
        <v>C23</v>
      </c>
      <c r="N1727" s="10" t="str">
        <f t="shared" si="162"/>
        <v>C47</v>
      </c>
      <c r="O1727" s="5">
        <f t="shared" si="163"/>
        <v>4.9287849824844052</v>
      </c>
      <c r="P1727" s="22">
        <f>O1727/Explications!$C$8</f>
        <v>0.16429283274948017</v>
      </c>
      <c r="Q1727" s="7" t="str">
        <f t="shared" si="164"/>
        <v>C47</v>
      </c>
      <c r="R1727" s="7" t="str">
        <f t="shared" si="165"/>
        <v>C23</v>
      </c>
      <c r="S1727" s="18">
        <f t="shared" si="166"/>
        <v>4.9287849824844052</v>
      </c>
      <c r="T1727" s="18">
        <f>S1727/Explications!$C$8</f>
        <v>0.16429283274948017</v>
      </c>
    </row>
    <row r="1728" spans="7:20">
      <c r="G1728" s="7" t="s">
        <v>39</v>
      </c>
      <c r="H1728" s="7" t="s">
        <v>64</v>
      </c>
      <c r="I1728" s="7">
        <v>46.844900000000003</v>
      </c>
      <c r="J1728" s="7">
        <v>-71.251400000000004</v>
      </c>
      <c r="K1728" s="7">
        <v>46.826799999999999</v>
      </c>
      <c r="L1728" s="7">
        <v>-71.224199999999996</v>
      </c>
      <c r="M1728" s="10" t="str">
        <f t="shared" si="161"/>
        <v>C23</v>
      </c>
      <c r="N1728" s="10" t="str">
        <f t="shared" si="162"/>
        <v>C48</v>
      </c>
      <c r="O1728" s="5">
        <f t="shared" si="163"/>
        <v>2.8864466619547127</v>
      </c>
      <c r="P1728" s="22">
        <f>O1728/Explications!$C$8</f>
        <v>9.6214888731823753E-2</v>
      </c>
      <c r="Q1728" s="7" t="str">
        <f t="shared" si="164"/>
        <v>C48</v>
      </c>
      <c r="R1728" s="7" t="str">
        <f t="shared" si="165"/>
        <v>C23</v>
      </c>
      <c r="S1728" s="18">
        <f t="shared" si="166"/>
        <v>2.8864466619547127</v>
      </c>
      <c r="T1728" s="18">
        <f>S1728/Explications!$C$8</f>
        <v>9.6214888731823753E-2</v>
      </c>
    </row>
    <row r="1729" spans="7:20">
      <c r="G1729" s="7" t="s">
        <v>39</v>
      </c>
      <c r="H1729" s="7" t="s">
        <v>65</v>
      </c>
      <c r="I1729" s="7">
        <v>46.844900000000003</v>
      </c>
      <c r="J1729" s="7">
        <v>-71.251400000000004</v>
      </c>
      <c r="K1729" s="7">
        <v>46.864100000000001</v>
      </c>
      <c r="L1729" s="7">
        <v>-71.255499999999998</v>
      </c>
      <c r="M1729" s="10" t="str">
        <f t="shared" si="161"/>
        <v>C23</v>
      </c>
      <c r="N1729" s="10" t="str">
        <f t="shared" si="162"/>
        <v>C49</v>
      </c>
      <c r="O1729" s="5">
        <f t="shared" si="163"/>
        <v>2.157586450545292</v>
      </c>
      <c r="P1729" s="22">
        <f>O1729/Explications!$C$8</f>
        <v>7.1919548351509738E-2</v>
      </c>
      <c r="Q1729" s="7" t="str">
        <f t="shared" si="164"/>
        <v>C49</v>
      </c>
      <c r="R1729" s="7" t="str">
        <f t="shared" si="165"/>
        <v>C23</v>
      </c>
      <c r="S1729" s="18">
        <f t="shared" si="166"/>
        <v>2.157586450545292</v>
      </c>
      <c r="T1729" s="18">
        <f>S1729/Explications!$C$8</f>
        <v>7.1919548351509738E-2</v>
      </c>
    </row>
    <row r="1730" spans="7:20">
      <c r="G1730" s="7" t="s">
        <v>39</v>
      </c>
      <c r="H1730" s="7" t="s">
        <v>66</v>
      </c>
      <c r="I1730" s="7">
        <v>46.844900000000003</v>
      </c>
      <c r="J1730" s="7">
        <v>-71.251400000000004</v>
      </c>
      <c r="K1730" s="7">
        <v>46.843800000000002</v>
      </c>
      <c r="L1730" s="7">
        <v>-71.247299999999996</v>
      </c>
      <c r="M1730" s="10" t="str">
        <f t="shared" si="161"/>
        <v>C23</v>
      </c>
      <c r="N1730" s="10" t="str">
        <f t="shared" si="162"/>
        <v>C50</v>
      </c>
      <c r="O1730" s="5">
        <f t="shared" si="163"/>
        <v>0.33495818186097526</v>
      </c>
      <c r="P1730" s="22">
        <f>O1730/Explications!$C$8</f>
        <v>1.1165272728699176E-2</v>
      </c>
      <c r="Q1730" s="7" t="str">
        <f t="shared" si="164"/>
        <v>C50</v>
      </c>
      <c r="R1730" s="7" t="str">
        <f t="shared" si="165"/>
        <v>C23</v>
      </c>
      <c r="S1730" s="18">
        <f t="shared" si="166"/>
        <v>0.33495818186097526</v>
      </c>
      <c r="T1730" s="18">
        <f>S1730/Explications!$C$8</f>
        <v>1.1165272728699176E-2</v>
      </c>
    </row>
    <row r="1731" spans="7:20">
      <c r="G1731" s="7" t="s">
        <v>39</v>
      </c>
      <c r="H1731" s="7" t="s">
        <v>67</v>
      </c>
      <c r="I1731" s="7">
        <v>46.844900000000003</v>
      </c>
      <c r="J1731" s="7">
        <v>-71.251400000000004</v>
      </c>
      <c r="K1731" s="7">
        <v>46.765599999999999</v>
      </c>
      <c r="L1731" s="7">
        <v>-71.312100000000001</v>
      </c>
      <c r="M1731" s="10" t="str">
        <f t="shared" si="161"/>
        <v>C23</v>
      </c>
      <c r="N1731" s="10" t="str">
        <f t="shared" si="162"/>
        <v>C51</v>
      </c>
      <c r="O1731" s="5">
        <f t="shared" si="163"/>
        <v>9.9547230843913503</v>
      </c>
      <c r="P1731" s="22">
        <f>O1731/Explications!$C$8</f>
        <v>0.33182410281304503</v>
      </c>
      <c r="Q1731" s="7" t="str">
        <f t="shared" si="164"/>
        <v>C51</v>
      </c>
      <c r="R1731" s="7" t="str">
        <f t="shared" si="165"/>
        <v>C23</v>
      </c>
      <c r="S1731" s="18">
        <f t="shared" si="166"/>
        <v>9.9547230843913503</v>
      </c>
      <c r="T1731" s="18">
        <f>S1731/Explications!$C$8</f>
        <v>0.33182410281304503</v>
      </c>
    </row>
    <row r="1732" spans="7:20">
      <c r="G1732" s="7" t="s">
        <v>39</v>
      </c>
      <c r="H1732" s="7" t="s">
        <v>68</v>
      </c>
      <c r="I1732" s="7">
        <v>46.844900000000003</v>
      </c>
      <c r="J1732" s="7">
        <v>-71.251400000000004</v>
      </c>
      <c r="K1732" s="7">
        <v>46.787599999999998</v>
      </c>
      <c r="L1732" s="7">
        <v>-71.288600000000002</v>
      </c>
      <c r="M1732" s="10" t="str">
        <f t="shared" ref="M1732:M1795" si="167">G1732</f>
        <v>C23</v>
      </c>
      <c r="N1732" s="10" t="str">
        <f t="shared" ref="N1732:N1795" si="168">H1732</f>
        <v>C52</v>
      </c>
      <c r="O1732" s="5">
        <f t="shared" ref="O1732:O1795" si="169">ACOS(SIN(RADIANS(I1732))*SIN(RADIANS(K1732))+COS(RADIANS(I1732))*COS(RADIANS(K1732))*COS(RADIANS(J1732-L1732)))*6371</f>
        <v>6.9719946436114792</v>
      </c>
      <c r="P1732" s="22">
        <f>O1732/Explications!$C$8</f>
        <v>0.23239982145371599</v>
      </c>
      <c r="Q1732" s="7" t="str">
        <f t="shared" ref="Q1732:Q1795" si="170">N1732</f>
        <v>C52</v>
      </c>
      <c r="R1732" s="7" t="str">
        <f t="shared" ref="R1732:R1795" si="171">M1732</f>
        <v>C23</v>
      </c>
      <c r="S1732" s="18">
        <f t="shared" ref="S1732:S1795" si="172">O1732</f>
        <v>6.9719946436114792</v>
      </c>
      <c r="T1732" s="18">
        <f>S1732/Explications!$C$8</f>
        <v>0.23239982145371599</v>
      </c>
    </row>
    <row r="1733" spans="7:20">
      <c r="G1733" s="7" t="s">
        <v>39</v>
      </c>
      <c r="H1733" s="7" t="s">
        <v>69</v>
      </c>
      <c r="I1733" s="7">
        <v>46.844900000000003</v>
      </c>
      <c r="J1733" s="7">
        <v>-71.251400000000004</v>
      </c>
      <c r="K1733" s="7">
        <v>46.764600000000002</v>
      </c>
      <c r="L1733" s="7">
        <v>-71.308300000000003</v>
      </c>
      <c r="M1733" s="10" t="str">
        <f t="shared" si="167"/>
        <v>C23</v>
      </c>
      <c r="N1733" s="10" t="str">
        <f t="shared" si="168"/>
        <v>C53</v>
      </c>
      <c r="O1733" s="5">
        <f t="shared" si="169"/>
        <v>9.9237845555925048</v>
      </c>
      <c r="P1733" s="22">
        <f>O1733/Explications!$C$8</f>
        <v>0.33079281851975018</v>
      </c>
      <c r="Q1733" s="7" t="str">
        <f t="shared" si="170"/>
        <v>C53</v>
      </c>
      <c r="R1733" s="7" t="str">
        <f t="shared" si="171"/>
        <v>C23</v>
      </c>
      <c r="S1733" s="18">
        <f t="shared" si="172"/>
        <v>9.9237845555925048</v>
      </c>
      <c r="T1733" s="18">
        <f>S1733/Explications!$C$8</f>
        <v>0.33079281851975018</v>
      </c>
    </row>
    <row r="1734" spans="7:20">
      <c r="G1734" s="7" t="s">
        <v>39</v>
      </c>
      <c r="H1734" s="7" t="s">
        <v>70</v>
      </c>
      <c r="I1734" s="7">
        <v>46.844900000000003</v>
      </c>
      <c r="J1734" s="7">
        <v>-71.251400000000004</v>
      </c>
      <c r="K1734" s="7">
        <v>46.849699999999999</v>
      </c>
      <c r="L1734" s="7">
        <v>-71.097399999999993</v>
      </c>
      <c r="M1734" s="10" t="str">
        <f t="shared" si="167"/>
        <v>C23</v>
      </c>
      <c r="N1734" s="10" t="str">
        <f t="shared" si="168"/>
        <v>C54</v>
      </c>
      <c r="O1734" s="5">
        <f t="shared" si="169"/>
        <v>11.724041869529815</v>
      </c>
      <c r="P1734" s="22">
        <f>O1734/Explications!$C$8</f>
        <v>0.39080139565099381</v>
      </c>
      <c r="Q1734" s="7" t="str">
        <f t="shared" si="170"/>
        <v>C54</v>
      </c>
      <c r="R1734" s="7" t="str">
        <f t="shared" si="171"/>
        <v>C23</v>
      </c>
      <c r="S1734" s="18">
        <f t="shared" si="172"/>
        <v>11.724041869529815</v>
      </c>
      <c r="T1734" s="18">
        <f>S1734/Explications!$C$8</f>
        <v>0.39080139565099381</v>
      </c>
    </row>
    <row r="1735" spans="7:20">
      <c r="G1735" s="7" t="s">
        <v>39</v>
      </c>
      <c r="H1735" s="7" t="s">
        <v>71</v>
      </c>
      <c r="I1735" s="7">
        <v>46.844900000000003</v>
      </c>
      <c r="J1735" s="7">
        <v>-71.251400000000004</v>
      </c>
      <c r="K1735" s="7">
        <v>46.788899999999998</v>
      </c>
      <c r="L1735" s="7">
        <v>-71.321399999999997</v>
      </c>
      <c r="M1735" s="10" t="str">
        <f t="shared" si="167"/>
        <v>C23</v>
      </c>
      <c r="N1735" s="10" t="str">
        <f t="shared" si="168"/>
        <v>C55</v>
      </c>
      <c r="O1735" s="5">
        <f t="shared" si="169"/>
        <v>8.1943341979882121</v>
      </c>
      <c r="P1735" s="22">
        <f>O1735/Explications!$C$8</f>
        <v>0.27314447326627372</v>
      </c>
      <c r="Q1735" s="7" t="str">
        <f t="shared" si="170"/>
        <v>C55</v>
      </c>
      <c r="R1735" s="7" t="str">
        <f t="shared" si="171"/>
        <v>C23</v>
      </c>
      <c r="S1735" s="18">
        <f t="shared" si="172"/>
        <v>8.1943341979882121</v>
      </c>
      <c r="T1735" s="18">
        <f>S1735/Explications!$C$8</f>
        <v>0.27314447326627372</v>
      </c>
    </row>
    <row r="1736" spans="7:20">
      <c r="G1736" s="7" t="s">
        <v>39</v>
      </c>
      <c r="H1736" s="7" t="s">
        <v>72</v>
      </c>
      <c r="I1736" s="7">
        <v>46.844900000000003</v>
      </c>
      <c r="J1736" s="7">
        <v>-71.251400000000004</v>
      </c>
      <c r="K1736" s="7">
        <v>46.795400000000001</v>
      </c>
      <c r="L1736" s="7">
        <v>-71.232600000000005</v>
      </c>
      <c r="M1736" s="10" t="str">
        <f t="shared" si="167"/>
        <v>C23</v>
      </c>
      <c r="N1736" s="10" t="str">
        <f t="shared" si="168"/>
        <v>C56</v>
      </c>
      <c r="O1736" s="5">
        <f t="shared" si="169"/>
        <v>5.6869977092035953</v>
      </c>
      <c r="P1736" s="22">
        <f>O1736/Explications!$C$8</f>
        <v>0.18956659030678652</v>
      </c>
      <c r="Q1736" s="7" t="str">
        <f t="shared" si="170"/>
        <v>C56</v>
      </c>
      <c r="R1736" s="7" t="str">
        <f t="shared" si="171"/>
        <v>C23</v>
      </c>
      <c r="S1736" s="18">
        <f t="shared" si="172"/>
        <v>5.6869977092035953</v>
      </c>
      <c r="T1736" s="18">
        <f>S1736/Explications!$C$8</f>
        <v>0.18956659030678652</v>
      </c>
    </row>
    <row r="1737" spans="7:20">
      <c r="G1737" s="7" t="s">
        <v>39</v>
      </c>
      <c r="H1737" s="7" t="s">
        <v>73</v>
      </c>
      <c r="I1737" s="7">
        <v>46.844900000000003</v>
      </c>
      <c r="J1737" s="7">
        <v>-71.251400000000004</v>
      </c>
      <c r="K1737" s="7">
        <v>46.801200000000001</v>
      </c>
      <c r="L1737" s="7">
        <v>-71.224999999999994</v>
      </c>
      <c r="M1737" s="10" t="str">
        <f t="shared" si="167"/>
        <v>C23</v>
      </c>
      <c r="N1737" s="10" t="str">
        <f t="shared" si="168"/>
        <v>C57</v>
      </c>
      <c r="O1737" s="5">
        <f t="shared" si="169"/>
        <v>5.2580139360044971</v>
      </c>
      <c r="P1737" s="22">
        <f>O1737/Explications!$C$8</f>
        <v>0.17526713120014989</v>
      </c>
      <c r="Q1737" s="7" t="str">
        <f t="shared" si="170"/>
        <v>C57</v>
      </c>
      <c r="R1737" s="7" t="str">
        <f t="shared" si="171"/>
        <v>C23</v>
      </c>
      <c r="S1737" s="18">
        <f t="shared" si="172"/>
        <v>5.2580139360044971</v>
      </c>
      <c r="T1737" s="18">
        <f>S1737/Explications!$C$8</f>
        <v>0.17526713120014989</v>
      </c>
    </row>
    <row r="1738" spans="7:20">
      <c r="G1738" s="7" t="s">
        <v>39</v>
      </c>
      <c r="H1738" s="7" t="s">
        <v>74</v>
      </c>
      <c r="I1738" s="7">
        <v>46.844900000000003</v>
      </c>
      <c r="J1738" s="7">
        <v>-71.251400000000004</v>
      </c>
      <c r="K1738" s="7">
        <v>46.773200000000003</v>
      </c>
      <c r="L1738" s="7">
        <v>-71.275899999999993</v>
      </c>
      <c r="M1738" s="10" t="str">
        <f t="shared" si="167"/>
        <v>C23</v>
      </c>
      <c r="N1738" s="10" t="str">
        <f t="shared" si="168"/>
        <v>C58</v>
      </c>
      <c r="O1738" s="5">
        <f t="shared" si="169"/>
        <v>8.187809719884374</v>
      </c>
      <c r="P1738" s="22">
        <f>O1738/Explications!$C$8</f>
        <v>0.27292699066281245</v>
      </c>
      <c r="Q1738" s="7" t="str">
        <f t="shared" si="170"/>
        <v>C58</v>
      </c>
      <c r="R1738" s="7" t="str">
        <f t="shared" si="171"/>
        <v>C23</v>
      </c>
      <c r="S1738" s="18">
        <f t="shared" si="172"/>
        <v>8.187809719884374</v>
      </c>
      <c r="T1738" s="18">
        <f>S1738/Explications!$C$8</f>
        <v>0.27292699066281245</v>
      </c>
    </row>
    <row r="1739" spans="7:20">
      <c r="G1739" s="7" t="s">
        <v>39</v>
      </c>
      <c r="H1739" s="7" t="s">
        <v>75</v>
      </c>
      <c r="I1739" s="7">
        <v>46.844900000000003</v>
      </c>
      <c r="J1739" s="7">
        <v>-71.251400000000004</v>
      </c>
      <c r="K1739" s="7">
        <v>46.814399999999999</v>
      </c>
      <c r="L1739" s="7">
        <v>-71.225700000000003</v>
      </c>
      <c r="M1739" s="10" t="str">
        <f t="shared" si="167"/>
        <v>C23</v>
      </c>
      <c r="N1739" s="10" t="str">
        <f t="shared" si="168"/>
        <v>C59</v>
      </c>
      <c r="O1739" s="5">
        <f t="shared" si="169"/>
        <v>3.9146577788643349</v>
      </c>
      <c r="P1739" s="22">
        <f>O1739/Explications!$C$8</f>
        <v>0.13048859262881116</v>
      </c>
      <c r="Q1739" s="7" t="str">
        <f t="shared" si="170"/>
        <v>C59</v>
      </c>
      <c r="R1739" s="7" t="str">
        <f t="shared" si="171"/>
        <v>C23</v>
      </c>
      <c r="S1739" s="18">
        <f t="shared" si="172"/>
        <v>3.9146577788643349</v>
      </c>
      <c r="T1739" s="18">
        <f>S1739/Explications!$C$8</f>
        <v>0.13048859262881116</v>
      </c>
    </row>
    <row r="1740" spans="7:20">
      <c r="G1740" s="7" t="s">
        <v>39</v>
      </c>
      <c r="H1740" s="7" t="s">
        <v>76</v>
      </c>
      <c r="I1740" s="7">
        <v>46.844900000000003</v>
      </c>
      <c r="J1740" s="7">
        <v>-71.251400000000004</v>
      </c>
      <c r="K1740" s="7">
        <v>46.772500000000001</v>
      </c>
      <c r="L1740" s="7">
        <v>-71.276300000000006</v>
      </c>
      <c r="M1740" s="10" t="str">
        <f t="shared" si="167"/>
        <v>C23</v>
      </c>
      <c r="N1740" s="10" t="str">
        <f t="shared" si="168"/>
        <v>C60</v>
      </c>
      <c r="O1740" s="5">
        <f t="shared" si="169"/>
        <v>8.2705449146962362</v>
      </c>
      <c r="P1740" s="22">
        <f>O1740/Explications!$C$8</f>
        <v>0.27568483048987452</v>
      </c>
      <c r="Q1740" s="7" t="str">
        <f t="shared" si="170"/>
        <v>C60</v>
      </c>
      <c r="R1740" s="7" t="str">
        <f t="shared" si="171"/>
        <v>C23</v>
      </c>
      <c r="S1740" s="18">
        <f t="shared" si="172"/>
        <v>8.2705449146962362</v>
      </c>
      <c r="T1740" s="18">
        <f>S1740/Explications!$C$8</f>
        <v>0.27568483048987452</v>
      </c>
    </row>
    <row r="1741" spans="7:20">
      <c r="G1741" s="7" t="s">
        <v>39</v>
      </c>
      <c r="H1741" s="7" t="s">
        <v>77</v>
      </c>
      <c r="I1741" s="7">
        <v>46.844900000000003</v>
      </c>
      <c r="J1741" s="7">
        <v>-71.251400000000004</v>
      </c>
      <c r="K1741" s="7">
        <v>46.810899999999997</v>
      </c>
      <c r="L1741" s="7">
        <v>-71.215599999999995</v>
      </c>
      <c r="M1741" s="10" t="str">
        <f t="shared" si="167"/>
        <v>C23</v>
      </c>
      <c r="N1741" s="10" t="str">
        <f t="shared" si="168"/>
        <v>C61</v>
      </c>
      <c r="O1741" s="5">
        <f t="shared" si="169"/>
        <v>4.6595313580201445</v>
      </c>
      <c r="P1741" s="22">
        <f>O1741/Explications!$C$8</f>
        <v>0.15531771193400482</v>
      </c>
      <c r="Q1741" s="7" t="str">
        <f t="shared" si="170"/>
        <v>C61</v>
      </c>
      <c r="R1741" s="7" t="str">
        <f t="shared" si="171"/>
        <v>C23</v>
      </c>
      <c r="S1741" s="18">
        <f t="shared" si="172"/>
        <v>4.6595313580201445</v>
      </c>
      <c r="T1741" s="18">
        <f>S1741/Explications!$C$8</f>
        <v>0.15531771193400482</v>
      </c>
    </row>
    <row r="1742" spans="7:20">
      <c r="G1742" s="7" t="s">
        <v>39</v>
      </c>
      <c r="H1742" s="7" t="s">
        <v>78</v>
      </c>
      <c r="I1742" s="7">
        <v>46.844900000000003</v>
      </c>
      <c r="J1742" s="7">
        <v>-71.251400000000004</v>
      </c>
      <c r="K1742" s="7">
        <v>46.795200000000001</v>
      </c>
      <c r="L1742" s="7">
        <v>-71.245099999999994</v>
      </c>
      <c r="M1742" s="10" t="str">
        <f t="shared" si="167"/>
        <v>C23</v>
      </c>
      <c r="N1742" s="10" t="str">
        <f t="shared" si="168"/>
        <v>C62</v>
      </c>
      <c r="O1742" s="5">
        <f t="shared" si="169"/>
        <v>5.5471392758170239</v>
      </c>
      <c r="P1742" s="22">
        <f>O1742/Explications!$C$8</f>
        <v>0.18490464252723413</v>
      </c>
      <c r="Q1742" s="7" t="str">
        <f t="shared" si="170"/>
        <v>C62</v>
      </c>
      <c r="R1742" s="7" t="str">
        <f t="shared" si="171"/>
        <v>C23</v>
      </c>
      <c r="S1742" s="18">
        <f t="shared" si="172"/>
        <v>5.5471392758170239</v>
      </c>
      <c r="T1742" s="18">
        <f>S1742/Explications!$C$8</f>
        <v>0.18490464252723413</v>
      </c>
    </row>
    <row r="1743" spans="7:20">
      <c r="G1743" s="7" t="s">
        <v>39</v>
      </c>
      <c r="H1743" s="7" t="s">
        <v>79</v>
      </c>
      <c r="I1743" s="7">
        <v>46.844900000000003</v>
      </c>
      <c r="J1743" s="7">
        <v>-71.251400000000004</v>
      </c>
      <c r="K1743" s="7">
        <v>46.822000000000003</v>
      </c>
      <c r="L1743" s="7">
        <v>-71.345699999999994</v>
      </c>
      <c r="M1743" s="10" t="str">
        <f t="shared" si="167"/>
        <v>C23</v>
      </c>
      <c r="N1743" s="10" t="str">
        <f t="shared" si="168"/>
        <v>C63</v>
      </c>
      <c r="O1743" s="5">
        <f t="shared" si="169"/>
        <v>7.6120144545334236</v>
      </c>
      <c r="P1743" s="22">
        <f>O1743/Explications!$C$8</f>
        <v>0.25373381515111409</v>
      </c>
      <c r="Q1743" s="7" t="str">
        <f t="shared" si="170"/>
        <v>C63</v>
      </c>
      <c r="R1743" s="7" t="str">
        <f t="shared" si="171"/>
        <v>C23</v>
      </c>
      <c r="S1743" s="18">
        <f t="shared" si="172"/>
        <v>7.6120144545334236</v>
      </c>
      <c r="T1743" s="18">
        <f>S1743/Explications!$C$8</f>
        <v>0.25373381515111409</v>
      </c>
    </row>
    <row r="1744" spans="7:20">
      <c r="G1744" s="7" t="s">
        <v>39</v>
      </c>
      <c r="H1744" s="7" t="s">
        <v>80</v>
      </c>
      <c r="I1744" s="7">
        <v>46.844900000000003</v>
      </c>
      <c r="J1744" s="7">
        <v>-71.251400000000004</v>
      </c>
      <c r="K1744" s="7">
        <v>46.779400000000003</v>
      </c>
      <c r="L1744" s="7">
        <v>-71.350399999999993</v>
      </c>
      <c r="M1744" s="10" t="str">
        <f t="shared" si="167"/>
        <v>C23</v>
      </c>
      <c r="N1744" s="10" t="str">
        <f t="shared" si="168"/>
        <v>C64</v>
      </c>
      <c r="O1744" s="5">
        <f t="shared" si="169"/>
        <v>10.478886232912634</v>
      </c>
      <c r="P1744" s="22">
        <f>O1744/Explications!$C$8</f>
        <v>0.34929620776375447</v>
      </c>
      <c r="Q1744" s="7" t="str">
        <f t="shared" si="170"/>
        <v>C64</v>
      </c>
      <c r="R1744" s="7" t="str">
        <f t="shared" si="171"/>
        <v>C23</v>
      </c>
      <c r="S1744" s="18">
        <f t="shared" si="172"/>
        <v>10.478886232912634</v>
      </c>
      <c r="T1744" s="18">
        <f>S1744/Explications!$C$8</f>
        <v>0.34929620776375447</v>
      </c>
    </row>
    <row r="1745" spans="7:20">
      <c r="G1745" s="7" t="s">
        <v>39</v>
      </c>
      <c r="H1745" s="7" t="s">
        <v>81</v>
      </c>
      <c r="I1745" s="7">
        <v>46.844900000000003</v>
      </c>
      <c r="J1745" s="7">
        <v>-71.251400000000004</v>
      </c>
      <c r="K1745" s="7">
        <v>46.772300000000001</v>
      </c>
      <c r="L1745" s="7">
        <v>-71.279799999999994</v>
      </c>
      <c r="M1745" s="10" t="str">
        <f t="shared" si="167"/>
        <v>C23</v>
      </c>
      <c r="N1745" s="10" t="str">
        <f t="shared" si="168"/>
        <v>C65</v>
      </c>
      <c r="O1745" s="5">
        <f t="shared" si="169"/>
        <v>8.3570934799059788</v>
      </c>
      <c r="P1745" s="22">
        <f>O1745/Explications!$C$8</f>
        <v>0.27856978266353261</v>
      </c>
      <c r="Q1745" s="7" t="str">
        <f t="shared" si="170"/>
        <v>C65</v>
      </c>
      <c r="R1745" s="7" t="str">
        <f t="shared" si="171"/>
        <v>C23</v>
      </c>
      <c r="S1745" s="18">
        <f t="shared" si="172"/>
        <v>8.3570934799059788</v>
      </c>
      <c r="T1745" s="18">
        <f>S1745/Explications!$C$8</f>
        <v>0.27856978266353261</v>
      </c>
    </row>
    <row r="1746" spans="7:20">
      <c r="G1746" s="7" t="s">
        <v>39</v>
      </c>
      <c r="H1746" s="7" t="s">
        <v>82</v>
      </c>
      <c r="I1746" s="7">
        <v>46.844900000000003</v>
      </c>
      <c r="J1746" s="7">
        <v>-71.251400000000004</v>
      </c>
      <c r="K1746" s="7">
        <v>46.814900000000002</v>
      </c>
      <c r="L1746" s="7">
        <v>-71.225200000000001</v>
      </c>
      <c r="M1746" s="10" t="str">
        <f t="shared" si="167"/>
        <v>C23</v>
      </c>
      <c r="N1746" s="10" t="str">
        <f t="shared" si="168"/>
        <v>C66</v>
      </c>
      <c r="O1746" s="5">
        <f t="shared" si="169"/>
        <v>3.885958837181827</v>
      </c>
      <c r="P1746" s="22">
        <f>O1746/Explications!$C$8</f>
        <v>0.12953196123939423</v>
      </c>
      <c r="Q1746" s="7" t="str">
        <f t="shared" si="170"/>
        <v>C66</v>
      </c>
      <c r="R1746" s="7" t="str">
        <f t="shared" si="171"/>
        <v>C23</v>
      </c>
      <c r="S1746" s="18">
        <f t="shared" si="172"/>
        <v>3.885958837181827</v>
      </c>
      <c r="T1746" s="18">
        <f>S1746/Explications!$C$8</f>
        <v>0.12953196123939423</v>
      </c>
    </row>
    <row r="1747" spans="7:20">
      <c r="G1747" s="7" t="s">
        <v>39</v>
      </c>
      <c r="H1747" s="7" t="s">
        <v>83</v>
      </c>
      <c r="I1747" s="7">
        <v>46.844900000000003</v>
      </c>
      <c r="J1747" s="7">
        <v>-71.251400000000004</v>
      </c>
      <c r="K1747" s="7">
        <v>46.814700000000002</v>
      </c>
      <c r="L1747" s="7">
        <v>-71.207300000000004</v>
      </c>
      <c r="M1747" s="10" t="str">
        <f t="shared" si="167"/>
        <v>C23</v>
      </c>
      <c r="N1747" s="10" t="str">
        <f t="shared" si="168"/>
        <v>C67</v>
      </c>
      <c r="O1747" s="5">
        <f t="shared" si="169"/>
        <v>4.7468352122288771</v>
      </c>
      <c r="P1747" s="22">
        <f>O1747/Explications!$C$8</f>
        <v>0.15822784040762924</v>
      </c>
      <c r="Q1747" s="7" t="str">
        <f t="shared" si="170"/>
        <v>C67</v>
      </c>
      <c r="R1747" s="7" t="str">
        <f t="shared" si="171"/>
        <v>C23</v>
      </c>
      <c r="S1747" s="18">
        <f t="shared" si="172"/>
        <v>4.7468352122288771</v>
      </c>
      <c r="T1747" s="18">
        <f>S1747/Explications!$C$8</f>
        <v>0.15822784040762924</v>
      </c>
    </row>
    <row r="1748" spans="7:20">
      <c r="G1748" s="7" t="s">
        <v>39</v>
      </c>
      <c r="H1748" s="7" t="s">
        <v>84</v>
      </c>
      <c r="I1748" s="7">
        <v>46.844900000000003</v>
      </c>
      <c r="J1748" s="7">
        <v>-71.251400000000004</v>
      </c>
      <c r="K1748" s="7">
        <v>46.815600000000003</v>
      </c>
      <c r="L1748" s="7">
        <v>-71.2029</v>
      </c>
      <c r="M1748" s="10" t="str">
        <f t="shared" si="167"/>
        <v>C23</v>
      </c>
      <c r="N1748" s="10" t="str">
        <f t="shared" si="168"/>
        <v>C68</v>
      </c>
      <c r="O1748" s="5">
        <f t="shared" si="169"/>
        <v>4.9222139015627926</v>
      </c>
      <c r="P1748" s="22">
        <f>O1748/Explications!$C$8</f>
        <v>0.16407379671875974</v>
      </c>
      <c r="Q1748" s="7" t="str">
        <f t="shared" si="170"/>
        <v>C68</v>
      </c>
      <c r="R1748" s="7" t="str">
        <f t="shared" si="171"/>
        <v>C23</v>
      </c>
      <c r="S1748" s="18">
        <f t="shared" si="172"/>
        <v>4.9222139015627926</v>
      </c>
      <c r="T1748" s="18">
        <f>S1748/Explications!$C$8</f>
        <v>0.16407379671875974</v>
      </c>
    </row>
    <row r="1749" spans="7:20">
      <c r="G1749" s="7" t="s">
        <v>39</v>
      </c>
      <c r="H1749" s="7" t="s">
        <v>85</v>
      </c>
      <c r="I1749" s="7">
        <v>46.844900000000003</v>
      </c>
      <c r="J1749" s="7">
        <v>-71.251400000000004</v>
      </c>
      <c r="K1749" s="7">
        <v>46.821899999999999</v>
      </c>
      <c r="L1749" s="7">
        <v>-71.249899999999997</v>
      </c>
      <c r="M1749" s="10" t="str">
        <f t="shared" si="167"/>
        <v>C23</v>
      </c>
      <c r="N1749" s="10" t="str">
        <f t="shared" si="168"/>
        <v>C69</v>
      </c>
      <c r="O1749" s="5">
        <f t="shared" si="169"/>
        <v>2.5600275716565979</v>
      </c>
      <c r="P1749" s="22">
        <f>O1749/Explications!$C$8</f>
        <v>8.5334252388553258E-2</v>
      </c>
      <c r="Q1749" s="7" t="str">
        <f t="shared" si="170"/>
        <v>C69</v>
      </c>
      <c r="R1749" s="7" t="str">
        <f t="shared" si="171"/>
        <v>C23</v>
      </c>
      <c r="S1749" s="18">
        <f t="shared" si="172"/>
        <v>2.5600275716565979</v>
      </c>
      <c r="T1749" s="18">
        <f>S1749/Explications!$C$8</f>
        <v>8.5334252388553258E-2</v>
      </c>
    </row>
    <row r="1750" spans="7:20">
      <c r="G1750" s="7" t="s">
        <v>39</v>
      </c>
      <c r="H1750" s="7" t="s">
        <v>86</v>
      </c>
      <c r="I1750" s="7">
        <v>46.844900000000003</v>
      </c>
      <c r="J1750" s="7">
        <v>-71.251400000000004</v>
      </c>
      <c r="K1750" s="7">
        <v>46.8872</v>
      </c>
      <c r="L1750" s="7">
        <v>-71.27</v>
      </c>
      <c r="M1750" s="10" t="str">
        <f t="shared" si="167"/>
        <v>C23</v>
      </c>
      <c r="N1750" s="10" t="str">
        <f t="shared" si="168"/>
        <v>C70</v>
      </c>
      <c r="O1750" s="5">
        <f t="shared" si="169"/>
        <v>4.9115070479741298</v>
      </c>
      <c r="P1750" s="22">
        <f>O1750/Explications!$C$8</f>
        <v>0.16371690159913765</v>
      </c>
      <c r="Q1750" s="7" t="str">
        <f t="shared" si="170"/>
        <v>C70</v>
      </c>
      <c r="R1750" s="7" t="str">
        <f t="shared" si="171"/>
        <v>C23</v>
      </c>
      <c r="S1750" s="18">
        <f t="shared" si="172"/>
        <v>4.9115070479741298</v>
      </c>
      <c r="T1750" s="18">
        <f>S1750/Explications!$C$8</f>
        <v>0.16371690159913765</v>
      </c>
    </row>
    <row r="1751" spans="7:20">
      <c r="G1751" s="7" t="s">
        <v>39</v>
      </c>
      <c r="H1751" s="7" t="s">
        <v>87</v>
      </c>
      <c r="I1751" s="7">
        <v>46.844900000000003</v>
      </c>
      <c r="J1751" s="7">
        <v>-71.251400000000004</v>
      </c>
      <c r="K1751" s="7">
        <v>46.816299999999998</v>
      </c>
      <c r="L1751" s="7">
        <v>-71.210300000000004</v>
      </c>
      <c r="M1751" s="10" t="str">
        <f t="shared" si="167"/>
        <v>C23</v>
      </c>
      <c r="N1751" s="10" t="str">
        <f t="shared" si="168"/>
        <v>C71</v>
      </c>
      <c r="O1751" s="5">
        <f t="shared" si="169"/>
        <v>4.4597779935146526</v>
      </c>
      <c r="P1751" s="22">
        <f>O1751/Explications!$C$8</f>
        <v>0.14865926645048841</v>
      </c>
      <c r="Q1751" s="7" t="str">
        <f t="shared" si="170"/>
        <v>C71</v>
      </c>
      <c r="R1751" s="7" t="str">
        <f t="shared" si="171"/>
        <v>C23</v>
      </c>
      <c r="S1751" s="18">
        <f t="shared" si="172"/>
        <v>4.4597779935146526</v>
      </c>
      <c r="T1751" s="18">
        <f>S1751/Explications!$C$8</f>
        <v>0.14865926645048841</v>
      </c>
    </row>
    <row r="1752" spans="7:20">
      <c r="G1752" s="7" t="s">
        <v>39</v>
      </c>
      <c r="H1752" s="7" t="s">
        <v>88</v>
      </c>
      <c r="I1752" s="7">
        <v>46.844900000000003</v>
      </c>
      <c r="J1752" s="7">
        <v>-71.251400000000004</v>
      </c>
      <c r="K1752" s="7">
        <v>46.807000000000002</v>
      </c>
      <c r="L1752" s="7">
        <v>-71.3566</v>
      </c>
      <c r="M1752" s="10" t="str">
        <f t="shared" si="167"/>
        <v>C23</v>
      </c>
      <c r="N1752" s="10" t="str">
        <f t="shared" si="168"/>
        <v>C72</v>
      </c>
      <c r="O1752" s="5">
        <f t="shared" si="169"/>
        <v>9.0454687099350153</v>
      </c>
      <c r="P1752" s="22">
        <f>O1752/Explications!$C$8</f>
        <v>0.30151562366450052</v>
      </c>
      <c r="Q1752" s="7" t="str">
        <f t="shared" si="170"/>
        <v>C72</v>
      </c>
      <c r="R1752" s="7" t="str">
        <f t="shared" si="171"/>
        <v>C23</v>
      </c>
      <c r="S1752" s="18">
        <f t="shared" si="172"/>
        <v>9.0454687099350153</v>
      </c>
      <c r="T1752" s="18">
        <f>S1752/Explications!$C$8</f>
        <v>0.30151562366450052</v>
      </c>
    </row>
    <row r="1753" spans="7:20">
      <c r="G1753" s="7" t="s">
        <v>39</v>
      </c>
      <c r="H1753" s="7" t="s">
        <v>89</v>
      </c>
      <c r="I1753" s="7">
        <v>46.844900000000003</v>
      </c>
      <c r="J1753" s="7">
        <v>-71.251400000000004</v>
      </c>
      <c r="K1753" s="7">
        <v>46.822899999999997</v>
      </c>
      <c r="L1753" s="7">
        <v>-71.341899999999995</v>
      </c>
      <c r="M1753" s="10" t="str">
        <f t="shared" si="167"/>
        <v>C23</v>
      </c>
      <c r="N1753" s="10" t="str">
        <f t="shared" si="168"/>
        <v>C73</v>
      </c>
      <c r="O1753" s="5">
        <f t="shared" si="169"/>
        <v>7.3060678704659656</v>
      </c>
      <c r="P1753" s="22">
        <f>O1753/Explications!$C$8</f>
        <v>0.24353559568219885</v>
      </c>
      <c r="Q1753" s="7" t="str">
        <f t="shared" si="170"/>
        <v>C73</v>
      </c>
      <c r="R1753" s="7" t="str">
        <f t="shared" si="171"/>
        <v>C23</v>
      </c>
      <c r="S1753" s="18">
        <f t="shared" si="172"/>
        <v>7.3060678704659656</v>
      </c>
      <c r="T1753" s="18">
        <f>S1753/Explications!$C$8</f>
        <v>0.24353559568219885</v>
      </c>
    </row>
    <row r="1754" spans="7:20">
      <c r="G1754" s="7" t="s">
        <v>39</v>
      </c>
      <c r="H1754" s="7" t="s">
        <v>90</v>
      </c>
      <c r="I1754" s="7">
        <v>46.844900000000003</v>
      </c>
      <c r="J1754" s="7">
        <v>-71.251400000000004</v>
      </c>
      <c r="K1754" s="7">
        <v>46.730699999999999</v>
      </c>
      <c r="L1754" s="7">
        <v>-71.261099999999999</v>
      </c>
      <c r="M1754" s="10" t="str">
        <f t="shared" si="167"/>
        <v>C23</v>
      </c>
      <c r="N1754" s="10" t="str">
        <f t="shared" si="168"/>
        <v>C74</v>
      </c>
      <c r="O1754" s="5">
        <f t="shared" si="169"/>
        <v>12.71991759979942</v>
      </c>
      <c r="P1754" s="22">
        <f>O1754/Explications!$C$8</f>
        <v>0.42399725332664734</v>
      </c>
      <c r="Q1754" s="7" t="str">
        <f t="shared" si="170"/>
        <v>C74</v>
      </c>
      <c r="R1754" s="7" t="str">
        <f t="shared" si="171"/>
        <v>C23</v>
      </c>
      <c r="S1754" s="18">
        <f t="shared" si="172"/>
        <v>12.71991759979942</v>
      </c>
      <c r="T1754" s="18">
        <f>S1754/Explications!$C$8</f>
        <v>0.42399725332664734</v>
      </c>
    </row>
    <row r="1755" spans="7:20">
      <c r="G1755" s="7" t="s">
        <v>39</v>
      </c>
      <c r="H1755" s="7" t="s">
        <v>91</v>
      </c>
      <c r="I1755" s="7">
        <v>46.844900000000003</v>
      </c>
      <c r="J1755" s="7">
        <v>-71.251400000000004</v>
      </c>
      <c r="K1755" s="7">
        <v>46.840600000000002</v>
      </c>
      <c r="L1755" s="7">
        <v>-71.289100000000005</v>
      </c>
      <c r="M1755" s="10" t="str">
        <f t="shared" si="167"/>
        <v>C23</v>
      </c>
      <c r="N1755" s="10" t="str">
        <f t="shared" si="168"/>
        <v>C75</v>
      </c>
      <c r="O1755" s="5">
        <f t="shared" si="169"/>
        <v>2.9069656635664245</v>
      </c>
      <c r="P1755" s="22">
        <f>O1755/Explications!$C$8</f>
        <v>9.6898855452214147E-2</v>
      </c>
      <c r="Q1755" s="7" t="str">
        <f t="shared" si="170"/>
        <v>C75</v>
      </c>
      <c r="R1755" s="7" t="str">
        <f t="shared" si="171"/>
        <v>C23</v>
      </c>
      <c r="S1755" s="18">
        <f t="shared" si="172"/>
        <v>2.9069656635664245</v>
      </c>
      <c r="T1755" s="18">
        <f>S1755/Explications!$C$8</f>
        <v>9.6898855452214147E-2</v>
      </c>
    </row>
    <row r="1756" spans="7:20">
      <c r="G1756" s="7" t="s">
        <v>39</v>
      </c>
      <c r="H1756" s="7" t="s">
        <v>92</v>
      </c>
      <c r="I1756" s="7">
        <v>46.844900000000003</v>
      </c>
      <c r="J1756" s="7">
        <v>-71.251400000000004</v>
      </c>
      <c r="K1756" s="7">
        <v>46.840600000000002</v>
      </c>
      <c r="L1756" s="7">
        <v>-71.281599999999997</v>
      </c>
      <c r="M1756" s="10" t="str">
        <f t="shared" si="167"/>
        <v>C23</v>
      </c>
      <c r="N1756" s="10" t="str">
        <f t="shared" si="168"/>
        <v>C76</v>
      </c>
      <c r="O1756" s="5">
        <f t="shared" si="169"/>
        <v>2.3461790602779136</v>
      </c>
      <c r="P1756" s="22">
        <f>O1756/Explications!$C$8</f>
        <v>7.8205968675930451E-2</v>
      </c>
      <c r="Q1756" s="7" t="str">
        <f t="shared" si="170"/>
        <v>C76</v>
      </c>
      <c r="R1756" s="7" t="str">
        <f t="shared" si="171"/>
        <v>C23</v>
      </c>
      <c r="S1756" s="18">
        <f t="shared" si="172"/>
        <v>2.3461790602779136</v>
      </c>
      <c r="T1756" s="18">
        <f>S1756/Explications!$C$8</f>
        <v>7.8205968675930451E-2</v>
      </c>
    </row>
    <row r="1757" spans="7:20">
      <c r="G1757" s="7" t="s">
        <v>39</v>
      </c>
      <c r="H1757" s="7" t="s">
        <v>93</v>
      </c>
      <c r="I1757" s="7">
        <v>46.844900000000003</v>
      </c>
      <c r="J1757" s="7">
        <v>-71.251400000000004</v>
      </c>
      <c r="K1757" s="7">
        <v>46.839399999999998</v>
      </c>
      <c r="L1757" s="7">
        <v>-71.282600000000002</v>
      </c>
      <c r="M1757" s="10" t="str">
        <f t="shared" si="167"/>
        <v>C23</v>
      </c>
      <c r="N1757" s="10" t="str">
        <f t="shared" si="168"/>
        <v>C77</v>
      </c>
      <c r="O1757" s="5">
        <f t="shared" si="169"/>
        <v>2.4505654499524088</v>
      </c>
      <c r="P1757" s="22">
        <f>O1757/Explications!$C$8</f>
        <v>8.168551499841363E-2</v>
      </c>
      <c r="Q1757" s="7" t="str">
        <f t="shared" si="170"/>
        <v>C77</v>
      </c>
      <c r="R1757" s="7" t="str">
        <f t="shared" si="171"/>
        <v>C23</v>
      </c>
      <c r="S1757" s="18">
        <f t="shared" si="172"/>
        <v>2.4505654499524088</v>
      </c>
      <c r="T1757" s="18">
        <f>S1757/Explications!$C$8</f>
        <v>8.168551499841363E-2</v>
      </c>
    </row>
    <row r="1758" spans="7:20">
      <c r="G1758" s="7" t="s">
        <v>39</v>
      </c>
      <c r="H1758" s="7" t="s">
        <v>94</v>
      </c>
      <c r="I1758" s="7">
        <v>46.844900000000003</v>
      </c>
      <c r="J1758" s="7">
        <v>-71.251400000000004</v>
      </c>
      <c r="K1758" s="7">
        <v>46.788499999999999</v>
      </c>
      <c r="L1758" s="7">
        <v>-71.282399999999996</v>
      </c>
      <c r="M1758" s="10" t="str">
        <f t="shared" si="167"/>
        <v>C23</v>
      </c>
      <c r="N1758" s="10" t="str">
        <f t="shared" si="168"/>
        <v>C78</v>
      </c>
      <c r="O1758" s="5">
        <f t="shared" si="169"/>
        <v>6.7003680949401607</v>
      </c>
      <c r="P1758" s="22">
        <f>O1758/Explications!$C$8</f>
        <v>0.22334560316467203</v>
      </c>
      <c r="Q1758" s="7" t="str">
        <f t="shared" si="170"/>
        <v>C78</v>
      </c>
      <c r="R1758" s="7" t="str">
        <f t="shared" si="171"/>
        <v>C23</v>
      </c>
      <c r="S1758" s="18">
        <f t="shared" si="172"/>
        <v>6.7003680949401607</v>
      </c>
      <c r="T1758" s="18">
        <f>S1758/Explications!$C$8</f>
        <v>0.22334560316467203</v>
      </c>
    </row>
    <row r="1759" spans="7:20">
      <c r="G1759" s="7" t="s">
        <v>39</v>
      </c>
      <c r="H1759" s="7" t="s">
        <v>95</v>
      </c>
      <c r="I1759" s="7">
        <v>46.844900000000003</v>
      </c>
      <c r="J1759" s="7">
        <v>-71.251400000000004</v>
      </c>
      <c r="K1759" s="7">
        <v>46.840699999999998</v>
      </c>
      <c r="L1759" s="7">
        <v>-71.325400000000002</v>
      </c>
      <c r="M1759" s="10" t="str">
        <f t="shared" si="167"/>
        <v>C23</v>
      </c>
      <c r="N1759" s="10" t="str">
        <f t="shared" si="168"/>
        <v>C79</v>
      </c>
      <c r="O1759" s="5">
        <f t="shared" si="169"/>
        <v>5.6476045018374865</v>
      </c>
      <c r="P1759" s="22">
        <f>O1759/Explications!$C$8</f>
        <v>0.18825348339458289</v>
      </c>
      <c r="Q1759" s="7" t="str">
        <f t="shared" si="170"/>
        <v>C79</v>
      </c>
      <c r="R1759" s="7" t="str">
        <f t="shared" si="171"/>
        <v>C23</v>
      </c>
      <c r="S1759" s="18">
        <f t="shared" si="172"/>
        <v>5.6476045018374865</v>
      </c>
      <c r="T1759" s="18">
        <f>S1759/Explications!$C$8</f>
        <v>0.18825348339458289</v>
      </c>
    </row>
    <row r="1760" spans="7:20">
      <c r="G1760" s="7" t="s">
        <v>39</v>
      </c>
      <c r="H1760" s="7" t="s">
        <v>96</v>
      </c>
      <c r="I1760" s="7">
        <v>46.844900000000003</v>
      </c>
      <c r="J1760" s="7">
        <v>-71.251400000000004</v>
      </c>
      <c r="K1760" s="7">
        <v>46.798400000000001</v>
      </c>
      <c r="L1760" s="7">
        <v>-71.183199999999999</v>
      </c>
      <c r="M1760" s="10" t="str">
        <f t="shared" si="167"/>
        <v>C23</v>
      </c>
      <c r="N1760" s="10" t="str">
        <f t="shared" si="168"/>
        <v>C80</v>
      </c>
      <c r="O1760" s="5">
        <f t="shared" si="169"/>
        <v>7.3254492094453125</v>
      </c>
      <c r="P1760" s="22">
        <f>O1760/Explications!$C$8</f>
        <v>0.24418164031484374</v>
      </c>
      <c r="Q1760" s="7" t="str">
        <f t="shared" si="170"/>
        <v>C80</v>
      </c>
      <c r="R1760" s="7" t="str">
        <f t="shared" si="171"/>
        <v>C23</v>
      </c>
      <c r="S1760" s="18">
        <f t="shared" si="172"/>
        <v>7.3254492094453125</v>
      </c>
      <c r="T1760" s="18">
        <f>S1760/Explications!$C$8</f>
        <v>0.24418164031484374</v>
      </c>
    </row>
    <row r="1761" spans="7:20">
      <c r="G1761" s="7" t="s">
        <v>39</v>
      </c>
      <c r="H1761" s="7" t="s">
        <v>97</v>
      </c>
      <c r="I1761" s="7">
        <v>46.844900000000003</v>
      </c>
      <c r="J1761" s="7">
        <v>-71.251400000000004</v>
      </c>
      <c r="K1761" s="7">
        <v>46.724800000000002</v>
      </c>
      <c r="L1761" s="7">
        <v>-71.2988</v>
      </c>
      <c r="M1761" s="10" t="str">
        <f t="shared" si="167"/>
        <v>C23</v>
      </c>
      <c r="N1761" s="10" t="str">
        <f t="shared" si="168"/>
        <v>C81</v>
      </c>
      <c r="O1761" s="5">
        <f t="shared" si="169"/>
        <v>13.833580046128203</v>
      </c>
      <c r="P1761" s="22">
        <f>O1761/Explications!$C$8</f>
        <v>0.46111933487094009</v>
      </c>
      <c r="Q1761" s="7" t="str">
        <f t="shared" si="170"/>
        <v>C81</v>
      </c>
      <c r="R1761" s="7" t="str">
        <f t="shared" si="171"/>
        <v>C23</v>
      </c>
      <c r="S1761" s="18">
        <f t="shared" si="172"/>
        <v>13.833580046128203</v>
      </c>
      <c r="T1761" s="18">
        <f>S1761/Explications!$C$8</f>
        <v>0.46111933487094009</v>
      </c>
    </row>
    <row r="1762" spans="7:20">
      <c r="G1762" s="7" t="s">
        <v>39</v>
      </c>
      <c r="H1762" s="7" t="s">
        <v>98</v>
      </c>
      <c r="I1762" s="7">
        <v>46.844900000000003</v>
      </c>
      <c r="J1762" s="7">
        <v>-71.251400000000004</v>
      </c>
      <c r="K1762" s="7">
        <v>46.795499999999997</v>
      </c>
      <c r="L1762" s="7">
        <v>-71.242900000000006</v>
      </c>
      <c r="M1762" s="10" t="str">
        <f t="shared" si="167"/>
        <v>C23</v>
      </c>
      <c r="N1762" s="10" t="str">
        <f t="shared" si="168"/>
        <v>C82</v>
      </c>
      <c r="O1762" s="5">
        <f t="shared" si="169"/>
        <v>5.5309738737187946</v>
      </c>
      <c r="P1762" s="22">
        <f>O1762/Explications!$C$8</f>
        <v>0.18436579579062648</v>
      </c>
      <c r="Q1762" s="7" t="str">
        <f t="shared" si="170"/>
        <v>C82</v>
      </c>
      <c r="R1762" s="7" t="str">
        <f t="shared" si="171"/>
        <v>C23</v>
      </c>
      <c r="S1762" s="18">
        <f t="shared" si="172"/>
        <v>5.5309738737187946</v>
      </c>
      <c r="T1762" s="18">
        <f>S1762/Explications!$C$8</f>
        <v>0.18436579579062648</v>
      </c>
    </row>
    <row r="1763" spans="7:20">
      <c r="G1763" s="7" t="s">
        <v>39</v>
      </c>
      <c r="H1763" s="7" t="s">
        <v>99</v>
      </c>
      <c r="I1763" s="7">
        <v>46.844900000000003</v>
      </c>
      <c r="J1763" s="7">
        <v>-71.251400000000004</v>
      </c>
      <c r="K1763" s="7">
        <v>46.8157</v>
      </c>
      <c r="L1763" s="7">
        <v>-71.201899999999995</v>
      </c>
      <c r="M1763" s="10" t="str">
        <f t="shared" si="167"/>
        <v>C23</v>
      </c>
      <c r="N1763" s="10" t="str">
        <f t="shared" si="168"/>
        <v>C83</v>
      </c>
      <c r="O1763" s="5">
        <f t="shared" si="169"/>
        <v>4.9722231550170957</v>
      </c>
      <c r="P1763" s="22">
        <f>O1763/Explications!$C$8</f>
        <v>0.16574077183390318</v>
      </c>
      <c r="Q1763" s="7" t="str">
        <f t="shared" si="170"/>
        <v>C83</v>
      </c>
      <c r="R1763" s="7" t="str">
        <f t="shared" si="171"/>
        <v>C23</v>
      </c>
      <c r="S1763" s="18">
        <f t="shared" si="172"/>
        <v>4.9722231550170957</v>
      </c>
      <c r="T1763" s="18">
        <f>S1763/Explications!$C$8</f>
        <v>0.16574077183390318</v>
      </c>
    </row>
    <row r="1764" spans="7:20">
      <c r="G1764" s="7" t="s">
        <v>39</v>
      </c>
      <c r="H1764" s="7" t="s">
        <v>100</v>
      </c>
      <c r="I1764" s="7">
        <v>46.844900000000003</v>
      </c>
      <c r="J1764" s="7">
        <v>-71.251400000000004</v>
      </c>
      <c r="K1764" s="7">
        <v>46.837600000000002</v>
      </c>
      <c r="L1764" s="7">
        <v>-71.196299999999994</v>
      </c>
      <c r="M1764" s="10" t="str">
        <f t="shared" si="167"/>
        <v>C23</v>
      </c>
      <c r="N1764" s="10" t="str">
        <f t="shared" si="168"/>
        <v>C84</v>
      </c>
      <c r="O1764" s="5">
        <f t="shared" si="169"/>
        <v>4.2687806978130816</v>
      </c>
      <c r="P1764" s="22">
        <f>O1764/Explications!$C$8</f>
        <v>0.14229268992710273</v>
      </c>
      <c r="Q1764" s="7" t="str">
        <f t="shared" si="170"/>
        <v>C84</v>
      </c>
      <c r="R1764" s="7" t="str">
        <f t="shared" si="171"/>
        <v>C23</v>
      </c>
      <c r="S1764" s="18">
        <f t="shared" si="172"/>
        <v>4.2687806978130816</v>
      </c>
      <c r="T1764" s="18">
        <f>S1764/Explications!$C$8</f>
        <v>0.14229268992710273</v>
      </c>
    </row>
    <row r="1765" spans="7:20">
      <c r="G1765" s="7" t="s">
        <v>39</v>
      </c>
      <c r="H1765" s="7" t="s">
        <v>101</v>
      </c>
      <c r="I1765" s="7">
        <v>46.844900000000003</v>
      </c>
      <c r="J1765" s="7">
        <v>-71.251400000000004</v>
      </c>
      <c r="K1765" s="7">
        <v>46.7988</v>
      </c>
      <c r="L1765" s="7">
        <v>-71.318200000000004</v>
      </c>
      <c r="M1765" s="10" t="str">
        <f t="shared" si="167"/>
        <v>C23</v>
      </c>
      <c r="N1765" s="10" t="str">
        <f t="shared" si="168"/>
        <v>C85</v>
      </c>
      <c r="O1765" s="5">
        <f t="shared" si="169"/>
        <v>7.2187159715726592</v>
      </c>
      <c r="P1765" s="22">
        <f>O1765/Explications!$C$8</f>
        <v>0.24062386571908864</v>
      </c>
      <c r="Q1765" s="7" t="str">
        <f t="shared" si="170"/>
        <v>C85</v>
      </c>
      <c r="R1765" s="7" t="str">
        <f t="shared" si="171"/>
        <v>C23</v>
      </c>
      <c r="S1765" s="18">
        <f t="shared" si="172"/>
        <v>7.2187159715726592</v>
      </c>
      <c r="T1765" s="18">
        <f>S1765/Explications!$C$8</f>
        <v>0.24062386571908864</v>
      </c>
    </row>
    <row r="1766" spans="7:20">
      <c r="G1766" s="7" t="s">
        <v>40</v>
      </c>
      <c r="H1766" s="7" t="s">
        <v>41</v>
      </c>
      <c r="I1766" s="7">
        <v>46.805500000000002</v>
      </c>
      <c r="J1766" s="7">
        <v>-71.2196</v>
      </c>
      <c r="K1766" s="7">
        <v>46.734900000000003</v>
      </c>
      <c r="L1766" s="7">
        <v>-71.266199999999998</v>
      </c>
      <c r="M1766" s="10" t="str">
        <f t="shared" si="167"/>
        <v>C24</v>
      </c>
      <c r="N1766" s="10" t="str">
        <f t="shared" si="168"/>
        <v>C25</v>
      </c>
      <c r="O1766" s="5">
        <f t="shared" si="169"/>
        <v>8.6153395514864073</v>
      </c>
      <c r="P1766" s="22">
        <f>O1766/Explications!$C$8</f>
        <v>0.28717798504954689</v>
      </c>
      <c r="Q1766" s="7" t="str">
        <f t="shared" si="170"/>
        <v>C25</v>
      </c>
      <c r="R1766" s="7" t="str">
        <f t="shared" si="171"/>
        <v>C24</v>
      </c>
      <c r="S1766" s="18">
        <f t="shared" si="172"/>
        <v>8.6153395514864073</v>
      </c>
      <c r="T1766" s="18">
        <f>S1766/Explications!$C$8</f>
        <v>0.28717798504954689</v>
      </c>
    </row>
    <row r="1767" spans="7:20">
      <c r="G1767" s="7" t="s">
        <v>40</v>
      </c>
      <c r="H1767" s="7" t="s">
        <v>42</v>
      </c>
      <c r="I1767" s="7">
        <v>46.805500000000002</v>
      </c>
      <c r="J1767" s="7">
        <v>-71.2196</v>
      </c>
      <c r="K1767" s="7">
        <v>46.817700000000002</v>
      </c>
      <c r="L1767" s="7">
        <v>-71.214100000000002</v>
      </c>
      <c r="M1767" s="10" t="str">
        <f t="shared" si="167"/>
        <v>C24</v>
      </c>
      <c r="N1767" s="10" t="str">
        <f t="shared" si="168"/>
        <v>C26</v>
      </c>
      <c r="O1767" s="5">
        <f t="shared" si="169"/>
        <v>1.4196817670395043</v>
      </c>
      <c r="P1767" s="22">
        <f>O1767/Explications!$C$8</f>
        <v>4.7322725567983476E-2</v>
      </c>
      <c r="Q1767" s="7" t="str">
        <f t="shared" si="170"/>
        <v>C26</v>
      </c>
      <c r="R1767" s="7" t="str">
        <f t="shared" si="171"/>
        <v>C24</v>
      </c>
      <c r="S1767" s="18">
        <f t="shared" si="172"/>
        <v>1.4196817670395043</v>
      </c>
      <c r="T1767" s="18">
        <f>S1767/Explications!$C$8</f>
        <v>4.7322725567983476E-2</v>
      </c>
    </row>
    <row r="1768" spans="7:20">
      <c r="G1768" s="7" t="s">
        <v>40</v>
      </c>
      <c r="H1768" s="7" t="s">
        <v>43</v>
      </c>
      <c r="I1768" s="7">
        <v>46.805500000000002</v>
      </c>
      <c r="J1768" s="7">
        <v>-71.2196</v>
      </c>
      <c r="K1768" s="7">
        <v>46.603000000000002</v>
      </c>
      <c r="L1768" s="7">
        <v>-71.490600000000001</v>
      </c>
      <c r="M1768" s="10" t="str">
        <f t="shared" si="167"/>
        <v>C24</v>
      </c>
      <c r="N1768" s="10" t="str">
        <f t="shared" si="168"/>
        <v>C27</v>
      </c>
      <c r="O1768" s="5">
        <f t="shared" si="169"/>
        <v>30.562095157342043</v>
      </c>
      <c r="P1768" s="22">
        <f>O1768/Explications!$C$8</f>
        <v>1.0187365052447348</v>
      </c>
      <c r="Q1768" s="7" t="str">
        <f t="shared" si="170"/>
        <v>C27</v>
      </c>
      <c r="R1768" s="7" t="str">
        <f t="shared" si="171"/>
        <v>C24</v>
      </c>
      <c r="S1768" s="18">
        <f t="shared" si="172"/>
        <v>30.562095157342043</v>
      </c>
      <c r="T1768" s="18">
        <f>S1768/Explications!$C$8</f>
        <v>1.0187365052447348</v>
      </c>
    </row>
    <row r="1769" spans="7:20">
      <c r="G1769" s="7" t="s">
        <v>40</v>
      </c>
      <c r="H1769" s="7" t="s">
        <v>44</v>
      </c>
      <c r="I1769" s="7">
        <v>46.805500000000002</v>
      </c>
      <c r="J1769" s="7">
        <v>-71.2196</v>
      </c>
      <c r="K1769" s="7">
        <v>47.000500000000002</v>
      </c>
      <c r="L1769" s="7">
        <v>-71.388400000000004</v>
      </c>
      <c r="M1769" s="10" t="str">
        <f t="shared" si="167"/>
        <v>C24</v>
      </c>
      <c r="N1769" s="10" t="str">
        <f t="shared" si="168"/>
        <v>C28</v>
      </c>
      <c r="O1769" s="5">
        <f t="shared" si="169"/>
        <v>25.191475968034133</v>
      </c>
      <c r="P1769" s="22">
        <f>O1769/Explications!$C$8</f>
        <v>0.83971586560113776</v>
      </c>
      <c r="Q1769" s="7" t="str">
        <f t="shared" si="170"/>
        <v>C28</v>
      </c>
      <c r="R1769" s="7" t="str">
        <f t="shared" si="171"/>
        <v>C24</v>
      </c>
      <c r="S1769" s="18">
        <f t="shared" si="172"/>
        <v>25.191475968034133</v>
      </c>
      <c r="T1769" s="18">
        <f>S1769/Explications!$C$8</f>
        <v>0.83971586560113776</v>
      </c>
    </row>
    <row r="1770" spans="7:20">
      <c r="G1770" s="7" t="s">
        <v>40</v>
      </c>
      <c r="H1770" s="7" t="s">
        <v>45</v>
      </c>
      <c r="I1770" s="7">
        <v>46.805500000000002</v>
      </c>
      <c r="J1770" s="7">
        <v>-71.2196</v>
      </c>
      <c r="K1770" s="7">
        <v>46.839100000000002</v>
      </c>
      <c r="L1770" s="7">
        <v>-71.245699999999999</v>
      </c>
      <c r="M1770" s="10" t="str">
        <f t="shared" si="167"/>
        <v>C24</v>
      </c>
      <c r="N1770" s="10" t="str">
        <f t="shared" si="168"/>
        <v>C29</v>
      </c>
      <c r="O1770" s="5">
        <f t="shared" si="169"/>
        <v>4.2311292748635694</v>
      </c>
      <c r="P1770" s="22">
        <f>O1770/Explications!$C$8</f>
        <v>0.14103764249545231</v>
      </c>
      <c r="Q1770" s="7" t="str">
        <f t="shared" si="170"/>
        <v>C29</v>
      </c>
      <c r="R1770" s="7" t="str">
        <f t="shared" si="171"/>
        <v>C24</v>
      </c>
      <c r="S1770" s="18">
        <f t="shared" si="172"/>
        <v>4.2311292748635694</v>
      </c>
      <c r="T1770" s="18">
        <f>S1770/Explications!$C$8</f>
        <v>0.14103764249545231</v>
      </c>
    </row>
    <row r="1771" spans="7:20">
      <c r="G1771" s="7" t="s">
        <v>40</v>
      </c>
      <c r="H1771" s="7" t="s">
        <v>46</v>
      </c>
      <c r="I1771" s="7">
        <v>46.805500000000002</v>
      </c>
      <c r="J1771" s="7">
        <v>-71.2196</v>
      </c>
      <c r="K1771" s="7">
        <v>46.865699999999997</v>
      </c>
      <c r="L1771" s="7">
        <v>-71.27</v>
      </c>
      <c r="M1771" s="10" t="str">
        <f t="shared" si="167"/>
        <v>C24</v>
      </c>
      <c r="N1771" s="10" t="str">
        <f t="shared" si="168"/>
        <v>C30</v>
      </c>
      <c r="O1771" s="5">
        <f t="shared" si="169"/>
        <v>7.7140717013690772</v>
      </c>
      <c r="P1771" s="22">
        <f>O1771/Explications!$C$8</f>
        <v>0.25713572337896923</v>
      </c>
      <c r="Q1771" s="7" t="str">
        <f t="shared" si="170"/>
        <v>C30</v>
      </c>
      <c r="R1771" s="7" t="str">
        <f t="shared" si="171"/>
        <v>C24</v>
      </c>
      <c r="S1771" s="18">
        <f t="shared" si="172"/>
        <v>7.7140717013690772</v>
      </c>
      <c r="T1771" s="18">
        <f>S1771/Explications!$C$8</f>
        <v>0.25713572337896923</v>
      </c>
    </row>
    <row r="1772" spans="7:20">
      <c r="G1772" s="7" t="s">
        <v>40</v>
      </c>
      <c r="H1772" s="7" t="s">
        <v>47</v>
      </c>
      <c r="I1772" s="7">
        <v>46.805500000000002</v>
      </c>
      <c r="J1772" s="7">
        <v>-71.2196</v>
      </c>
      <c r="K1772" s="7">
        <v>46.805500000000002</v>
      </c>
      <c r="L1772" s="7">
        <v>-71.217299999999994</v>
      </c>
      <c r="M1772" s="10" t="str">
        <f t="shared" si="167"/>
        <v>C24</v>
      </c>
      <c r="N1772" s="10" t="str">
        <f t="shared" si="168"/>
        <v>C31</v>
      </c>
      <c r="O1772" s="5">
        <f t="shared" si="169"/>
        <v>0.17505386777787701</v>
      </c>
      <c r="P1772" s="22">
        <f>O1772/Explications!$C$8</f>
        <v>5.8351289259292336E-3</v>
      </c>
      <c r="Q1772" s="7" t="str">
        <f t="shared" si="170"/>
        <v>C31</v>
      </c>
      <c r="R1772" s="7" t="str">
        <f t="shared" si="171"/>
        <v>C24</v>
      </c>
      <c r="S1772" s="18">
        <f t="shared" si="172"/>
        <v>0.17505386777787701</v>
      </c>
      <c r="T1772" s="18">
        <f>S1772/Explications!$C$8</f>
        <v>5.8351289259292336E-3</v>
      </c>
    </row>
    <row r="1773" spans="7:20">
      <c r="G1773" s="7" t="s">
        <v>40</v>
      </c>
      <c r="H1773" s="7" t="s">
        <v>48</v>
      </c>
      <c r="I1773" s="7">
        <v>46.805500000000002</v>
      </c>
      <c r="J1773" s="7">
        <v>-71.2196</v>
      </c>
      <c r="K1773" s="7">
        <v>46.792299999999997</v>
      </c>
      <c r="L1773" s="7">
        <v>-71.172899999999998</v>
      </c>
      <c r="M1773" s="10" t="str">
        <f t="shared" si="167"/>
        <v>C24</v>
      </c>
      <c r="N1773" s="10" t="str">
        <f t="shared" si="168"/>
        <v>C32</v>
      </c>
      <c r="O1773" s="5">
        <f t="shared" si="169"/>
        <v>3.8458933990042636</v>
      </c>
      <c r="P1773" s="22">
        <f>O1773/Explications!$C$8</f>
        <v>0.12819644663347546</v>
      </c>
      <c r="Q1773" s="7" t="str">
        <f t="shared" si="170"/>
        <v>C32</v>
      </c>
      <c r="R1773" s="7" t="str">
        <f t="shared" si="171"/>
        <v>C24</v>
      </c>
      <c r="S1773" s="18">
        <f t="shared" si="172"/>
        <v>3.8458933990042636</v>
      </c>
      <c r="T1773" s="18">
        <f>S1773/Explications!$C$8</f>
        <v>0.12819644663347546</v>
      </c>
    </row>
    <row r="1774" spans="7:20">
      <c r="G1774" s="7" t="s">
        <v>40</v>
      </c>
      <c r="H1774" s="7" t="s">
        <v>49</v>
      </c>
      <c r="I1774" s="7">
        <v>46.805500000000002</v>
      </c>
      <c r="J1774" s="7">
        <v>-71.2196</v>
      </c>
      <c r="K1774" s="7">
        <v>46.7883</v>
      </c>
      <c r="L1774" s="7">
        <v>-71.131200000000007</v>
      </c>
      <c r="M1774" s="10" t="str">
        <f t="shared" si="167"/>
        <v>C24</v>
      </c>
      <c r="N1774" s="10" t="str">
        <f t="shared" si="168"/>
        <v>C33</v>
      </c>
      <c r="O1774" s="5">
        <f t="shared" si="169"/>
        <v>6.9957440656493937</v>
      </c>
      <c r="P1774" s="22">
        <f>O1774/Explications!$C$8</f>
        <v>0.23319146885497979</v>
      </c>
      <c r="Q1774" s="7" t="str">
        <f t="shared" si="170"/>
        <v>C33</v>
      </c>
      <c r="R1774" s="7" t="str">
        <f t="shared" si="171"/>
        <v>C24</v>
      </c>
      <c r="S1774" s="18">
        <f t="shared" si="172"/>
        <v>6.9957440656493937</v>
      </c>
      <c r="T1774" s="18">
        <f>S1774/Explications!$C$8</f>
        <v>0.23319146885497979</v>
      </c>
    </row>
    <row r="1775" spans="7:20">
      <c r="G1775" s="7" t="s">
        <v>40</v>
      </c>
      <c r="H1775" s="7" t="s">
        <v>50</v>
      </c>
      <c r="I1775" s="7">
        <v>46.805500000000002</v>
      </c>
      <c r="J1775" s="7">
        <v>-71.2196</v>
      </c>
      <c r="K1775" s="7">
        <v>46.8611</v>
      </c>
      <c r="L1775" s="7">
        <v>-71.268799999999999</v>
      </c>
      <c r="M1775" s="10" t="str">
        <f t="shared" si="167"/>
        <v>C24</v>
      </c>
      <c r="N1775" s="10" t="str">
        <f t="shared" si="168"/>
        <v>C34</v>
      </c>
      <c r="O1775" s="5">
        <f t="shared" si="169"/>
        <v>7.2270534279359691</v>
      </c>
      <c r="P1775" s="22">
        <f>O1775/Explications!$C$8</f>
        <v>0.24090178093119896</v>
      </c>
      <c r="Q1775" s="7" t="str">
        <f t="shared" si="170"/>
        <v>C34</v>
      </c>
      <c r="R1775" s="7" t="str">
        <f t="shared" si="171"/>
        <v>C24</v>
      </c>
      <c r="S1775" s="18">
        <f t="shared" si="172"/>
        <v>7.2270534279359691</v>
      </c>
      <c r="T1775" s="18">
        <f>S1775/Explications!$C$8</f>
        <v>0.24090178093119896</v>
      </c>
    </row>
    <row r="1776" spans="7:20">
      <c r="G1776" s="7" t="s">
        <v>40</v>
      </c>
      <c r="H1776" s="7" t="s">
        <v>51</v>
      </c>
      <c r="I1776" s="7">
        <v>46.805500000000002</v>
      </c>
      <c r="J1776" s="7">
        <v>-71.2196</v>
      </c>
      <c r="K1776" s="7">
        <v>46.869700000000002</v>
      </c>
      <c r="L1776" s="7">
        <v>-71.205200000000005</v>
      </c>
      <c r="M1776" s="10" t="str">
        <f t="shared" si="167"/>
        <v>C24</v>
      </c>
      <c r="N1776" s="10" t="str">
        <f t="shared" si="168"/>
        <v>C35</v>
      </c>
      <c r="O1776" s="5">
        <f t="shared" si="169"/>
        <v>7.2222573139234152</v>
      </c>
      <c r="P1776" s="22">
        <f>O1776/Explications!$C$8</f>
        <v>0.24074191046411383</v>
      </c>
      <c r="Q1776" s="7" t="str">
        <f t="shared" si="170"/>
        <v>C35</v>
      </c>
      <c r="R1776" s="7" t="str">
        <f t="shared" si="171"/>
        <v>C24</v>
      </c>
      <c r="S1776" s="18">
        <f t="shared" si="172"/>
        <v>7.2222573139234152</v>
      </c>
      <c r="T1776" s="18">
        <f>S1776/Explications!$C$8</f>
        <v>0.24074191046411383</v>
      </c>
    </row>
    <row r="1777" spans="7:20">
      <c r="G1777" s="7" t="s">
        <v>40</v>
      </c>
      <c r="H1777" s="7" t="s">
        <v>52</v>
      </c>
      <c r="I1777" s="7">
        <v>46.805500000000002</v>
      </c>
      <c r="J1777" s="7">
        <v>-71.2196</v>
      </c>
      <c r="K1777" s="7">
        <v>46.774099999999997</v>
      </c>
      <c r="L1777" s="7">
        <v>-71.174000000000007</v>
      </c>
      <c r="M1777" s="10" t="str">
        <f t="shared" si="167"/>
        <v>C24</v>
      </c>
      <c r="N1777" s="10" t="str">
        <f t="shared" si="168"/>
        <v>C36</v>
      </c>
      <c r="O1777" s="5">
        <f t="shared" si="169"/>
        <v>4.9237224850992236</v>
      </c>
      <c r="P1777" s="22">
        <f>O1777/Explications!$C$8</f>
        <v>0.16412408283664079</v>
      </c>
      <c r="Q1777" s="7" t="str">
        <f t="shared" si="170"/>
        <v>C36</v>
      </c>
      <c r="R1777" s="7" t="str">
        <f t="shared" si="171"/>
        <v>C24</v>
      </c>
      <c r="S1777" s="18">
        <f t="shared" si="172"/>
        <v>4.9237224850992236</v>
      </c>
      <c r="T1777" s="18">
        <f>S1777/Explications!$C$8</f>
        <v>0.16412408283664079</v>
      </c>
    </row>
    <row r="1778" spans="7:20">
      <c r="G1778" s="7" t="s">
        <v>40</v>
      </c>
      <c r="H1778" s="7" t="s">
        <v>53</v>
      </c>
      <c r="I1778" s="7">
        <v>46.805500000000002</v>
      </c>
      <c r="J1778" s="7">
        <v>-71.2196</v>
      </c>
      <c r="K1778" s="7">
        <v>46.808500000000002</v>
      </c>
      <c r="L1778" s="7">
        <v>-71.326599999999999</v>
      </c>
      <c r="M1778" s="10" t="str">
        <f t="shared" si="167"/>
        <v>C24</v>
      </c>
      <c r="N1778" s="10" t="str">
        <f t="shared" si="168"/>
        <v>C37</v>
      </c>
      <c r="O1778" s="5">
        <f t="shared" si="169"/>
        <v>8.150412794685133</v>
      </c>
      <c r="P1778" s="22">
        <f>O1778/Explications!$C$8</f>
        <v>0.27168042648950441</v>
      </c>
      <c r="Q1778" s="7" t="str">
        <f t="shared" si="170"/>
        <v>C37</v>
      </c>
      <c r="R1778" s="7" t="str">
        <f t="shared" si="171"/>
        <v>C24</v>
      </c>
      <c r="S1778" s="18">
        <f t="shared" si="172"/>
        <v>8.150412794685133</v>
      </c>
      <c r="T1778" s="18">
        <f>S1778/Explications!$C$8</f>
        <v>0.27168042648950441</v>
      </c>
    </row>
    <row r="1779" spans="7:20">
      <c r="G1779" s="7" t="s">
        <v>40</v>
      </c>
      <c r="H1779" s="7" t="s">
        <v>54</v>
      </c>
      <c r="I1779" s="7">
        <v>46.805500000000002</v>
      </c>
      <c r="J1779" s="7">
        <v>-71.2196</v>
      </c>
      <c r="K1779" s="7">
        <v>46.797499999999999</v>
      </c>
      <c r="L1779" s="7">
        <v>-71.306100000000001</v>
      </c>
      <c r="M1779" s="10" t="str">
        <f t="shared" si="167"/>
        <v>C24</v>
      </c>
      <c r="N1779" s="10" t="str">
        <f t="shared" si="168"/>
        <v>C38</v>
      </c>
      <c r="O1779" s="5">
        <f t="shared" si="169"/>
        <v>6.6438591258891124</v>
      </c>
      <c r="P1779" s="22">
        <f>O1779/Explications!$C$8</f>
        <v>0.22146197086297043</v>
      </c>
      <c r="Q1779" s="7" t="str">
        <f t="shared" si="170"/>
        <v>C38</v>
      </c>
      <c r="R1779" s="7" t="str">
        <f t="shared" si="171"/>
        <v>C24</v>
      </c>
      <c r="S1779" s="18">
        <f t="shared" si="172"/>
        <v>6.6438591258891124</v>
      </c>
      <c r="T1779" s="18">
        <f>S1779/Explications!$C$8</f>
        <v>0.22146197086297043</v>
      </c>
    </row>
    <row r="1780" spans="7:20">
      <c r="G1780" s="7" t="s">
        <v>40</v>
      </c>
      <c r="H1780" s="7" t="s">
        <v>55</v>
      </c>
      <c r="I1780" s="7">
        <v>46.805500000000002</v>
      </c>
      <c r="J1780" s="7">
        <v>-71.2196</v>
      </c>
      <c r="K1780" s="7">
        <v>46.8155</v>
      </c>
      <c r="L1780" s="7">
        <v>-71.268199999999993</v>
      </c>
      <c r="M1780" s="10" t="str">
        <f t="shared" si="167"/>
        <v>C24</v>
      </c>
      <c r="N1780" s="10" t="str">
        <f t="shared" si="168"/>
        <v>C39</v>
      </c>
      <c r="O1780" s="5">
        <f t="shared" si="169"/>
        <v>3.8621531114564611</v>
      </c>
      <c r="P1780" s="22">
        <f>O1780/Explications!$C$8</f>
        <v>0.1287384370485487</v>
      </c>
      <c r="Q1780" s="7" t="str">
        <f t="shared" si="170"/>
        <v>C39</v>
      </c>
      <c r="R1780" s="7" t="str">
        <f t="shared" si="171"/>
        <v>C24</v>
      </c>
      <c r="S1780" s="18">
        <f t="shared" si="172"/>
        <v>3.8621531114564611</v>
      </c>
      <c r="T1780" s="18">
        <f>S1780/Explications!$C$8</f>
        <v>0.1287384370485487</v>
      </c>
    </row>
    <row r="1781" spans="7:20">
      <c r="G1781" s="7" t="s">
        <v>40</v>
      </c>
      <c r="H1781" s="7" t="s">
        <v>56</v>
      </c>
      <c r="I1781" s="7">
        <v>46.805500000000002</v>
      </c>
      <c r="J1781" s="7">
        <v>-71.2196</v>
      </c>
      <c r="K1781" s="7">
        <v>46.866700000000002</v>
      </c>
      <c r="L1781" s="7">
        <v>-71.215900000000005</v>
      </c>
      <c r="M1781" s="10" t="str">
        <f t="shared" si="167"/>
        <v>C24</v>
      </c>
      <c r="N1781" s="10" t="str">
        <f t="shared" si="168"/>
        <v>C40</v>
      </c>
      <c r="O1781" s="5">
        <f t="shared" si="169"/>
        <v>6.8109471227123253</v>
      </c>
      <c r="P1781" s="22">
        <f>O1781/Explications!$C$8</f>
        <v>0.2270315707570775</v>
      </c>
      <c r="Q1781" s="7" t="str">
        <f t="shared" si="170"/>
        <v>C40</v>
      </c>
      <c r="R1781" s="7" t="str">
        <f t="shared" si="171"/>
        <v>C24</v>
      </c>
      <c r="S1781" s="18">
        <f t="shared" si="172"/>
        <v>6.8109471227123253</v>
      </c>
      <c r="T1781" s="18">
        <f>S1781/Explications!$C$8</f>
        <v>0.2270315707570775</v>
      </c>
    </row>
    <row r="1782" spans="7:20">
      <c r="G1782" s="7" t="s">
        <v>40</v>
      </c>
      <c r="H1782" s="7" t="s">
        <v>57</v>
      </c>
      <c r="I1782" s="7">
        <v>46.805500000000002</v>
      </c>
      <c r="J1782" s="7">
        <v>-71.2196</v>
      </c>
      <c r="K1782" s="7">
        <v>46.762099999999997</v>
      </c>
      <c r="L1782" s="7">
        <v>-71.235399999999998</v>
      </c>
      <c r="M1782" s="10" t="str">
        <f t="shared" si="167"/>
        <v>C24</v>
      </c>
      <c r="N1782" s="10" t="str">
        <f t="shared" si="168"/>
        <v>C41</v>
      </c>
      <c r="O1782" s="5">
        <f t="shared" si="169"/>
        <v>4.973550201489692</v>
      </c>
      <c r="P1782" s="22">
        <f>O1782/Explications!$C$8</f>
        <v>0.16578500671632307</v>
      </c>
      <c r="Q1782" s="7" t="str">
        <f t="shared" si="170"/>
        <v>C41</v>
      </c>
      <c r="R1782" s="7" t="str">
        <f t="shared" si="171"/>
        <v>C24</v>
      </c>
      <c r="S1782" s="18">
        <f t="shared" si="172"/>
        <v>4.973550201489692</v>
      </c>
      <c r="T1782" s="18">
        <f>S1782/Explications!$C$8</f>
        <v>0.16578500671632307</v>
      </c>
    </row>
    <row r="1783" spans="7:20">
      <c r="G1783" s="7" t="s">
        <v>40</v>
      </c>
      <c r="H1783" s="7" t="s">
        <v>58</v>
      </c>
      <c r="I1783" s="7">
        <v>46.805500000000002</v>
      </c>
      <c r="J1783" s="7">
        <v>-71.2196</v>
      </c>
      <c r="K1783" s="7">
        <v>46.8157</v>
      </c>
      <c r="L1783" s="7">
        <v>-71.2042</v>
      </c>
      <c r="M1783" s="10" t="str">
        <f t="shared" si="167"/>
        <v>C24</v>
      </c>
      <c r="N1783" s="10" t="str">
        <f t="shared" si="168"/>
        <v>C42</v>
      </c>
      <c r="O1783" s="5">
        <f t="shared" si="169"/>
        <v>1.6309324587978964</v>
      </c>
      <c r="P1783" s="22">
        <f>O1783/Explications!$C$8</f>
        <v>5.4364415293263212E-2</v>
      </c>
      <c r="Q1783" s="7" t="str">
        <f t="shared" si="170"/>
        <v>C42</v>
      </c>
      <c r="R1783" s="7" t="str">
        <f t="shared" si="171"/>
        <v>C24</v>
      </c>
      <c r="S1783" s="18">
        <f t="shared" si="172"/>
        <v>1.6309324587978964</v>
      </c>
      <c r="T1783" s="18">
        <f>S1783/Explications!$C$8</f>
        <v>5.4364415293263212E-2</v>
      </c>
    </row>
    <row r="1784" spans="7:20">
      <c r="G1784" s="7" t="s">
        <v>40</v>
      </c>
      <c r="H1784" s="7" t="s">
        <v>59</v>
      </c>
      <c r="I1784" s="7">
        <v>46.805500000000002</v>
      </c>
      <c r="J1784" s="7">
        <v>-71.2196</v>
      </c>
      <c r="K1784" s="7">
        <v>46.707000000000001</v>
      </c>
      <c r="L1784" s="7">
        <v>-71.217100000000002</v>
      </c>
      <c r="M1784" s="10" t="str">
        <f t="shared" si="167"/>
        <v>C24</v>
      </c>
      <c r="N1784" s="10" t="str">
        <f t="shared" si="168"/>
        <v>C43</v>
      </c>
      <c r="O1784" s="5">
        <f t="shared" si="169"/>
        <v>10.954355959846049</v>
      </c>
      <c r="P1784" s="22">
        <f>O1784/Explications!$C$8</f>
        <v>0.365145198661535</v>
      </c>
      <c r="Q1784" s="7" t="str">
        <f t="shared" si="170"/>
        <v>C43</v>
      </c>
      <c r="R1784" s="7" t="str">
        <f t="shared" si="171"/>
        <v>C24</v>
      </c>
      <c r="S1784" s="18">
        <f t="shared" si="172"/>
        <v>10.954355959846049</v>
      </c>
      <c r="T1784" s="18">
        <f>S1784/Explications!$C$8</f>
        <v>0.365145198661535</v>
      </c>
    </row>
    <row r="1785" spans="7:20">
      <c r="G1785" s="7" t="s">
        <v>40</v>
      </c>
      <c r="H1785" s="7" t="s">
        <v>60</v>
      </c>
      <c r="I1785" s="7">
        <v>46.805500000000002</v>
      </c>
      <c r="J1785" s="7">
        <v>-71.2196</v>
      </c>
      <c r="K1785" s="7">
        <v>46.802900000000001</v>
      </c>
      <c r="L1785" s="7">
        <v>-71.228899999999996</v>
      </c>
      <c r="M1785" s="10" t="str">
        <f t="shared" si="167"/>
        <v>C24</v>
      </c>
      <c r="N1785" s="10" t="str">
        <f t="shared" si="168"/>
        <v>C44</v>
      </c>
      <c r="O1785" s="5">
        <f t="shared" si="169"/>
        <v>0.7646080121193608</v>
      </c>
      <c r="P1785" s="22">
        <f>O1785/Explications!$C$8</f>
        <v>2.5486933737312027E-2</v>
      </c>
      <c r="Q1785" s="7" t="str">
        <f t="shared" si="170"/>
        <v>C44</v>
      </c>
      <c r="R1785" s="7" t="str">
        <f t="shared" si="171"/>
        <v>C24</v>
      </c>
      <c r="S1785" s="18">
        <f t="shared" si="172"/>
        <v>0.7646080121193608</v>
      </c>
      <c r="T1785" s="18">
        <f>S1785/Explications!$C$8</f>
        <v>2.5486933737312027E-2</v>
      </c>
    </row>
    <row r="1786" spans="7:20">
      <c r="G1786" s="7" t="s">
        <v>40</v>
      </c>
      <c r="H1786" s="7" t="s">
        <v>61</v>
      </c>
      <c r="I1786" s="7">
        <v>46.805500000000002</v>
      </c>
      <c r="J1786" s="7">
        <v>-71.2196</v>
      </c>
      <c r="K1786" s="7">
        <v>46.796900000000001</v>
      </c>
      <c r="L1786" s="7">
        <v>-71.3078</v>
      </c>
      <c r="M1786" s="10" t="str">
        <f t="shared" si="167"/>
        <v>C24</v>
      </c>
      <c r="N1786" s="10" t="str">
        <f t="shared" si="168"/>
        <v>C45</v>
      </c>
      <c r="O1786" s="5">
        <f t="shared" si="169"/>
        <v>6.7812367285672179</v>
      </c>
      <c r="P1786" s="22">
        <f>O1786/Explications!$C$8</f>
        <v>0.22604122428557394</v>
      </c>
      <c r="Q1786" s="7" t="str">
        <f t="shared" si="170"/>
        <v>C45</v>
      </c>
      <c r="R1786" s="7" t="str">
        <f t="shared" si="171"/>
        <v>C24</v>
      </c>
      <c r="S1786" s="18">
        <f t="shared" si="172"/>
        <v>6.7812367285672179</v>
      </c>
      <c r="T1786" s="18">
        <f>S1786/Explications!$C$8</f>
        <v>0.22604122428557394</v>
      </c>
    </row>
    <row r="1787" spans="7:20">
      <c r="G1787" s="7" t="s">
        <v>40</v>
      </c>
      <c r="H1787" s="7" t="s">
        <v>62</v>
      </c>
      <c r="I1787" s="7">
        <v>46.805500000000002</v>
      </c>
      <c r="J1787" s="7">
        <v>-71.2196</v>
      </c>
      <c r="K1787" s="7">
        <v>46.803600000000003</v>
      </c>
      <c r="L1787" s="7">
        <v>-71.231099999999998</v>
      </c>
      <c r="M1787" s="10" t="str">
        <f t="shared" si="167"/>
        <v>C24</v>
      </c>
      <c r="N1787" s="10" t="str">
        <f t="shared" si="168"/>
        <v>C46</v>
      </c>
      <c r="O1787" s="5">
        <f t="shared" si="169"/>
        <v>0.90042144526461443</v>
      </c>
      <c r="P1787" s="22">
        <f>O1787/Explications!$C$8</f>
        <v>3.0014048175487147E-2</v>
      </c>
      <c r="Q1787" s="7" t="str">
        <f t="shared" si="170"/>
        <v>C46</v>
      </c>
      <c r="R1787" s="7" t="str">
        <f t="shared" si="171"/>
        <v>C24</v>
      </c>
      <c r="S1787" s="18">
        <f t="shared" si="172"/>
        <v>0.90042144526461443</v>
      </c>
      <c r="T1787" s="18">
        <f>S1787/Explications!$C$8</f>
        <v>3.0014048175487147E-2</v>
      </c>
    </row>
    <row r="1788" spans="7:20">
      <c r="G1788" s="7" t="s">
        <v>40</v>
      </c>
      <c r="H1788" s="7" t="s">
        <v>63</v>
      </c>
      <c r="I1788" s="7">
        <v>46.805500000000002</v>
      </c>
      <c r="J1788" s="7">
        <v>-71.2196</v>
      </c>
      <c r="K1788" s="7">
        <v>46.802399999999999</v>
      </c>
      <c r="L1788" s="7">
        <v>-71.269800000000004</v>
      </c>
      <c r="M1788" s="10" t="str">
        <f t="shared" si="167"/>
        <v>C24</v>
      </c>
      <c r="N1788" s="10" t="str">
        <f t="shared" si="168"/>
        <v>C47</v>
      </c>
      <c r="O1788" s="5">
        <f t="shared" si="169"/>
        <v>3.8363688087113461</v>
      </c>
      <c r="P1788" s="22">
        <f>O1788/Explications!$C$8</f>
        <v>0.12787896029037821</v>
      </c>
      <c r="Q1788" s="7" t="str">
        <f t="shared" si="170"/>
        <v>C47</v>
      </c>
      <c r="R1788" s="7" t="str">
        <f t="shared" si="171"/>
        <v>C24</v>
      </c>
      <c r="S1788" s="18">
        <f t="shared" si="172"/>
        <v>3.8363688087113461</v>
      </c>
      <c r="T1788" s="18">
        <f>S1788/Explications!$C$8</f>
        <v>0.12787896029037821</v>
      </c>
    </row>
    <row r="1789" spans="7:20">
      <c r="G1789" s="7" t="s">
        <v>40</v>
      </c>
      <c r="H1789" s="7" t="s">
        <v>64</v>
      </c>
      <c r="I1789" s="7">
        <v>46.805500000000002</v>
      </c>
      <c r="J1789" s="7">
        <v>-71.2196</v>
      </c>
      <c r="K1789" s="7">
        <v>46.826799999999999</v>
      </c>
      <c r="L1789" s="7">
        <v>-71.224199999999996</v>
      </c>
      <c r="M1789" s="10" t="str">
        <f t="shared" si="167"/>
        <v>C24</v>
      </c>
      <c r="N1789" s="10" t="str">
        <f t="shared" si="168"/>
        <v>C48</v>
      </c>
      <c r="O1789" s="5">
        <f t="shared" si="169"/>
        <v>2.3941786672175858</v>
      </c>
      <c r="P1789" s="22">
        <f>O1789/Explications!$C$8</f>
        <v>7.9805955573919521E-2</v>
      </c>
      <c r="Q1789" s="7" t="str">
        <f t="shared" si="170"/>
        <v>C48</v>
      </c>
      <c r="R1789" s="7" t="str">
        <f t="shared" si="171"/>
        <v>C24</v>
      </c>
      <c r="S1789" s="18">
        <f t="shared" si="172"/>
        <v>2.3941786672175858</v>
      </c>
      <c r="T1789" s="18">
        <f>S1789/Explications!$C$8</f>
        <v>7.9805955573919521E-2</v>
      </c>
    </row>
    <row r="1790" spans="7:20">
      <c r="G1790" s="7" t="s">
        <v>40</v>
      </c>
      <c r="H1790" s="7" t="s">
        <v>65</v>
      </c>
      <c r="I1790" s="7">
        <v>46.805500000000002</v>
      </c>
      <c r="J1790" s="7">
        <v>-71.2196</v>
      </c>
      <c r="K1790" s="7">
        <v>46.864100000000001</v>
      </c>
      <c r="L1790" s="7">
        <v>-71.255499999999998</v>
      </c>
      <c r="M1790" s="10" t="str">
        <f t="shared" si="167"/>
        <v>C24</v>
      </c>
      <c r="N1790" s="10" t="str">
        <f t="shared" si="168"/>
        <v>C49</v>
      </c>
      <c r="O1790" s="5">
        <f t="shared" si="169"/>
        <v>7.0651413760778876</v>
      </c>
      <c r="P1790" s="22">
        <f>O1790/Explications!$C$8</f>
        <v>0.23550471253592958</v>
      </c>
      <c r="Q1790" s="7" t="str">
        <f t="shared" si="170"/>
        <v>C49</v>
      </c>
      <c r="R1790" s="7" t="str">
        <f t="shared" si="171"/>
        <v>C24</v>
      </c>
      <c r="S1790" s="18">
        <f t="shared" si="172"/>
        <v>7.0651413760778876</v>
      </c>
      <c r="T1790" s="18">
        <f>S1790/Explications!$C$8</f>
        <v>0.23550471253592958</v>
      </c>
    </row>
    <row r="1791" spans="7:20">
      <c r="G1791" s="7" t="s">
        <v>40</v>
      </c>
      <c r="H1791" s="7" t="s">
        <v>66</v>
      </c>
      <c r="I1791" s="7">
        <v>46.805500000000002</v>
      </c>
      <c r="J1791" s="7">
        <v>-71.2196</v>
      </c>
      <c r="K1791" s="7">
        <v>46.843800000000002</v>
      </c>
      <c r="L1791" s="7">
        <v>-71.247299999999996</v>
      </c>
      <c r="M1791" s="10" t="str">
        <f t="shared" si="167"/>
        <v>C24</v>
      </c>
      <c r="N1791" s="10" t="str">
        <f t="shared" si="168"/>
        <v>C50</v>
      </c>
      <c r="O1791" s="5">
        <f t="shared" si="169"/>
        <v>4.7517018203239134</v>
      </c>
      <c r="P1791" s="22">
        <f>O1791/Explications!$C$8</f>
        <v>0.15839006067746378</v>
      </c>
      <c r="Q1791" s="7" t="str">
        <f t="shared" si="170"/>
        <v>C50</v>
      </c>
      <c r="R1791" s="7" t="str">
        <f t="shared" si="171"/>
        <v>C24</v>
      </c>
      <c r="S1791" s="18">
        <f t="shared" si="172"/>
        <v>4.7517018203239134</v>
      </c>
      <c r="T1791" s="18">
        <f>S1791/Explications!$C$8</f>
        <v>0.15839006067746378</v>
      </c>
    </row>
    <row r="1792" spans="7:20">
      <c r="G1792" s="7" t="s">
        <v>40</v>
      </c>
      <c r="H1792" s="7" t="s">
        <v>67</v>
      </c>
      <c r="I1792" s="7">
        <v>46.805500000000002</v>
      </c>
      <c r="J1792" s="7">
        <v>-71.2196</v>
      </c>
      <c r="K1792" s="7">
        <v>46.765599999999999</v>
      </c>
      <c r="L1792" s="7">
        <v>-71.312100000000001</v>
      </c>
      <c r="M1792" s="10" t="str">
        <f t="shared" si="167"/>
        <v>C24</v>
      </c>
      <c r="N1792" s="10" t="str">
        <f t="shared" si="168"/>
        <v>C51</v>
      </c>
      <c r="O1792" s="5">
        <f t="shared" si="169"/>
        <v>8.3237864680544345</v>
      </c>
      <c r="P1792" s="22">
        <f>O1792/Explications!$C$8</f>
        <v>0.27745954893514779</v>
      </c>
      <c r="Q1792" s="7" t="str">
        <f t="shared" si="170"/>
        <v>C51</v>
      </c>
      <c r="R1792" s="7" t="str">
        <f t="shared" si="171"/>
        <v>C24</v>
      </c>
      <c r="S1792" s="18">
        <f t="shared" si="172"/>
        <v>8.3237864680544345</v>
      </c>
      <c r="T1792" s="18">
        <f>S1792/Explications!$C$8</f>
        <v>0.27745954893514779</v>
      </c>
    </row>
    <row r="1793" spans="7:20">
      <c r="G1793" s="7" t="s">
        <v>40</v>
      </c>
      <c r="H1793" s="7" t="s">
        <v>68</v>
      </c>
      <c r="I1793" s="7">
        <v>46.805500000000002</v>
      </c>
      <c r="J1793" s="7">
        <v>-71.2196</v>
      </c>
      <c r="K1793" s="7">
        <v>46.787599999999998</v>
      </c>
      <c r="L1793" s="7">
        <v>-71.288600000000002</v>
      </c>
      <c r="M1793" s="10" t="str">
        <f t="shared" si="167"/>
        <v>C24</v>
      </c>
      <c r="N1793" s="10" t="str">
        <f t="shared" si="168"/>
        <v>C52</v>
      </c>
      <c r="O1793" s="5">
        <f t="shared" si="169"/>
        <v>5.6169653098866634</v>
      </c>
      <c r="P1793" s="22">
        <f>O1793/Explications!$C$8</f>
        <v>0.1872321769962221</v>
      </c>
      <c r="Q1793" s="7" t="str">
        <f t="shared" si="170"/>
        <v>C52</v>
      </c>
      <c r="R1793" s="7" t="str">
        <f t="shared" si="171"/>
        <v>C24</v>
      </c>
      <c r="S1793" s="18">
        <f t="shared" si="172"/>
        <v>5.6169653098866634</v>
      </c>
      <c r="T1793" s="18">
        <f>S1793/Explications!$C$8</f>
        <v>0.1872321769962221</v>
      </c>
    </row>
    <row r="1794" spans="7:20">
      <c r="G1794" s="7" t="s">
        <v>40</v>
      </c>
      <c r="H1794" s="7" t="s">
        <v>69</v>
      </c>
      <c r="I1794" s="7">
        <v>46.805500000000002</v>
      </c>
      <c r="J1794" s="7">
        <v>-71.2196</v>
      </c>
      <c r="K1794" s="7">
        <v>46.764600000000002</v>
      </c>
      <c r="L1794" s="7">
        <v>-71.308300000000003</v>
      </c>
      <c r="M1794" s="10" t="str">
        <f t="shared" si="167"/>
        <v>C24</v>
      </c>
      <c r="N1794" s="10" t="str">
        <f t="shared" si="168"/>
        <v>C53</v>
      </c>
      <c r="O1794" s="5">
        <f t="shared" si="169"/>
        <v>8.1420920899210287</v>
      </c>
      <c r="P1794" s="22">
        <f>O1794/Explications!$C$8</f>
        <v>0.27140306966403427</v>
      </c>
      <c r="Q1794" s="7" t="str">
        <f t="shared" si="170"/>
        <v>C53</v>
      </c>
      <c r="R1794" s="7" t="str">
        <f t="shared" si="171"/>
        <v>C24</v>
      </c>
      <c r="S1794" s="18">
        <f t="shared" si="172"/>
        <v>8.1420920899210287</v>
      </c>
      <c r="T1794" s="18">
        <f>S1794/Explications!$C$8</f>
        <v>0.27140306966403427</v>
      </c>
    </row>
    <row r="1795" spans="7:20">
      <c r="G1795" s="7" t="s">
        <v>40</v>
      </c>
      <c r="H1795" s="7" t="s">
        <v>70</v>
      </c>
      <c r="I1795" s="7">
        <v>46.805500000000002</v>
      </c>
      <c r="J1795" s="7">
        <v>-71.2196</v>
      </c>
      <c r="K1795" s="7">
        <v>46.849699999999999</v>
      </c>
      <c r="L1795" s="7">
        <v>-71.097399999999993</v>
      </c>
      <c r="M1795" s="10" t="str">
        <f t="shared" si="167"/>
        <v>C24</v>
      </c>
      <c r="N1795" s="10" t="str">
        <f t="shared" si="168"/>
        <v>C54</v>
      </c>
      <c r="O1795" s="5">
        <f t="shared" si="169"/>
        <v>10.516040998242097</v>
      </c>
      <c r="P1795" s="22">
        <f>O1795/Explications!$C$8</f>
        <v>0.35053469994140324</v>
      </c>
      <c r="Q1795" s="7" t="str">
        <f t="shared" si="170"/>
        <v>C54</v>
      </c>
      <c r="R1795" s="7" t="str">
        <f t="shared" si="171"/>
        <v>C24</v>
      </c>
      <c r="S1795" s="18">
        <f t="shared" si="172"/>
        <v>10.516040998242097</v>
      </c>
      <c r="T1795" s="18">
        <f>S1795/Explications!$C$8</f>
        <v>0.35053469994140324</v>
      </c>
    </row>
    <row r="1796" spans="7:20">
      <c r="G1796" s="7" t="s">
        <v>40</v>
      </c>
      <c r="H1796" s="7" t="s">
        <v>71</v>
      </c>
      <c r="I1796" s="7">
        <v>46.805500000000002</v>
      </c>
      <c r="J1796" s="7">
        <v>-71.2196</v>
      </c>
      <c r="K1796" s="7">
        <v>46.788899999999998</v>
      </c>
      <c r="L1796" s="7">
        <v>-71.321399999999997</v>
      </c>
      <c r="M1796" s="10" t="str">
        <f t="shared" ref="M1796:M1859" si="173">G1796</f>
        <v>C24</v>
      </c>
      <c r="N1796" s="10" t="str">
        <f t="shared" ref="N1796:N1859" si="174">H1796</f>
        <v>C55</v>
      </c>
      <c r="O1796" s="5">
        <f t="shared" ref="O1796:O1859" si="175">ACOS(SIN(RADIANS(I1796))*SIN(RADIANS(K1796))+COS(RADIANS(I1796))*COS(RADIANS(K1796))*COS(RADIANS(J1796-L1796)))*6371</f>
        <v>7.9660343494608723</v>
      </c>
      <c r="P1796" s="22">
        <f>O1796/Explications!$C$8</f>
        <v>0.26553447831536242</v>
      </c>
      <c r="Q1796" s="7" t="str">
        <f t="shared" ref="Q1796:Q1859" si="176">N1796</f>
        <v>C55</v>
      </c>
      <c r="R1796" s="7" t="str">
        <f t="shared" ref="R1796:R1859" si="177">M1796</f>
        <v>C24</v>
      </c>
      <c r="S1796" s="18">
        <f t="shared" ref="S1796:S1859" si="178">O1796</f>
        <v>7.9660343494608723</v>
      </c>
      <c r="T1796" s="18">
        <f>S1796/Explications!$C$8</f>
        <v>0.26553447831536242</v>
      </c>
    </row>
    <row r="1797" spans="7:20">
      <c r="G1797" s="7" t="s">
        <v>40</v>
      </c>
      <c r="H1797" s="7" t="s">
        <v>72</v>
      </c>
      <c r="I1797" s="7">
        <v>46.805500000000002</v>
      </c>
      <c r="J1797" s="7">
        <v>-71.2196</v>
      </c>
      <c r="K1797" s="7">
        <v>46.795400000000001</v>
      </c>
      <c r="L1797" s="7">
        <v>-71.232600000000005</v>
      </c>
      <c r="M1797" s="10" t="str">
        <f t="shared" si="173"/>
        <v>C24</v>
      </c>
      <c r="N1797" s="10" t="str">
        <f t="shared" si="174"/>
        <v>C56</v>
      </c>
      <c r="O1797" s="5">
        <f t="shared" si="175"/>
        <v>1.4968128949577681</v>
      </c>
      <c r="P1797" s="22">
        <f>O1797/Explications!$C$8</f>
        <v>4.9893763165258939E-2</v>
      </c>
      <c r="Q1797" s="7" t="str">
        <f t="shared" si="176"/>
        <v>C56</v>
      </c>
      <c r="R1797" s="7" t="str">
        <f t="shared" si="177"/>
        <v>C24</v>
      </c>
      <c r="S1797" s="18">
        <f t="shared" si="178"/>
        <v>1.4968128949577681</v>
      </c>
      <c r="T1797" s="18">
        <f>S1797/Explications!$C$8</f>
        <v>4.9893763165258939E-2</v>
      </c>
    </row>
    <row r="1798" spans="7:20">
      <c r="G1798" s="7" t="s">
        <v>40</v>
      </c>
      <c r="H1798" s="7" t="s">
        <v>73</v>
      </c>
      <c r="I1798" s="7">
        <v>46.805500000000002</v>
      </c>
      <c r="J1798" s="7">
        <v>-71.2196</v>
      </c>
      <c r="K1798" s="7">
        <v>46.801200000000001</v>
      </c>
      <c r="L1798" s="7">
        <v>-71.224999999999994</v>
      </c>
      <c r="M1798" s="10" t="str">
        <f t="shared" si="173"/>
        <v>C24</v>
      </c>
      <c r="N1798" s="10" t="str">
        <f t="shared" si="174"/>
        <v>C57</v>
      </c>
      <c r="O1798" s="5">
        <f t="shared" si="175"/>
        <v>0.63051359468310397</v>
      </c>
      <c r="P1798" s="22">
        <f>O1798/Explications!$C$8</f>
        <v>2.1017119822770134E-2</v>
      </c>
      <c r="Q1798" s="7" t="str">
        <f t="shared" si="176"/>
        <v>C57</v>
      </c>
      <c r="R1798" s="7" t="str">
        <f t="shared" si="177"/>
        <v>C24</v>
      </c>
      <c r="S1798" s="18">
        <f t="shared" si="178"/>
        <v>0.63051359468310397</v>
      </c>
      <c r="T1798" s="18">
        <f>S1798/Explications!$C$8</f>
        <v>2.1017119822770134E-2</v>
      </c>
    </row>
    <row r="1799" spans="7:20">
      <c r="G1799" s="7" t="s">
        <v>40</v>
      </c>
      <c r="H1799" s="7" t="s">
        <v>74</v>
      </c>
      <c r="I1799" s="7">
        <v>46.805500000000002</v>
      </c>
      <c r="J1799" s="7">
        <v>-71.2196</v>
      </c>
      <c r="K1799" s="7">
        <v>46.773200000000003</v>
      </c>
      <c r="L1799" s="7">
        <v>-71.275899999999993</v>
      </c>
      <c r="M1799" s="10" t="str">
        <f t="shared" si="173"/>
        <v>C24</v>
      </c>
      <c r="N1799" s="10" t="str">
        <f t="shared" si="174"/>
        <v>C58</v>
      </c>
      <c r="O1799" s="5">
        <f t="shared" si="175"/>
        <v>5.5921315397904117</v>
      </c>
      <c r="P1799" s="22">
        <f>O1799/Explications!$C$8</f>
        <v>0.1864043846596804</v>
      </c>
      <c r="Q1799" s="7" t="str">
        <f t="shared" si="176"/>
        <v>C58</v>
      </c>
      <c r="R1799" s="7" t="str">
        <f t="shared" si="177"/>
        <v>C24</v>
      </c>
      <c r="S1799" s="18">
        <f t="shared" si="178"/>
        <v>5.5921315397904117</v>
      </c>
      <c r="T1799" s="18">
        <f>S1799/Explications!$C$8</f>
        <v>0.1864043846596804</v>
      </c>
    </row>
    <row r="1800" spans="7:20">
      <c r="G1800" s="7" t="s">
        <v>40</v>
      </c>
      <c r="H1800" s="7" t="s">
        <v>75</v>
      </c>
      <c r="I1800" s="7">
        <v>46.805500000000002</v>
      </c>
      <c r="J1800" s="7">
        <v>-71.2196</v>
      </c>
      <c r="K1800" s="7">
        <v>46.814399999999999</v>
      </c>
      <c r="L1800" s="7">
        <v>-71.225700000000003</v>
      </c>
      <c r="M1800" s="10" t="str">
        <f t="shared" si="173"/>
        <v>C24</v>
      </c>
      <c r="N1800" s="10" t="str">
        <f t="shared" si="174"/>
        <v>C59</v>
      </c>
      <c r="O1800" s="5">
        <f t="shared" si="175"/>
        <v>1.0931107922076531</v>
      </c>
      <c r="P1800" s="22">
        <f>O1800/Explications!$C$8</f>
        <v>3.6437026406921771E-2</v>
      </c>
      <c r="Q1800" s="7" t="str">
        <f t="shared" si="176"/>
        <v>C59</v>
      </c>
      <c r="R1800" s="7" t="str">
        <f t="shared" si="177"/>
        <v>C24</v>
      </c>
      <c r="S1800" s="18">
        <f t="shared" si="178"/>
        <v>1.0931107922076531</v>
      </c>
      <c r="T1800" s="18">
        <f>S1800/Explications!$C$8</f>
        <v>3.6437026406921771E-2</v>
      </c>
    </row>
    <row r="1801" spans="7:20">
      <c r="G1801" s="7" t="s">
        <v>40</v>
      </c>
      <c r="H1801" s="7" t="s">
        <v>76</v>
      </c>
      <c r="I1801" s="7">
        <v>46.805500000000002</v>
      </c>
      <c r="J1801" s="7">
        <v>-71.2196</v>
      </c>
      <c r="K1801" s="7">
        <v>46.772500000000001</v>
      </c>
      <c r="L1801" s="7">
        <v>-71.276300000000006</v>
      </c>
      <c r="M1801" s="10" t="str">
        <f t="shared" si="173"/>
        <v>C24</v>
      </c>
      <c r="N1801" s="10" t="str">
        <f t="shared" si="174"/>
        <v>C60</v>
      </c>
      <c r="O1801" s="5">
        <f t="shared" si="175"/>
        <v>5.6656280655159597</v>
      </c>
      <c r="P1801" s="22">
        <f>O1801/Explications!$C$8</f>
        <v>0.188854268850532</v>
      </c>
      <c r="Q1801" s="7" t="str">
        <f t="shared" si="176"/>
        <v>C60</v>
      </c>
      <c r="R1801" s="7" t="str">
        <f t="shared" si="177"/>
        <v>C24</v>
      </c>
      <c r="S1801" s="18">
        <f t="shared" si="178"/>
        <v>5.6656280655159597</v>
      </c>
      <c r="T1801" s="18">
        <f>S1801/Explications!$C$8</f>
        <v>0.188854268850532</v>
      </c>
    </row>
    <row r="1802" spans="7:20">
      <c r="G1802" s="7" t="s">
        <v>40</v>
      </c>
      <c r="H1802" s="7" t="s">
        <v>77</v>
      </c>
      <c r="I1802" s="7">
        <v>46.805500000000002</v>
      </c>
      <c r="J1802" s="7">
        <v>-71.2196</v>
      </c>
      <c r="K1802" s="7">
        <v>46.810899999999997</v>
      </c>
      <c r="L1802" s="7">
        <v>-71.215599999999995</v>
      </c>
      <c r="M1802" s="10" t="str">
        <f t="shared" si="173"/>
        <v>C24</v>
      </c>
      <c r="N1802" s="10" t="str">
        <f t="shared" si="174"/>
        <v>C61</v>
      </c>
      <c r="O1802" s="5">
        <f t="shared" si="175"/>
        <v>0.67321517619373372</v>
      </c>
      <c r="P1802" s="22">
        <f>O1802/Explications!$C$8</f>
        <v>2.2440505873124458E-2</v>
      </c>
      <c r="Q1802" s="7" t="str">
        <f t="shared" si="176"/>
        <v>C61</v>
      </c>
      <c r="R1802" s="7" t="str">
        <f t="shared" si="177"/>
        <v>C24</v>
      </c>
      <c r="S1802" s="18">
        <f t="shared" si="178"/>
        <v>0.67321517619373372</v>
      </c>
      <c r="T1802" s="18">
        <f>S1802/Explications!$C$8</f>
        <v>2.2440505873124458E-2</v>
      </c>
    </row>
    <row r="1803" spans="7:20">
      <c r="G1803" s="7" t="s">
        <v>40</v>
      </c>
      <c r="H1803" s="7" t="s">
        <v>78</v>
      </c>
      <c r="I1803" s="7">
        <v>46.805500000000002</v>
      </c>
      <c r="J1803" s="7">
        <v>-71.2196</v>
      </c>
      <c r="K1803" s="7">
        <v>46.795200000000001</v>
      </c>
      <c r="L1803" s="7">
        <v>-71.245099999999994</v>
      </c>
      <c r="M1803" s="10" t="str">
        <f t="shared" si="173"/>
        <v>C24</v>
      </c>
      <c r="N1803" s="10" t="str">
        <f t="shared" si="174"/>
        <v>C62</v>
      </c>
      <c r="O1803" s="5">
        <f t="shared" si="175"/>
        <v>2.2537109466402647</v>
      </c>
      <c r="P1803" s="22">
        <f>O1803/Explications!$C$8</f>
        <v>7.5123698221342156E-2</v>
      </c>
      <c r="Q1803" s="7" t="str">
        <f t="shared" si="176"/>
        <v>C62</v>
      </c>
      <c r="R1803" s="7" t="str">
        <f t="shared" si="177"/>
        <v>C24</v>
      </c>
      <c r="S1803" s="18">
        <f t="shared" si="178"/>
        <v>2.2537109466402647</v>
      </c>
      <c r="T1803" s="18">
        <f>S1803/Explications!$C$8</f>
        <v>7.5123698221342156E-2</v>
      </c>
    </row>
    <row r="1804" spans="7:20">
      <c r="G1804" s="7" t="s">
        <v>40</v>
      </c>
      <c r="H1804" s="7" t="s">
        <v>79</v>
      </c>
      <c r="I1804" s="7">
        <v>46.805500000000002</v>
      </c>
      <c r="J1804" s="7">
        <v>-71.2196</v>
      </c>
      <c r="K1804" s="7">
        <v>46.822000000000003</v>
      </c>
      <c r="L1804" s="7">
        <v>-71.345699999999994</v>
      </c>
      <c r="M1804" s="10" t="str">
        <f t="shared" si="173"/>
        <v>C24</v>
      </c>
      <c r="N1804" s="10" t="str">
        <f t="shared" si="174"/>
        <v>C63</v>
      </c>
      <c r="O1804" s="5">
        <f t="shared" si="175"/>
        <v>9.7698662805484791</v>
      </c>
      <c r="P1804" s="22">
        <f>O1804/Explications!$C$8</f>
        <v>0.32566220935161599</v>
      </c>
      <c r="Q1804" s="7" t="str">
        <f t="shared" si="176"/>
        <v>C63</v>
      </c>
      <c r="R1804" s="7" t="str">
        <f t="shared" si="177"/>
        <v>C24</v>
      </c>
      <c r="S1804" s="18">
        <f t="shared" si="178"/>
        <v>9.7698662805484791</v>
      </c>
      <c r="T1804" s="18">
        <f>S1804/Explications!$C$8</f>
        <v>0.32566220935161599</v>
      </c>
    </row>
    <row r="1805" spans="7:20">
      <c r="G1805" s="7" t="s">
        <v>40</v>
      </c>
      <c r="H1805" s="7" t="s">
        <v>80</v>
      </c>
      <c r="I1805" s="7">
        <v>46.805500000000002</v>
      </c>
      <c r="J1805" s="7">
        <v>-71.2196</v>
      </c>
      <c r="K1805" s="7">
        <v>46.779400000000003</v>
      </c>
      <c r="L1805" s="7">
        <v>-71.350399999999993</v>
      </c>
      <c r="M1805" s="10" t="str">
        <f t="shared" si="173"/>
        <v>C24</v>
      </c>
      <c r="N1805" s="10" t="str">
        <f t="shared" si="174"/>
        <v>C64</v>
      </c>
      <c r="O1805" s="5">
        <f t="shared" si="175"/>
        <v>10.371958158347031</v>
      </c>
      <c r="P1805" s="22">
        <f>O1805/Explications!$C$8</f>
        <v>0.3457319386115677</v>
      </c>
      <c r="Q1805" s="7" t="str">
        <f t="shared" si="176"/>
        <v>C64</v>
      </c>
      <c r="R1805" s="7" t="str">
        <f t="shared" si="177"/>
        <v>C24</v>
      </c>
      <c r="S1805" s="18">
        <f t="shared" si="178"/>
        <v>10.371958158347031</v>
      </c>
      <c r="T1805" s="18">
        <f>S1805/Explications!$C$8</f>
        <v>0.3457319386115677</v>
      </c>
    </row>
    <row r="1806" spans="7:20">
      <c r="G1806" s="7" t="s">
        <v>40</v>
      </c>
      <c r="H1806" s="7" t="s">
        <v>81</v>
      </c>
      <c r="I1806" s="7">
        <v>46.805500000000002</v>
      </c>
      <c r="J1806" s="7">
        <v>-71.2196</v>
      </c>
      <c r="K1806" s="7">
        <v>46.772300000000001</v>
      </c>
      <c r="L1806" s="7">
        <v>-71.279799999999994</v>
      </c>
      <c r="M1806" s="10" t="str">
        <f t="shared" si="173"/>
        <v>C24</v>
      </c>
      <c r="N1806" s="10" t="str">
        <f t="shared" si="174"/>
        <v>C65</v>
      </c>
      <c r="O1806" s="5">
        <f t="shared" si="175"/>
        <v>5.8851250301115066</v>
      </c>
      <c r="P1806" s="22">
        <f>O1806/Explications!$C$8</f>
        <v>0.19617083433705021</v>
      </c>
      <c r="Q1806" s="7" t="str">
        <f t="shared" si="176"/>
        <v>C65</v>
      </c>
      <c r="R1806" s="7" t="str">
        <f t="shared" si="177"/>
        <v>C24</v>
      </c>
      <c r="S1806" s="18">
        <f t="shared" si="178"/>
        <v>5.8851250301115066</v>
      </c>
      <c r="T1806" s="18">
        <f>S1806/Explications!$C$8</f>
        <v>0.19617083433705021</v>
      </c>
    </row>
    <row r="1807" spans="7:20">
      <c r="G1807" s="7" t="s">
        <v>40</v>
      </c>
      <c r="H1807" s="7" t="s">
        <v>82</v>
      </c>
      <c r="I1807" s="7">
        <v>46.805500000000002</v>
      </c>
      <c r="J1807" s="7">
        <v>-71.2196</v>
      </c>
      <c r="K1807" s="7">
        <v>46.814900000000002</v>
      </c>
      <c r="L1807" s="7">
        <v>-71.225200000000001</v>
      </c>
      <c r="M1807" s="10" t="str">
        <f t="shared" si="173"/>
        <v>C24</v>
      </c>
      <c r="N1807" s="10" t="str">
        <f t="shared" si="174"/>
        <v>C66</v>
      </c>
      <c r="O1807" s="5">
        <f t="shared" si="175"/>
        <v>1.1287784346854044</v>
      </c>
      <c r="P1807" s="22">
        <f>O1807/Explications!$C$8</f>
        <v>3.7625947822846811E-2</v>
      </c>
      <c r="Q1807" s="7" t="str">
        <f t="shared" si="176"/>
        <v>C66</v>
      </c>
      <c r="R1807" s="7" t="str">
        <f t="shared" si="177"/>
        <v>C24</v>
      </c>
      <c r="S1807" s="18">
        <f t="shared" si="178"/>
        <v>1.1287784346854044</v>
      </c>
      <c r="T1807" s="18">
        <f>S1807/Explications!$C$8</f>
        <v>3.7625947822846811E-2</v>
      </c>
    </row>
    <row r="1808" spans="7:20">
      <c r="G1808" s="7" t="s">
        <v>40</v>
      </c>
      <c r="H1808" s="7" t="s">
        <v>83</v>
      </c>
      <c r="I1808" s="7">
        <v>46.805500000000002</v>
      </c>
      <c r="J1808" s="7">
        <v>-71.2196</v>
      </c>
      <c r="K1808" s="7">
        <v>46.814700000000002</v>
      </c>
      <c r="L1808" s="7">
        <v>-71.207300000000004</v>
      </c>
      <c r="M1808" s="10" t="str">
        <f t="shared" si="173"/>
        <v>C24</v>
      </c>
      <c r="N1808" s="10" t="str">
        <f t="shared" si="174"/>
        <v>C67</v>
      </c>
      <c r="O1808" s="5">
        <f t="shared" si="175"/>
        <v>1.386635039398471</v>
      </c>
      <c r="P1808" s="22">
        <f>O1808/Explications!$C$8</f>
        <v>4.6221167979949032E-2</v>
      </c>
      <c r="Q1808" s="7" t="str">
        <f t="shared" si="176"/>
        <v>C67</v>
      </c>
      <c r="R1808" s="7" t="str">
        <f t="shared" si="177"/>
        <v>C24</v>
      </c>
      <c r="S1808" s="18">
        <f t="shared" si="178"/>
        <v>1.386635039398471</v>
      </c>
      <c r="T1808" s="18">
        <f>S1808/Explications!$C$8</f>
        <v>4.6221167979949032E-2</v>
      </c>
    </row>
    <row r="1809" spans="7:20">
      <c r="G1809" s="7" t="s">
        <v>40</v>
      </c>
      <c r="H1809" s="7" t="s">
        <v>84</v>
      </c>
      <c r="I1809" s="7">
        <v>46.805500000000002</v>
      </c>
      <c r="J1809" s="7">
        <v>-71.2196</v>
      </c>
      <c r="K1809" s="7">
        <v>46.815600000000003</v>
      </c>
      <c r="L1809" s="7">
        <v>-71.2029</v>
      </c>
      <c r="M1809" s="10" t="str">
        <f t="shared" si="173"/>
        <v>C24</v>
      </c>
      <c r="N1809" s="10" t="str">
        <f t="shared" si="174"/>
        <v>C68</v>
      </c>
      <c r="O1809" s="5">
        <f t="shared" si="175"/>
        <v>1.6960340355531089</v>
      </c>
      <c r="P1809" s="22">
        <f>O1809/Explications!$C$8</f>
        <v>5.6534467851770298E-2</v>
      </c>
      <c r="Q1809" s="7" t="str">
        <f t="shared" si="176"/>
        <v>C68</v>
      </c>
      <c r="R1809" s="7" t="str">
        <f t="shared" si="177"/>
        <v>C24</v>
      </c>
      <c r="S1809" s="18">
        <f t="shared" si="178"/>
        <v>1.6960340355531089</v>
      </c>
      <c r="T1809" s="18">
        <f>S1809/Explications!$C$8</f>
        <v>5.6534467851770298E-2</v>
      </c>
    </row>
    <row r="1810" spans="7:20">
      <c r="G1810" s="7" t="s">
        <v>40</v>
      </c>
      <c r="H1810" s="7" t="s">
        <v>85</v>
      </c>
      <c r="I1810" s="7">
        <v>46.805500000000002</v>
      </c>
      <c r="J1810" s="7">
        <v>-71.2196</v>
      </c>
      <c r="K1810" s="7">
        <v>46.821899999999999</v>
      </c>
      <c r="L1810" s="7">
        <v>-71.249899999999997</v>
      </c>
      <c r="M1810" s="10" t="str">
        <f t="shared" si="173"/>
        <v>C24</v>
      </c>
      <c r="N1810" s="10" t="str">
        <f t="shared" si="174"/>
        <v>C69</v>
      </c>
      <c r="O1810" s="5">
        <f t="shared" si="175"/>
        <v>2.9397596445670544</v>
      </c>
      <c r="P1810" s="22">
        <f>O1810/Explications!$C$8</f>
        <v>9.7991988152235143E-2</v>
      </c>
      <c r="Q1810" s="7" t="str">
        <f t="shared" si="176"/>
        <v>C69</v>
      </c>
      <c r="R1810" s="7" t="str">
        <f t="shared" si="177"/>
        <v>C24</v>
      </c>
      <c r="S1810" s="18">
        <f t="shared" si="178"/>
        <v>2.9397596445670544</v>
      </c>
      <c r="T1810" s="18">
        <f>S1810/Explications!$C$8</f>
        <v>9.7991988152235143E-2</v>
      </c>
    </row>
    <row r="1811" spans="7:20">
      <c r="G1811" s="7" t="s">
        <v>40</v>
      </c>
      <c r="H1811" s="7" t="s">
        <v>86</v>
      </c>
      <c r="I1811" s="7">
        <v>46.805500000000002</v>
      </c>
      <c r="J1811" s="7">
        <v>-71.2196</v>
      </c>
      <c r="K1811" s="7">
        <v>46.8872</v>
      </c>
      <c r="L1811" s="7">
        <v>-71.27</v>
      </c>
      <c r="M1811" s="10" t="str">
        <f t="shared" si="173"/>
        <v>C24</v>
      </c>
      <c r="N1811" s="10" t="str">
        <f t="shared" si="174"/>
        <v>C70</v>
      </c>
      <c r="O1811" s="5">
        <f t="shared" si="175"/>
        <v>9.860156033426037</v>
      </c>
      <c r="P1811" s="22">
        <f>O1811/Explications!$C$8</f>
        <v>0.32867186778086788</v>
      </c>
      <c r="Q1811" s="7" t="str">
        <f t="shared" si="176"/>
        <v>C70</v>
      </c>
      <c r="R1811" s="7" t="str">
        <f t="shared" si="177"/>
        <v>C24</v>
      </c>
      <c r="S1811" s="18">
        <f t="shared" si="178"/>
        <v>9.860156033426037</v>
      </c>
      <c r="T1811" s="18">
        <f>S1811/Explications!$C$8</f>
        <v>0.32867186778086788</v>
      </c>
    </row>
    <row r="1812" spans="7:20">
      <c r="G1812" s="7" t="s">
        <v>40</v>
      </c>
      <c r="H1812" s="7" t="s">
        <v>87</v>
      </c>
      <c r="I1812" s="7">
        <v>46.805500000000002</v>
      </c>
      <c r="J1812" s="7">
        <v>-71.2196</v>
      </c>
      <c r="K1812" s="7">
        <v>46.816299999999998</v>
      </c>
      <c r="L1812" s="7">
        <v>-71.210300000000004</v>
      </c>
      <c r="M1812" s="10" t="str">
        <f t="shared" si="173"/>
        <v>C24</v>
      </c>
      <c r="N1812" s="10" t="str">
        <f t="shared" si="174"/>
        <v>C71</v>
      </c>
      <c r="O1812" s="5">
        <f t="shared" si="175"/>
        <v>1.3939480530871371</v>
      </c>
      <c r="P1812" s="22">
        <f>O1812/Explications!$C$8</f>
        <v>4.6464935102904573E-2</v>
      </c>
      <c r="Q1812" s="7" t="str">
        <f t="shared" si="176"/>
        <v>C71</v>
      </c>
      <c r="R1812" s="7" t="str">
        <f t="shared" si="177"/>
        <v>C24</v>
      </c>
      <c r="S1812" s="18">
        <f t="shared" si="178"/>
        <v>1.3939480530871371</v>
      </c>
      <c r="T1812" s="18">
        <f>S1812/Explications!$C$8</f>
        <v>4.6464935102904573E-2</v>
      </c>
    </row>
    <row r="1813" spans="7:20">
      <c r="G1813" s="7" t="s">
        <v>40</v>
      </c>
      <c r="H1813" s="7" t="s">
        <v>88</v>
      </c>
      <c r="I1813" s="7">
        <v>46.805500000000002</v>
      </c>
      <c r="J1813" s="7">
        <v>-71.2196</v>
      </c>
      <c r="K1813" s="7">
        <v>46.807000000000002</v>
      </c>
      <c r="L1813" s="7">
        <v>-71.3566</v>
      </c>
      <c r="M1813" s="10" t="str">
        <f t="shared" si="173"/>
        <v>C24</v>
      </c>
      <c r="N1813" s="10" t="str">
        <f t="shared" si="174"/>
        <v>C72</v>
      </c>
      <c r="O1813" s="5">
        <f t="shared" si="175"/>
        <v>10.428309837166026</v>
      </c>
      <c r="P1813" s="22">
        <f>O1813/Explications!$C$8</f>
        <v>0.3476103279055342</v>
      </c>
      <c r="Q1813" s="7" t="str">
        <f t="shared" si="176"/>
        <v>C72</v>
      </c>
      <c r="R1813" s="7" t="str">
        <f t="shared" si="177"/>
        <v>C24</v>
      </c>
      <c r="S1813" s="18">
        <f t="shared" si="178"/>
        <v>10.428309837166026</v>
      </c>
      <c r="T1813" s="18">
        <f>S1813/Explications!$C$8</f>
        <v>0.3476103279055342</v>
      </c>
    </row>
    <row r="1814" spans="7:20">
      <c r="G1814" s="7" t="s">
        <v>40</v>
      </c>
      <c r="H1814" s="7" t="s">
        <v>89</v>
      </c>
      <c r="I1814" s="7">
        <v>46.805500000000002</v>
      </c>
      <c r="J1814" s="7">
        <v>-71.2196</v>
      </c>
      <c r="K1814" s="7">
        <v>46.822899999999997</v>
      </c>
      <c r="L1814" s="7">
        <v>-71.341899999999995</v>
      </c>
      <c r="M1814" s="10" t="str">
        <f t="shared" si="173"/>
        <v>C24</v>
      </c>
      <c r="N1814" s="10" t="str">
        <f t="shared" si="174"/>
        <v>C73</v>
      </c>
      <c r="O1814" s="5">
        <f t="shared" si="175"/>
        <v>9.5057783040760668</v>
      </c>
      <c r="P1814" s="22">
        <f>O1814/Explications!$C$8</f>
        <v>0.31685927680253556</v>
      </c>
      <c r="Q1814" s="7" t="str">
        <f t="shared" si="176"/>
        <v>C73</v>
      </c>
      <c r="R1814" s="7" t="str">
        <f t="shared" si="177"/>
        <v>C24</v>
      </c>
      <c r="S1814" s="18">
        <f t="shared" si="178"/>
        <v>9.5057783040760668</v>
      </c>
      <c r="T1814" s="18">
        <f>S1814/Explications!$C$8</f>
        <v>0.31685927680253556</v>
      </c>
    </row>
    <row r="1815" spans="7:20">
      <c r="G1815" s="7" t="s">
        <v>40</v>
      </c>
      <c r="H1815" s="7" t="s">
        <v>90</v>
      </c>
      <c r="I1815" s="7">
        <v>46.805500000000002</v>
      </c>
      <c r="J1815" s="7">
        <v>-71.2196</v>
      </c>
      <c r="K1815" s="7">
        <v>46.730699999999999</v>
      </c>
      <c r="L1815" s="7">
        <v>-71.261099999999999</v>
      </c>
      <c r="M1815" s="10" t="str">
        <f t="shared" si="173"/>
        <v>C24</v>
      </c>
      <c r="N1815" s="10" t="str">
        <f t="shared" si="174"/>
        <v>C74</v>
      </c>
      <c r="O1815" s="5">
        <f t="shared" si="175"/>
        <v>8.8977142356470047</v>
      </c>
      <c r="P1815" s="22">
        <f>O1815/Explications!$C$8</f>
        <v>0.29659047452156684</v>
      </c>
      <c r="Q1815" s="7" t="str">
        <f t="shared" si="176"/>
        <v>C74</v>
      </c>
      <c r="R1815" s="7" t="str">
        <f t="shared" si="177"/>
        <v>C24</v>
      </c>
      <c r="S1815" s="18">
        <f t="shared" si="178"/>
        <v>8.8977142356470047</v>
      </c>
      <c r="T1815" s="18">
        <f>S1815/Explications!$C$8</f>
        <v>0.29659047452156684</v>
      </c>
    </row>
    <row r="1816" spans="7:20">
      <c r="G1816" s="7" t="s">
        <v>40</v>
      </c>
      <c r="H1816" s="7" t="s">
        <v>91</v>
      </c>
      <c r="I1816" s="7">
        <v>46.805500000000002</v>
      </c>
      <c r="J1816" s="7">
        <v>-71.2196</v>
      </c>
      <c r="K1816" s="7">
        <v>46.840600000000002</v>
      </c>
      <c r="L1816" s="7">
        <v>-71.289100000000005</v>
      </c>
      <c r="M1816" s="10" t="str">
        <f t="shared" si="173"/>
        <v>C24</v>
      </c>
      <c r="N1816" s="10" t="str">
        <f t="shared" si="174"/>
        <v>C75</v>
      </c>
      <c r="O1816" s="5">
        <f t="shared" si="175"/>
        <v>6.5723146444771157</v>
      </c>
      <c r="P1816" s="22">
        <f>O1816/Explications!$C$8</f>
        <v>0.21907715481590387</v>
      </c>
      <c r="Q1816" s="7" t="str">
        <f t="shared" si="176"/>
        <v>C75</v>
      </c>
      <c r="R1816" s="7" t="str">
        <f t="shared" si="177"/>
        <v>C24</v>
      </c>
      <c r="S1816" s="18">
        <f t="shared" si="178"/>
        <v>6.5723146444771157</v>
      </c>
      <c r="T1816" s="18">
        <f>S1816/Explications!$C$8</f>
        <v>0.21907715481590387</v>
      </c>
    </row>
    <row r="1817" spans="7:20">
      <c r="G1817" s="7" t="s">
        <v>40</v>
      </c>
      <c r="H1817" s="7" t="s">
        <v>92</v>
      </c>
      <c r="I1817" s="7">
        <v>46.805500000000002</v>
      </c>
      <c r="J1817" s="7">
        <v>-71.2196</v>
      </c>
      <c r="K1817" s="7">
        <v>46.840600000000002</v>
      </c>
      <c r="L1817" s="7">
        <v>-71.281599999999997</v>
      </c>
      <c r="M1817" s="10" t="str">
        <f t="shared" si="173"/>
        <v>C24</v>
      </c>
      <c r="N1817" s="10" t="str">
        <f t="shared" si="174"/>
        <v>C76</v>
      </c>
      <c r="O1817" s="5">
        <f t="shared" si="175"/>
        <v>6.1225737444155257</v>
      </c>
      <c r="P1817" s="22">
        <f>O1817/Explications!$C$8</f>
        <v>0.20408579148051753</v>
      </c>
      <c r="Q1817" s="7" t="str">
        <f t="shared" si="176"/>
        <v>C76</v>
      </c>
      <c r="R1817" s="7" t="str">
        <f t="shared" si="177"/>
        <v>C24</v>
      </c>
      <c r="S1817" s="18">
        <f t="shared" si="178"/>
        <v>6.1225737444155257</v>
      </c>
      <c r="T1817" s="18">
        <f>S1817/Explications!$C$8</f>
        <v>0.20408579148051753</v>
      </c>
    </row>
    <row r="1818" spans="7:20">
      <c r="G1818" s="7" t="s">
        <v>40</v>
      </c>
      <c r="H1818" s="7" t="s">
        <v>93</v>
      </c>
      <c r="I1818" s="7">
        <v>46.805500000000002</v>
      </c>
      <c r="J1818" s="7">
        <v>-71.2196</v>
      </c>
      <c r="K1818" s="7">
        <v>46.839399999999998</v>
      </c>
      <c r="L1818" s="7">
        <v>-71.282600000000002</v>
      </c>
      <c r="M1818" s="10" t="str">
        <f t="shared" si="173"/>
        <v>C24</v>
      </c>
      <c r="N1818" s="10" t="str">
        <f t="shared" si="174"/>
        <v>C77</v>
      </c>
      <c r="O1818" s="5">
        <f t="shared" si="175"/>
        <v>6.0980557158796973</v>
      </c>
      <c r="P1818" s="22">
        <f>O1818/Explications!$C$8</f>
        <v>0.20326852386265656</v>
      </c>
      <c r="Q1818" s="7" t="str">
        <f t="shared" si="176"/>
        <v>C77</v>
      </c>
      <c r="R1818" s="7" t="str">
        <f t="shared" si="177"/>
        <v>C24</v>
      </c>
      <c r="S1818" s="18">
        <f t="shared" si="178"/>
        <v>6.0980557158796973</v>
      </c>
      <c r="T1818" s="18">
        <f>S1818/Explications!$C$8</f>
        <v>0.20326852386265656</v>
      </c>
    </row>
    <row r="1819" spans="7:20">
      <c r="G1819" s="7" t="s">
        <v>40</v>
      </c>
      <c r="H1819" s="7" t="s">
        <v>94</v>
      </c>
      <c r="I1819" s="7">
        <v>46.805500000000002</v>
      </c>
      <c r="J1819" s="7">
        <v>-71.2196</v>
      </c>
      <c r="K1819" s="7">
        <v>46.788499999999999</v>
      </c>
      <c r="L1819" s="7">
        <v>-71.282399999999996</v>
      </c>
      <c r="M1819" s="10" t="str">
        <f t="shared" si="173"/>
        <v>C24</v>
      </c>
      <c r="N1819" s="10" t="str">
        <f t="shared" si="174"/>
        <v>C78</v>
      </c>
      <c r="O1819" s="5">
        <f t="shared" si="175"/>
        <v>5.1406558914227993</v>
      </c>
      <c r="P1819" s="22">
        <f>O1819/Explications!$C$8</f>
        <v>0.17135519638075997</v>
      </c>
      <c r="Q1819" s="7" t="str">
        <f t="shared" si="176"/>
        <v>C78</v>
      </c>
      <c r="R1819" s="7" t="str">
        <f t="shared" si="177"/>
        <v>C24</v>
      </c>
      <c r="S1819" s="18">
        <f t="shared" si="178"/>
        <v>5.1406558914227993</v>
      </c>
      <c r="T1819" s="18">
        <f>S1819/Explications!$C$8</f>
        <v>0.17135519638075997</v>
      </c>
    </row>
    <row r="1820" spans="7:20">
      <c r="G1820" s="7" t="s">
        <v>40</v>
      </c>
      <c r="H1820" s="7" t="s">
        <v>95</v>
      </c>
      <c r="I1820" s="7">
        <v>46.805500000000002</v>
      </c>
      <c r="J1820" s="7">
        <v>-71.2196</v>
      </c>
      <c r="K1820" s="7">
        <v>46.840699999999998</v>
      </c>
      <c r="L1820" s="7">
        <v>-71.325400000000002</v>
      </c>
      <c r="M1820" s="10" t="str">
        <f t="shared" si="173"/>
        <v>C24</v>
      </c>
      <c r="N1820" s="10" t="str">
        <f t="shared" si="174"/>
        <v>C79</v>
      </c>
      <c r="O1820" s="5">
        <f t="shared" si="175"/>
        <v>8.9509687283522279</v>
      </c>
      <c r="P1820" s="22">
        <f>O1820/Explications!$C$8</f>
        <v>0.29836562427840757</v>
      </c>
      <c r="Q1820" s="7" t="str">
        <f t="shared" si="176"/>
        <v>C79</v>
      </c>
      <c r="R1820" s="7" t="str">
        <f t="shared" si="177"/>
        <v>C24</v>
      </c>
      <c r="S1820" s="18">
        <f t="shared" si="178"/>
        <v>8.9509687283522279</v>
      </c>
      <c r="T1820" s="18">
        <f>S1820/Explications!$C$8</f>
        <v>0.29836562427840757</v>
      </c>
    </row>
    <row r="1821" spans="7:20">
      <c r="G1821" s="7" t="s">
        <v>40</v>
      </c>
      <c r="H1821" s="7" t="s">
        <v>96</v>
      </c>
      <c r="I1821" s="7">
        <v>46.805500000000002</v>
      </c>
      <c r="J1821" s="7">
        <v>-71.2196</v>
      </c>
      <c r="K1821" s="7">
        <v>46.798400000000001</v>
      </c>
      <c r="L1821" s="7">
        <v>-71.183199999999999</v>
      </c>
      <c r="M1821" s="10" t="str">
        <f t="shared" si="173"/>
        <v>C24</v>
      </c>
      <c r="N1821" s="10" t="str">
        <f t="shared" si="174"/>
        <v>C80</v>
      </c>
      <c r="O1821" s="5">
        <f t="shared" si="175"/>
        <v>2.8808876307932669</v>
      </c>
      <c r="P1821" s="22">
        <f>O1821/Explications!$C$8</f>
        <v>9.6029587693108903E-2</v>
      </c>
      <c r="Q1821" s="7" t="str">
        <f t="shared" si="176"/>
        <v>C80</v>
      </c>
      <c r="R1821" s="7" t="str">
        <f t="shared" si="177"/>
        <v>C24</v>
      </c>
      <c r="S1821" s="18">
        <f t="shared" si="178"/>
        <v>2.8808876307932669</v>
      </c>
      <c r="T1821" s="18">
        <f>S1821/Explications!$C$8</f>
        <v>9.6029587693108903E-2</v>
      </c>
    </row>
    <row r="1822" spans="7:20">
      <c r="G1822" s="7" t="s">
        <v>40</v>
      </c>
      <c r="H1822" s="7" t="s">
        <v>97</v>
      </c>
      <c r="I1822" s="7">
        <v>46.805500000000002</v>
      </c>
      <c r="J1822" s="7">
        <v>-71.2196</v>
      </c>
      <c r="K1822" s="7">
        <v>46.724800000000002</v>
      </c>
      <c r="L1822" s="7">
        <v>-71.2988</v>
      </c>
      <c r="M1822" s="10" t="str">
        <f t="shared" si="173"/>
        <v>C24</v>
      </c>
      <c r="N1822" s="10" t="str">
        <f t="shared" si="174"/>
        <v>C81</v>
      </c>
      <c r="O1822" s="5">
        <f t="shared" si="175"/>
        <v>10.812632850344462</v>
      </c>
      <c r="P1822" s="22">
        <f>O1822/Explications!$C$8</f>
        <v>0.36042109501148206</v>
      </c>
      <c r="Q1822" s="7" t="str">
        <f t="shared" si="176"/>
        <v>C81</v>
      </c>
      <c r="R1822" s="7" t="str">
        <f t="shared" si="177"/>
        <v>C24</v>
      </c>
      <c r="S1822" s="18">
        <f t="shared" si="178"/>
        <v>10.812632850344462</v>
      </c>
      <c r="T1822" s="18">
        <f>S1822/Explications!$C$8</f>
        <v>0.36042109501148206</v>
      </c>
    </row>
    <row r="1823" spans="7:20">
      <c r="G1823" s="7" t="s">
        <v>40</v>
      </c>
      <c r="H1823" s="7" t="s">
        <v>98</v>
      </c>
      <c r="I1823" s="7">
        <v>46.805500000000002</v>
      </c>
      <c r="J1823" s="7">
        <v>-71.2196</v>
      </c>
      <c r="K1823" s="7">
        <v>46.795499999999997</v>
      </c>
      <c r="L1823" s="7">
        <v>-71.242900000000006</v>
      </c>
      <c r="M1823" s="10" t="str">
        <f t="shared" si="173"/>
        <v>C24</v>
      </c>
      <c r="N1823" s="10" t="str">
        <f t="shared" si="174"/>
        <v>C82</v>
      </c>
      <c r="O1823" s="5">
        <f t="shared" si="175"/>
        <v>2.0932901794479752</v>
      </c>
      <c r="P1823" s="22">
        <f>O1823/Explications!$C$8</f>
        <v>6.9776339314932503E-2</v>
      </c>
      <c r="Q1823" s="7" t="str">
        <f t="shared" si="176"/>
        <v>C82</v>
      </c>
      <c r="R1823" s="7" t="str">
        <f t="shared" si="177"/>
        <v>C24</v>
      </c>
      <c r="S1823" s="18">
        <f t="shared" si="178"/>
        <v>2.0932901794479752</v>
      </c>
      <c r="T1823" s="18">
        <f>S1823/Explications!$C$8</f>
        <v>6.9776339314932503E-2</v>
      </c>
    </row>
    <row r="1824" spans="7:20">
      <c r="G1824" s="7" t="s">
        <v>40</v>
      </c>
      <c r="H1824" s="7" t="s">
        <v>99</v>
      </c>
      <c r="I1824" s="7">
        <v>46.805500000000002</v>
      </c>
      <c r="J1824" s="7">
        <v>-71.2196</v>
      </c>
      <c r="K1824" s="7">
        <v>46.8157</v>
      </c>
      <c r="L1824" s="7">
        <v>-71.201899999999995</v>
      </c>
      <c r="M1824" s="10" t="str">
        <f t="shared" si="173"/>
        <v>C24</v>
      </c>
      <c r="N1824" s="10" t="str">
        <f t="shared" si="174"/>
        <v>C83</v>
      </c>
      <c r="O1824" s="5">
        <f t="shared" si="175"/>
        <v>1.7609265162068268</v>
      </c>
      <c r="P1824" s="22">
        <f>O1824/Explications!$C$8</f>
        <v>5.8697550540227558E-2</v>
      </c>
      <c r="Q1824" s="7" t="str">
        <f t="shared" si="176"/>
        <v>C83</v>
      </c>
      <c r="R1824" s="7" t="str">
        <f t="shared" si="177"/>
        <v>C24</v>
      </c>
      <c r="S1824" s="18">
        <f t="shared" si="178"/>
        <v>1.7609265162068268</v>
      </c>
      <c r="T1824" s="18">
        <f>S1824/Explications!$C$8</f>
        <v>5.8697550540227558E-2</v>
      </c>
    </row>
    <row r="1825" spans="7:20">
      <c r="G1825" s="7" t="s">
        <v>40</v>
      </c>
      <c r="H1825" s="7" t="s">
        <v>100</v>
      </c>
      <c r="I1825" s="7">
        <v>46.805500000000002</v>
      </c>
      <c r="J1825" s="7">
        <v>-71.2196</v>
      </c>
      <c r="K1825" s="7">
        <v>46.837600000000002</v>
      </c>
      <c r="L1825" s="7">
        <v>-71.196299999999994</v>
      </c>
      <c r="M1825" s="10" t="str">
        <f t="shared" si="173"/>
        <v>C24</v>
      </c>
      <c r="N1825" s="10" t="str">
        <f t="shared" si="174"/>
        <v>C84</v>
      </c>
      <c r="O1825" s="5">
        <f t="shared" si="175"/>
        <v>3.9853834868869162</v>
      </c>
      <c r="P1825" s="22">
        <f>O1825/Explications!$C$8</f>
        <v>0.13284611622956388</v>
      </c>
      <c r="Q1825" s="7" t="str">
        <f t="shared" si="176"/>
        <v>C84</v>
      </c>
      <c r="R1825" s="7" t="str">
        <f t="shared" si="177"/>
        <v>C24</v>
      </c>
      <c r="S1825" s="18">
        <f t="shared" si="178"/>
        <v>3.9853834868869162</v>
      </c>
      <c r="T1825" s="18">
        <f>S1825/Explications!$C$8</f>
        <v>0.13284611622956388</v>
      </c>
    </row>
    <row r="1826" spans="7:20">
      <c r="G1826" s="7" t="s">
        <v>40</v>
      </c>
      <c r="H1826" s="7" t="s">
        <v>101</v>
      </c>
      <c r="I1826" s="7">
        <v>46.805500000000002</v>
      </c>
      <c r="J1826" s="7">
        <v>-71.2196</v>
      </c>
      <c r="K1826" s="7">
        <v>46.7988</v>
      </c>
      <c r="L1826" s="7">
        <v>-71.318200000000004</v>
      </c>
      <c r="M1826" s="10" t="str">
        <f t="shared" si="173"/>
        <v>C24</v>
      </c>
      <c r="N1826" s="10" t="str">
        <f t="shared" si="174"/>
        <v>C85</v>
      </c>
      <c r="O1826" s="5">
        <f t="shared" si="175"/>
        <v>7.5418378718241552</v>
      </c>
      <c r="P1826" s="22">
        <f>O1826/Explications!$C$8</f>
        <v>0.25139459572747186</v>
      </c>
      <c r="Q1826" s="7" t="str">
        <f t="shared" si="176"/>
        <v>C85</v>
      </c>
      <c r="R1826" s="7" t="str">
        <f t="shared" si="177"/>
        <v>C24</v>
      </c>
      <c r="S1826" s="18">
        <f t="shared" si="178"/>
        <v>7.5418378718241552</v>
      </c>
      <c r="T1826" s="18">
        <f>S1826/Explications!$C$8</f>
        <v>0.25139459572747186</v>
      </c>
    </row>
    <row r="1827" spans="7:20">
      <c r="G1827" s="7" t="s">
        <v>41</v>
      </c>
      <c r="H1827" s="7" t="s">
        <v>42</v>
      </c>
      <c r="I1827" s="7">
        <v>46.734900000000003</v>
      </c>
      <c r="J1827" s="7">
        <v>-71.266199999999998</v>
      </c>
      <c r="K1827" s="7">
        <v>46.817700000000002</v>
      </c>
      <c r="L1827" s="7">
        <v>-71.214100000000002</v>
      </c>
      <c r="M1827" s="10" t="str">
        <f t="shared" si="173"/>
        <v>C25</v>
      </c>
      <c r="N1827" s="10" t="str">
        <f t="shared" si="174"/>
        <v>C26</v>
      </c>
      <c r="O1827" s="5">
        <f t="shared" si="175"/>
        <v>10.025408203405597</v>
      </c>
      <c r="P1827" s="22">
        <f>O1827/Explications!$C$8</f>
        <v>0.33418027344685325</v>
      </c>
      <c r="Q1827" s="7" t="str">
        <f t="shared" si="176"/>
        <v>C26</v>
      </c>
      <c r="R1827" s="7" t="str">
        <f t="shared" si="177"/>
        <v>C25</v>
      </c>
      <c r="S1827" s="18">
        <f t="shared" si="178"/>
        <v>10.025408203405597</v>
      </c>
      <c r="T1827" s="18">
        <f>S1827/Explications!$C$8</f>
        <v>0.33418027344685325</v>
      </c>
    </row>
    <row r="1828" spans="7:20">
      <c r="G1828" s="7" t="s">
        <v>41</v>
      </c>
      <c r="H1828" s="7" t="s">
        <v>43</v>
      </c>
      <c r="I1828" s="7">
        <v>46.734900000000003</v>
      </c>
      <c r="J1828" s="7">
        <v>-71.266199999999998</v>
      </c>
      <c r="K1828" s="7">
        <v>46.603000000000002</v>
      </c>
      <c r="L1828" s="7">
        <v>-71.490600000000001</v>
      </c>
      <c r="M1828" s="10" t="str">
        <f t="shared" si="173"/>
        <v>C25</v>
      </c>
      <c r="N1828" s="10" t="str">
        <f t="shared" si="174"/>
        <v>C27</v>
      </c>
      <c r="O1828" s="5">
        <f t="shared" si="175"/>
        <v>22.545240406041181</v>
      </c>
      <c r="P1828" s="22">
        <f>O1828/Explications!$C$8</f>
        <v>0.75150801353470598</v>
      </c>
      <c r="Q1828" s="7" t="str">
        <f t="shared" si="176"/>
        <v>C27</v>
      </c>
      <c r="R1828" s="7" t="str">
        <f t="shared" si="177"/>
        <v>C25</v>
      </c>
      <c r="S1828" s="18">
        <f t="shared" si="178"/>
        <v>22.545240406041181</v>
      </c>
      <c r="T1828" s="18">
        <f>S1828/Explications!$C$8</f>
        <v>0.75150801353470598</v>
      </c>
    </row>
    <row r="1829" spans="7:20">
      <c r="G1829" s="7" t="s">
        <v>41</v>
      </c>
      <c r="H1829" s="7" t="s">
        <v>44</v>
      </c>
      <c r="I1829" s="7">
        <v>46.734900000000003</v>
      </c>
      <c r="J1829" s="7">
        <v>-71.266199999999998</v>
      </c>
      <c r="K1829" s="7">
        <v>47.000500000000002</v>
      </c>
      <c r="L1829" s="7">
        <v>-71.388400000000004</v>
      </c>
      <c r="M1829" s="10" t="str">
        <f t="shared" si="173"/>
        <v>C25</v>
      </c>
      <c r="N1829" s="10" t="str">
        <f t="shared" si="174"/>
        <v>C28</v>
      </c>
      <c r="O1829" s="5">
        <f t="shared" si="175"/>
        <v>30.960009367405551</v>
      </c>
      <c r="P1829" s="22">
        <f>O1829/Explications!$C$8</f>
        <v>1.0320003122468517</v>
      </c>
      <c r="Q1829" s="7" t="str">
        <f t="shared" si="176"/>
        <v>C28</v>
      </c>
      <c r="R1829" s="7" t="str">
        <f t="shared" si="177"/>
        <v>C25</v>
      </c>
      <c r="S1829" s="18">
        <f t="shared" si="178"/>
        <v>30.960009367405551</v>
      </c>
      <c r="T1829" s="18">
        <f>S1829/Explications!$C$8</f>
        <v>1.0320003122468517</v>
      </c>
    </row>
    <row r="1830" spans="7:20">
      <c r="G1830" s="7" t="s">
        <v>41</v>
      </c>
      <c r="H1830" s="7" t="s">
        <v>45</v>
      </c>
      <c r="I1830" s="7">
        <v>46.734900000000003</v>
      </c>
      <c r="J1830" s="7">
        <v>-71.266199999999998</v>
      </c>
      <c r="K1830" s="7">
        <v>46.839100000000002</v>
      </c>
      <c r="L1830" s="7">
        <v>-71.245699999999999</v>
      </c>
      <c r="M1830" s="10" t="str">
        <f t="shared" si="173"/>
        <v>C25</v>
      </c>
      <c r="N1830" s="10" t="str">
        <f t="shared" si="174"/>
        <v>C29</v>
      </c>
      <c r="O1830" s="5">
        <f t="shared" si="175"/>
        <v>11.691164916718531</v>
      </c>
      <c r="P1830" s="22">
        <f>O1830/Explications!$C$8</f>
        <v>0.38970549722395104</v>
      </c>
      <c r="Q1830" s="7" t="str">
        <f t="shared" si="176"/>
        <v>C29</v>
      </c>
      <c r="R1830" s="7" t="str">
        <f t="shared" si="177"/>
        <v>C25</v>
      </c>
      <c r="S1830" s="18">
        <f t="shared" si="178"/>
        <v>11.691164916718531</v>
      </c>
      <c r="T1830" s="18">
        <f>S1830/Explications!$C$8</f>
        <v>0.38970549722395104</v>
      </c>
    </row>
    <row r="1831" spans="7:20">
      <c r="G1831" s="7" t="s">
        <v>41</v>
      </c>
      <c r="H1831" s="7" t="s">
        <v>46</v>
      </c>
      <c r="I1831" s="7">
        <v>46.734900000000003</v>
      </c>
      <c r="J1831" s="7">
        <v>-71.266199999999998</v>
      </c>
      <c r="K1831" s="7">
        <v>46.865699999999997</v>
      </c>
      <c r="L1831" s="7">
        <v>-71.27</v>
      </c>
      <c r="M1831" s="10" t="str">
        <f t="shared" si="173"/>
        <v>C25</v>
      </c>
      <c r="N1831" s="10" t="str">
        <f t="shared" si="174"/>
        <v>C30</v>
      </c>
      <c r="O1831" s="5">
        <f t="shared" si="175"/>
        <v>14.547172296603932</v>
      </c>
      <c r="P1831" s="22">
        <f>O1831/Explications!$C$8</f>
        <v>0.48490574322013108</v>
      </c>
      <c r="Q1831" s="7" t="str">
        <f t="shared" si="176"/>
        <v>C30</v>
      </c>
      <c r="R1831" s="7" t="str">
        <f t="shared" si="177"/>
        <v>C25</v>
      </c>
      <c r="S1831" s="18">
        <f t="shared" si="178"/>
        <v>14.547172296603932</v>
      </c>
      <c r="T1831" s="18">
        <f>S1831/Explications!$C$8</f>
        <v>0.48490574322013108</v>
      </c>
    </row>
    <row r="1832" spans="7:20">
      <c r="G1832" s="7" t="s">
        <v>41</v>
      </c>
      <c r="H1832" s="7" t="s">
        <v>47</v>
      </c>
      <c r="I1832" s="7">
        <v>46.734900000000003</v>
      </c>
      <c r="J1832" s="7">
        <v>-71.266199999999998</v>
      </c>
      <c r="K1832" s="7">
        <v>46.805500000000002</v>
      </c>
      <c r="L1832" s="7">
        <v>-71.217299999999994</v>
      </c>
      <c r="M1832" s="10" t="str">
        <f t="shared" si="173"/>
        <v>C25</v>
      </c>
      <c r="N1832" s="10" t="str">
        <f t="shared" si="174"/>
        <v>C31</v>
      </c>
      <c r="O1832" s="5">
        <f t="shared" si="175"/>
        <v>8.6889660609702055</v>
      </c>
      <c r="P1832" s="22">
        <f>O1832/Explications!$C$8</f>
        <v>0.28963220203234019</v>
      </c>
      <c r="Q1832" s="7" t="str">
        <f t="shared" si="176"/>
        <v>C31</v>
      </c>
      <c r="R1832" s="7" t="str">
        <f t="shared" si="177"/>
        <v>C25</v>
      </c>
      <c r="S1832" s="18">
        <f t="shared" si="178"/>
        <v>8.6889660609702055</v>
      </c>
      <c r="T1832" s="18">
        <f>S1832/Explications!$C$8</f>
        <v>0.28963220203234019</v>
      </c>
    </row>
    <row r="1833" spans="7:20">
      <c r="G1833" s="7" t="s">
        <v>41</v>
      </c>
      <c r="H1833" s="7" t="s">
        <v>48</v>
      </c>
      <c r="I1833" s="7">
        <v>46.734900000000003</v>
      </c>
      <c r="J1833" s="7">
        <v>-71.266199999999998</v>
      </c>
      <c r="K1833" s="7">
        <v>46.792299999999997</v>
      </c>
      <c r="L1833" s="7">
        <v>-71.172899999999998</v>
      </c>
      <c r="M1833" s="10" t="str">
        <f t="shared" si="173"/>
        <v>C25</v>
      </c>
      <c r="N1833" s="10" t="str">
        <f t="shared" si="174"/>
        <v>C32</v>
      </c>
      <c r="O1833" s="5">
        <f t="shared" si="175"/>
        <v>9.5520456433879843</v>
      </c>
      <c r="P1833" s="22">
        <f>O1833/Explications!$C$8</f>
        <v>0.31840152144626616</v>
      </c>
      <c r="Q1833" s="7" t="str">
        <f t="shared" si="176"/>
        <v>C32</v>
      </c>
      <c r="R1833" s="7" t="str">
        <f t="shared" si="177"/>
        <v>C25</v>
      </c>
      <c r="S1833" s="18">
        <f t="shared" si="178"/>
        <v>9.5520456433879843</v>
      </c>
      <c r="T1833" s="18">
        <f>S1833/Explications!$C$8</f>
        <v>0.31840152144626616</v>
      </c>
    </row>
    <row r="1834" spans="7:20">
      <c r="G1834" s="7" t="s">
        <v>41</v>
      </c>
      <c r="H1834" s="7" t="s">
        <v>49</v>
      </c>
      <c r="I1834" s="7">
        <v>46.734900000000003</v>
      </c>
      <c r="J1834" s="7">
        <v>-71.266199999999998</v>
      </c>
      <c r="K1834" s="7">
        <v>46.7883</v>
      </c>
      <c r="L1834" s="7">
        <v>-71.131200000000007</v>
      </c>
      <c r="M1834" s="10" t="str">
        <f t="shared" si="173"/>
        <v>C25</v>
      </c>
      <c r="N1834" s="10" t="str">
        <f t="shared" si="174"/>
        <v>C33</v>
      </c>
      <c r="O1834" s="5">
        <f t="shared" si="175"/>
        <v>11.874487156934739</v>
      </c>
      <c r="P1834" s="22">
        <f>O1834/Explications!$C$8</f>
        <v>0.39581623856449133</v>
      </c>
      <c r="Q1834" s="7" t="str">
        <f t="shared" si="176"/>
        <v>C33</v>
      </c>
      <c r="R1834" s="7" t="str">
        <f t="shared" si="177"/>
        <v>C25</v>
      </c>
      <c r="S1834" s="18">
        <f t="shared" si="178"/>
        <v>11.874487156934739</v>
      </c>
      <c r="T1834" s="18">
        <f>S1834/Explications!$C$8</f>
        <v>0.39581623856449133</v>
      </c>
    </row>
    <row r="1835" spans="7:20">
      <c r="G1835" s="7" t="s">
        <v>41</v>
      </c>
      <c r="H1835" s="7" t="s">
        <v>50</v>
      </c>
      <c r="I1835" s="7">
        <v>46.734900000000003</v>
      </c>
      <c r="J1835" s="7">
        <v>-71.266199999999998</v>
      </c>
      <c r="K1835" s="7">
        <v>46.8611</v>
      </c>
      <c r="L1835" s="7">
        <v>-71.268799999999999</v>
      </c>
      <c r="M1835" s="10" t="str">
        <f t="shared" si="173"/>
        <v>C25</v>
      </c>
      <c r="N1835" s="10" t="str">
        <f t="shared" si="174"/>
        <v>C34</v>
      </c>
      <c r="O1835" s="5">
        <f t="shared" si="175"/>
        <v>14.03419533586529</v>
      </c>
      <c r="P1835" s="22">
        <f>O1835/Explications!$C$8</f>
        <v>0.46780651119550964</v>
      </c>
      <c r="Q1835" s="7" t="str">
        <f t="shared" si="176"/>
        <v>C34</v>
      </c>
      <c r="R1835" s="7" t="str">
        <f t="shared" si="177"/>
        <v>C25</v>
      </c>
      <c r="S1835" s="18">
        <f t="shared" si="178"/>
        <v>14.03419533586529</v>
      </c>
      <c r="T1835" s="18">
        <f>S1835/Explications!$C$8</f>
        <v>0.46780651119550964</v>
      </c>
    </row>
    <row r="1836" spans="7:20">
      <c r="G1836" s="7" t="s">
        <v>41</v>
      </c>
      <c r="H1836" s="7" t="s">
        <v>51</v>
      </c>
      <c r="I1836" s="7">
        <v>46.734900000000003</v>
      </c>
      <c r="J1836" s="7">
        <v>-71.266199999999998</v>
      </c>
      <c r="K1836" s="7">
        <v>46.869700000000002</v>
      </c>
      <c r="L1836" s="7">
        <v>-71.205200000000005</v>
      </c>
      <c r="M1836" s="10" t="str">
        <f t="shared" si="173"/>
        <v>C25</v>
      </c>
      <c r="N1836" s="10" t="str">
        <f t="shared" si="174"/>
        <v>C35</v>
      </c>
      <c r="O1836" s="5">
        <f t="shared" si="175"/>
        <v>15.691714242749466</v>
      </c>
      <c r="P1836" s="22">
        <f>O1836/Explications!$C$8</f>
        <v>0.52305714142498216</v>
      </c>
      <c r="Q1836" s="7" t="str">
        <f t="shared" si="176"/>
        <v>C35</v>
      </c>
      <c r="R1836" s="7" t="str">
        <f t="shared" si="177"/>
        <v>C25</v>
      </c>
      <c r="S1836" s="18">
        <f t="shared" si="178"/>
        <v>15.691714242749466</v>
      </c>
      <c r="T1836" s="18">
        <f>S1836/Explications!$C$8</f>
        <v>0.52305714142498216</v>
      </c>
    </row>
    <row r="1837" spans="7:20">
      <c r="G1837" s="7" t="s">
        <v>41</v>
      </c>
      <c r="H1837" s="7" t="s">
        <v>52</v>
      </c>
      <c r="I1837" s="7">
        <v>46.734900000000003</v>
      </c>
      <c r="J1837" s="7">
        <v>-71.266199999999998</v>
      </c>
      <c r="K1837" s="7">
        <v>46.774099999999997</v>
      </c>
      <c r="L1837" s="7">
        <v>-71.174000000000007</v>
      </c>
      <c r="M1837" s="10" t="str">
        <f t="shared" si="173"/>
        <v>C25</v>
      </c>
      <c r="N1837" s="10" t="str">
        <f t="shared" si="174"/>
        <v>C36</v>
      </c>
      <c r="O1837" s="5">
        <f t="shared" si="175"/>
        <v>8.266586023012886</v>
      </c>
      <c r="P1837" s="22">
        <f>O1837/Explications!$C$8</f>
        <v>0.27555286743376289</v>
      </c>
      <c r="Q1837" s="7" t="str">
        <f t="shared" si="176"/>
        <v>C36</v>
      </c>
      <c r="R1837" s="7" t="str">
        <f t="shared" si="177"/>
        <v>C25</v>
      </c>
      <c r="S1837" s="18">
        <f t="shared" si="178"/>
        <v>8.266586023012886</v>
      </c>
      <c r="T1837" s="18">
        <f>S1837/Explications!$C$8</f>
        <v>0.27555286743376289</v>
      </c>
    </row>
    <row r="1838" spans="7:20">
      <c r="G1838" s="7" t="s">
        <v>41</v>
      </c>
      <c r="H1838" s="7" t="s">
        <v>53</v>
      </c>
      <c r="I1838" s="7">
        <v>46.734900000000003</v>
      </c>
      <c r="J1838" s="7">
        <v>-71.266199999999998</v>
      </c>
      <c r="K1838" s="7">
        <v>46.808500000000002</v>
      </c>
      <c r="L1838" s="7">
        <v>-71.326599999999999</v>
      </c>
      <c r="M1838" s="10" t="str">
        <f t="shared" si="173"/>
        <v>C25</v>
      </c>
      <c r="N1838" s="10" t="str">
        <f t="shared" si="174"/>
        <v>C37</v>
      </c>
      <c r="O1838" s="5">
        <f t="shared" si="175"/>
        <v>9.3881069755888493</v>
      </c>
      <c r="P1838" s="22">
        <f>O1838/Explications!$C$8</f>
        <v>0.31293689918629497</v>
      </c>
      <c r="Q1838" s="7" t="str">
        <f t="shared" si="176"/>
        <v>C37</v>
      </c>
      <c r="R1838" s="7" t="str">
        <f t="shared" si="177"/>
        <v>C25</v>
      </c>
      <c r="S1838" s="18">
        <f t="shared" si="178"/>
        <v>9.3881069755888493</v>
      </c>
      <c r="T1838" s="18">
        <f>S1838/Explications!$C$8</f>
        <v>0.31293689918629497</v>
      </c>
    </row>
    <row r="1839" spans="7:20">
      <c r="G1839" s="7" t="s">
        <v>41</v>
      </c>
      <c r="H1839" s="7" t="s">
        <v>54</v>
      </c>
      <c r="I1839" s="7">
        <v>46.734900000000003</v>
      </c>
      <c r="J1839" s="7">
        <v>-71.266199999999998</v>
      </c>
      <c r="K1839" s="7">
        <v>46.797499999999999</v>
      </c>
      <c r="L1839" s="7">
        <v>-71.306100000000001</v>
      </c>
      <c r="M1839" s="10" t="str">
        <f t="shared" si="173"/>
        <v>C25</v>
      </c>
      <c r="N1839" s="10" t="str">
        <f t="shared" si="174"/>
        <v>C38</v>
      </c>
      <c r="O1839" s="5">
        <f t="shared" si="175"/>
        <v>7.5952894462884473</v>
      </c>
      <c r="P1839" s="22">
        <f>O1839/Explications!$C$8</f>
        <v>0.25317631487628156</v>
      </c>
      <c r="Q1839" s="7" t="str">
        <f t="shared" si="176"/>
        <v>C38</v>
      </c>
      <c r="R1839" s="7" t="str">
        <f t="shared" si="177"/>
        <v>C25</v>
      </c>
      <c r="S1839" s="18">
        <f t="shared" si="178"/>
        <v>7.5952894462884473</v>
      </c>
      <c r="T1839" s="18">
        <f>S1839/Explications!$C$8</f>
        <v>0.25317631487628156</v>
      </c>
    </row>
    <row r="1840" spans="7:20">
      <c r="G1840" s="7" t="s">
        <v>41</v>
      </c>
      <c r="H1840" s="7" t="s">
        <v>55</v>
      </c>
      <c r="I1840" s="7">
        <v>46.734900000000003</v>
      </c>
      <c r="J1840" s="7">
        <v>-71.266199999999998</v>
      </c>
      <c r="K1840" s="7">
        <v>46.8155</v>
      </c>
      <c r="L1840" s="7">
        <v>-71.268199999999993</v>
      </c>
      <c r="M1840" s="10" t="str">
        <f t="shared" si="173"/>
        <v>C25</v>
      </c>
      <c r="N1840" s="10" t="str">
        <f t="shared" si="174"/>
        <v>C39</v>
      </c>
      <c r="O1840" s="5">
        <f t="shared" si="175"/>
        <v>8.9636051494364448</v>
      </c>
      <c r="P1840" s="22">
        <f>O1840/Explications!$C$8</f>
        <v>0.29878683831454816</v>
      </c>
      <c r="Q1840" s="7" t="str">
        <f t="shared" si="176"/>
        <v>C39</v>
      </c>
      <c r="R1840" s="7" t="str">
        <f t="shared" si="177"/>
        <v>C25</v>
      </c>
      <c r="S1840" s="18">
        <f t="shared" si="178"/>
        <v>8.9636051494364448</v>
      </c>
      <c r="T1840" s="18">
        <f>S1840/Explications!$C$8</f>
        <v>0.29878683831454816</v>
      </c>
    </row>
    <row r="1841" spans="7:20">
      <c r="G1841" s="7" t="s">
        <v>41</v>
      </c>
      <c r="H1841" s="7" t="s">
        <v>56</v>
      </c>
      <c r="I1841" s="7">
        <v>46.734900000000003</v>
      </c>
      <c r="J1841" s="7">
        <v>-71.266199999999998</v>
      </c>
      <c r="K1841" s="7">
        <v>46.866700000000002</v>
      </c>
      <c r="L1841" s="7">
        <v>-71.215900000000005</v>
      </c>
      <c r="M1841" s="10" t="str">
        <f t="shared" si="173"/>
        <v>C25</v>
      </c>
      <c r="N1841" s="10" t="str">
        <f t="shared" si="174"/>
        <v>C40</v>
      </c>
      <c r="O1841" s="5">
        <f t="shared" si="175"/>
        <v>15.147350912990198</v>
      </c>
      <c r="P1841" s="22">
        <f>O1841/Explications!$C$8</f>
        <v>0.50491169709967332</v>
      </c>
      <c r="Q1841" s="7" t="str">
        <f t="shared" si="176"/>
        <v>C40</v>
      </c>
      <c r="R1841" s="7" t="str">
        <f t="shared" si="177"/>
        <v>C25</v>
      </c>
      <c r="S1841" s="18">
        <f t="shared" si="178"/>
        <v>15.147350912990198</v>
      </c>
      <c r="T1841" s="18">
        <f>S1841/Explications!$C$8</f>
        <v>0.50491169709967332</v>
      </c>
    </row>
    <row r="1842" spans="7:20">
      <c r="G1842" s="7" t="s">
        <v>41</v>
      </c>
      <c r="H1842" s="7" t="s">
        <v>57</v>
      </c>
      <c r="I1842" s="7">
        <v>46.734900000000003</v>
      </c>
      <c r="J1842" s="7">
        <v>-71.266199999999998</v>
      </c>
      <c r="K1842" s="7">
        <v>46.762099999999997</v>
      </c>
      <c r="L1842" s="7">
        <v>-71.235399999999998</v>
      </c>
      <c r="M1842" s="10" t="str">
        <f t="shared" si="173"/>
        <v>C25</v>
      </c>
      <c r="N1842" s="10" t="str">
        <f t="shared" si="174"/>
        <v>C41</v>
      </c>
      <c r="O1842" s="5">
        <f t="shared" si="175"/>
        <v>3.8281236860862178</v>
      </c>
      <c r="P1842" s="22">
        <f>O1842/Explications!$C$8</f>
        <v>0.12760412286954059</v>
      </c>
      <c r="Q1842" s="7" t="str">
        <f t="shared" si="176"/>
        <v>C41</v>
      </c>
      <c r="R1842" s="7" t="str">
        <f t="shared" si="177"/>
        <v>C25</v>
      </c>
      <c r="S1842" s="18">
        <f t="shared" si="178"/>
        <v>3.8281236860862178</v>
      </c>
      <c r="T1842" s="18">
        <f>S1842/Explications!$C$8</f>
        <v>0.12760412286954059</v>
      </c>
    </row>
    <row r="1843" spans="7:20">
      <c r="G1843" s="7" t="s">
        <v>41</v>
      </c>
      <c r="H1843" s="7" t="s">
        <v>58</v>
      </c>
      <c r="I1843" s="7">
        <v>46.734900000000003</v>
      </c>
      <c r="J1843" s="7">
        <v>-71.266199999999998</v>
      </c>
      <c r="K1843" s="7">
        <v>46.8157</v>
      </c>
      <c r="L1843" s="7">
        <v>-71.2042</v>
      </c>
      <c r="M1843" s="10" t="str">
        <f t="shared" si="173"/>
        <v>C25</v>
      </c>
      <c r="N1843" s="10" t="str">
        <f t="shared" si="174"/>
        <v>C42</v>
      </c>
      <c r="O1843" s="5">
        <f t="shared" si="175"/>
        <v>10.149611433509499</v>
      </c>
      <c r="P1843" s="22">
        <f>O1843/Explications!$C$8</f>
        <v>0.33832038111698332</v>
      </c>
      <c r="Q1843" s="7" t="str">
        <f t="shared" si="176"/>
        <v>C42</v>
      </c>
      <c r="R1843" s="7" t="str">
        <f t="shared" si="177"/>
        <v>C25</v>
      </c>
      <c r="S1843" s="18">
        <f t="shared" si="178"/>
        <v>10.149611433509499</v>
      </c>
      <c r="T1843" s="18">
        <f>S1843/Explications!$C$8</f>
        <v>0.33832038111698332</v>
      </c>
    </row>
    <row r="1844" spans="7:20">
      <c r="G1844" s="7" t="s">
        <v>41</v>
      </c>
      <c r="H1844" s="7" t="s">
        <v>59</v>
      </c>
      <c r="I1844" s="7">
        <v>46.734900000000003</v>
      </c>
      <c r="J1844" s="7">
        <v>-71.266199999999998</v>
      </c>
      <c r="K1844" s="7">
        <v>46.707000000000001</v>
      </c>
      <c r="L1844" s="7">
        <v>-71.217100000000002</v>
      </c>
      <c r="M1844" s="10" t="str">
        <f t="shared" si="173"/>
        <v>C25</v>
      </c>
      <c r="N1844" s="10" t="str">
        <f t="shared" si="174"/>
        <v>C43</v>
      </c>
      <c r="O1844" s="5">
        <f t="shared" si="175"/>
        <v>4.8614527887116843</v>
      </c>
      <c r="P1844" s="22">
        <f>O1844/Explications!$C$8</f>
        <v>0.16204842629038949</v>
      </c>
      <c r="Q1844" s="7" t="str">
        <f t="shared" si="176"/>
        <v>C43</v>
      </c>
      <c r="R1844" s="7" t="str">
        <f t="shared" si="177"/>
        <v>C25</v>
      </c>
      <c r="S1844" s="18">
        <f t="shared" si="178"/>
        <v>4.8614527887116843</v>
      </c>
      <c r="T1844" s="18">
        <f>S1844/Explications!$C$8</f>
        <v>0.16204842629038949</v>
      </c>
    </row>
    <row r="1845" spans="7:20">
      <c r="G1845" s="7" t="s">
        <v>41</v>
      </c>
      <c r="H1845" s="7" t="s">
        <v>60</v>
      </c>
      <c r="I1845" s="7">
        <v>46.734900000000003</v>
      </c>
      <c r="J1845" s="7">
        <v>-71.266199999999998</v>
      </c>
      <c r="K1845" s="7">
        <v>46.802900000000001</v>
      </c>
      <c r="L1845" s="7">
        <v>-71.228899999999996</v>
      </c>
      <c r="M1845" s="10" t="str">
        <f t="shared" si="173"/>
        <v>C25</v>
      </c>
      <c r="N1845" s="10" t="str">
        <f t="shared" si="174"/>
        <v>C44</v>
      </c>
      <c r="O1845" s="5">
        <f t="shared" si="175"/>
        <v>8.0773134086061074</v>
      </c>
      <c r="P1845" s="22">
        <f>O1845/Explications!$C$8</f>
        <v>0.26924378028687024</v>
      </c>
      <c r="Q1845" s="7" t="str">
        <f t="shared" si="176"/>
        <v>C44</v>
      </c>
      <c r="R1845" s="7" t="str">
        <f t="shared" si="177"/>
        <v>C25</v>
      </c>
      <c r="S1845" s="18">
        <f t="shared" si="178"/>
        <v>8.0773134086061074</v>
      </c>
      <c r="T1845" s="18">
        <f>S1845/Explications!$C$8</f>
        <v>0.26924378028687024</v>
      </c>
    </row>
    <row r="1846" spans="7:20">
      <c r="G1846" s="7" t="s">
        <v>41</v>
      </c>
      <c r="H1846" s="7" t="s">
        <v>61</v>
      </c>
      <c r="I1846" s="7">
        <v>46.734900000000003</v>
      </c>
      <c r="J1846" s="7">
        <v>-71.266199999999998</v>
      </c>
      <c r="K1846" s="7">
        <v>46.796900000000001</v>
      </c>
      <c r="L1846" s="7">
        <v>-71.3078</v>
      </c>
      <c r="M1846" s="10" t="str">
        <f t="shared" si="173"/>
        <v>C25</v>
      </c>
      <c r="N1846" s="10" t="str">
        <f t="shared" si="174"/>
        <v>C45</v>
      </c>
      <c r="O1846" s="5">
        <f t="shared" si="175"/>
        <v>7.5873540336802963</v>
      </c>
      <c r="P1846" s="22">
        <f>O1846/Explications!$C$8</f>
        <v>0.25291180112267653</v>
      </c>
      <c r="Q1846" s="7" t="str">
        <f t="shared" si="176"/>
        <v>C45</v>
      </c>
      <c r="R1846" s="7" t="str">
        <f t="shared" si="177"/>
        <v>C25</v>
      </c>
      <c r="S1846" s="18">
        <f t="shared" si="178"/>
        <v>7.5873540336802963</v>
      </c>
      <c r="T1846" s="18">
        <f>S1846/Explications!$C$8</f>
        <v>0.25291180112267653</v>
      </c>
    </row>
    <row r="1847" spans="7:20">
      <c r="G1847" s="7" t="s">
        <v>41</v>
      </c>
      <c r="H1847" s="7" t="s">
        <v>62</v>
      </c>
      <c r="I1847" s="7">
        <v>46.734900000000003</v>
      </c>
      <c r="J1847" s="7">
        <v>-71.266199999999998</v>
      </c>
      <c r="K1847" s="7">
        <v>46.803600000000003</v>
      </c>
      <c r="L1847" s="7">
        <v>-71.231099999999998</v>
      </c>
      <c r="M1847" s="10" t="str">
        <f t="shared" si="173"/>
        <v>C25</v>
      </c>
      <c r="N1847" s="10" t="str">
        <f t="shared" si="174"/>
        <v>C46</v>
      </c>
      <c r="O1847" s="5">
        <f t="shared" si="175"/>
        <v>8.0933373332896501</v>
      </c>
      <c r="P1847" s="22">
        <f>O1847/Explications!$C$8</f>
        <v>0.26977791110965499</v>
      </c>
      <c r="Q1847" s="7" t="str">
        <f t="shared" si="176"/>
        <v>C46</v>
      </c>
      <c r="R1847" s="7" t="str">
        <f t="shared" si="177"/>
        <v>C25</v>
      </c>
      <c r="S1847" s="18">
        <f t="shared" si="178"/>
        <v>8.0933373332896501</v>
      </c>
      <c r="T1847" s="18">
        <f>S1847/Explications!$C$8</f>
        <v>0.26977791110965499</v>
      </c>
    </row>
    <row r="1848" spans="7:20">
      <c r="G1848" s="7" t="s">
        <v>41</v>
      </c>
      <c r="H1848" s="7" t="s">
        <v>63</v>
      </c>
      <c r="I1848" s="7">
        <v>46.734900000000003</v>
      </c>
      <c r="J1848" s="7">
        <v>-71.266199999999998</v>
      </c>
      <c r="K1848" s="7">
        <v>46.802399999999999</v>
      </c>
      <c r="L1848" s="7">
        <v>-71.269800000000004</v>
      </c>
      <c r="M1848" s="10" t="str">
        <f t="shared" si="173"/>
        <v>C25</v>
      </c>
      <c r="N1848" s="10" t="str">
        <f t="shared" si="174"/>
        <v>C47</v>
      </c>
      <c r="O1848" s="5">
        <f t="shared" si="175"/>
        <v>7.5106639264046429</v>
      </c>
      <c r="P1848" s="22">
        <f>O1848/Explications!$C$8</f>
        <v>0.25035546421348809</v>
      </c>
      <c r="Q1848" s="7" t="str">
        <f t="shared" si="176"/>
        <v>C47</v>
      </c>
      <c r="R1848" s="7" t="str">
        <f t="shared" si="177"/>
        <v>C25</v>
      </c>
      <c r="S1848" s="18">
        <f t="shared" si="178"/>
        <v>7.5106639264046429</v>
      </c>
      <c r="T1848" s="18">
        <f>S1848/Explications!$C$8</f>
        <v>0.25035546421348809</v>
      </c>
    </row>
    <row r="1849" spans="7:20">
      <c r="G1849" s="7" t="s">
        <v>41</v>
      </c>
      <c r="H1849" s="7" t="s">
        <v>64</v>
      </c>
      <c r="I1849" s="7">
        <v>46.734900000000003</v>
      </c>
      <c r="J1849" s="7">
        <v>-71.266199999999998</v>
      </c>
      <c r="K1849" s="7">
        <v>46.826799999999999</v>
      </c>
      <c r="L1849" s="7">
        <v>-71.224199999999996</v>
      </c>
      <c r="M1849" s="10" t="str">
        <f t="shared" si="173"/>
        <v>C25</v>
      </c>
      <c r="N1849" s="10" t="str">
        <f t="shared" si="174"/>
        <v>C48</v>
      </c>
      <c r="O1849" s="5">
        <f t="shared" si="175"/>
        <v>10.707567059517821</v>
      </c>
      <c r="P1849" s="22">
        <f>O1849/Explications!$C$8</f>
        <v>0.35691890198392734</v>
      </c>
      <c r="Q1849" s="7" t="str">
        <f t="shared" si="176"/>
        <v>C48</v>
      </c>
      <c r="R1849" s="7" t="str">
        <f t="shared" si="177"/>
        <v>C25</v>
      </c>
      <c r="S1849" s="18">
        <f t="shared" si="178"/>
        <v>10.707567059517821</v>
      </c>
      <c r="T1849" s="18">
        <f>S1849/Explications!$C$8</f>
        <v>0.35691890198392734</v>
      </c>
    </row>
    <row r="1850" spans="7:20">
      <c r="G1850" s="7" t="s">
        <v>41</v>
      </c>
      <c r="H1850" s="7" t="s">
        <v>65</v>
      </c>
      <c r="I1850" s="7">
        <v>46.734900000000003</v>
      </c>
      <c r="J1850" s="7">
        <v>-71.266199999999998</v>
      </c>
      <c r="K1850" s="7">
        <v>46.864100000000001</v>
      </c>
      <c r="L1850" s="7">
        <v>-71.255499999999998</v>
      </c>
      <c r="M1850" s="10" t="str">
        <f t="shared" si="173"/>
        <v>C25</v>
      </c>
      <c r="N1850" s="10" t="str">
        <f t="shared" si="174"/>
        <v>C49</v>
      </c>
      <c r="O1850" s="5">
        <f t="shared" si="175"/>
        <v>14.389453344270077</v>
      </c>
      <c r="P1850" s="22">
        <f>O1850/Explications!$C$8</f>
        <v>0.47964844480900254</v>
      </c>
      <c r="Q1850" s="7" t="str">
        <f t="shared" si="176"/>
        <v>C49</v>
      </c>
      <c r="R1850" s="7" t="str">
        <f t="shared" si="177"/>
        <v>C25</v>
      </c>
      <c r="S1850" s="18">
        <f t="shared" si="178"/>
        <v>14.389453344270077</v>
      </c>
      <c r="T1850" s="18">
        <f>S1850/Explications!$C$8</f>
        <v>0.47964844480900254</v>
      </c>
    </row>
    <row r="1851" spans="7:20">
      <c r="G1851" s="7" t="s">
        <v>41</v>
      </c>
      <c r="H1851" s="7" t="s">
        <v>66</v>
      </c>
      <c r="I1851" s="7">
        <v>46.734900000000003</v>
      </c>
      <c r="J1851" s="7">
        <v>-71.266199999999998</v>
      </c>
      <c r="K1851" s="7">
        <v>46.843800000000002</v>
      </c>
      <c r="L1851" s="7">
        <v>-71.247299999999996</v>
      </c>
      <c r="M1851" s="10" t="str">
        <f t="shared" si="173"/>
        <v>C25</v>
      </c>
      <c r="N1851" s="10" t="str">
        <f t="shared" si="174"/>
        <v>C50</v>
      </c>
      <c r="O1851" s="5">
        <f t="shared" si="175"/>
        <v>12.19432046196818</v>
      </c>
      <c r="P1851" s="22">
        <f>O1851/Explications!$C$8</f>
        <v>0.4064773487322727</v>
      </c>
      <c r="Q1851" s="7" t="str">
        <f t="shared" si="176"/>
        <v>C50</v>
      </c>
      <c r="R1851" s="7" t="str">
        <f t="shared" si="177"/>
        <v>C25</v>
      </c>
      <c r="S1851" s="18">
        <f t="shared" si="178"/>
        <v>12.19432046196818</v>
      </c>
      <c r="T1851" s="18">
        <f>S1851/Explications!$C$8</f>
        <v>0.4064773487322727</v>
      </c>
    </row>
    <row r="1852" spans="7:20">
      <c r="G1852" s="7" t="s">
        <v>41</v>
      </c>
      <c r="H1852" s="7" t="s">
        <v>67</v>
      </c>
      <c r="I1852" s="7">
        <v>46.734900000000003</v>
      </c>
      <c r="J1852" s="7">
        <v>-71.266199999999998</v>
      </c>
      <c r="K1852" s="7">
        <v>46.765599999999999</v>
      </c>
      <c r="L1852" s="7">
        <v>-71.312100000000001</v>
      </c>
      <c r="M1852" s="10" t="str">
        <f t="shared" si="173"/>
        <v>C25</v>
      </c>
      <c r="N1852" s="10" t="str">
        <f t="shared" si="174"/>
        <v>C51</v>
      </c>
      <c r="O1852" s="5">
        <f t="shared" si="175"/>
        <v>4.8869845850685865</v>
      </c>
      <c r="P1852" s="22">
        <f>O1852/Explications!$C$8</f>
        <v>0.16289948616895289</v>
      </c>
      <c r="Q1852" s="7" t="str">
        <f t="shared" si="176"/>
        <v>C51</v>
      </c>
      <c r="R1852" s="7" t="str">
        <f t="shared" si="177"/>
        <v>C25</v>
      </c>
      <c r="S1852" s="18">
        <f t="shared" si="178"/>
        <v>4.8869845850685865</v>
      </c>
      <c r="T1852" s="18">
        <f>S1852/Explications!$C$8</f>
        <v>0.16289948616895289</v>
      </c>
    </row>
    <row r="1853" spans="7:20">
      <c r="G1853" s="7" t="s">
        <v>41</v>
      </c>
      <c r="H1853" s="7" t="s">
        <v>68</v>
      </c>
      <c r="I1853" s="7">
        <v>46.734900000000003</v>
      </c>
      <c r="J1853" s="7">
        <v>-71.266199999999998</v>
      </c>
      <c r="K1853" s="7">
        <v>46.787599999999998</v>
      </c>
      <c r="L1853" s="7">
        <v>-71.288600000000002</v>
      </c>
      <c r="M1853" s="10" t="str">
        <f t="shared" si="173"/>
        <v>C25</v>
      </c>
      <c r="N1853" s="10" t="str">
        <f t="shared" si="174"/>
        <v>C52</v>
      </c>
      <c r="O1853" s="5">
        <f t="shared" si="175"/>
        <v>6.1033311386876736</v>
      </c>
      <c r="P1853" s="22">
        <f>O1853/Explications!$C$8</f>
        <v>0.20344437128958912</v>
      </c>
      <c r="Q1853" s="7" t="str">
        <f t="shared" si="176"/>
        <v>C52</v>
      </c>
      <c r="R1853" s="7" t="str">
        <f t="shared" si="177"/>
        <v>C25</v>
      </c>
      <c r="S1853" s="18">
        <f t="shared" si="178"/>
        <v>6.1033311386876736</v>
      </c>
      <c r="T1853" s="18">
        <f>S1853/Explications!$C$8</f>
        <v>0.20344437128958912</v>
      </c>
    </row>
    <row r="1854" spans="7:20">
      <c r="G1854" s="7" t="s">
        <v>41</v>
      </c>
      <c r="H1854" s="7" t="s">
        <v>69</v>
      </c>
      <c r="I1854" s="7">
        <v>46.734900000000003</v>
      </c>
      <c r="J1854" s="7">
        <v>-71.266199999999998</v>
      </c>
      <c r="K1854" s="7">
        <v>46.764600000000002</v>
      </c>
      <c r="L1854" s="7">
        <v>-71.308300000000003</v>
      </c>
      <c r="M1854" s="10" t="str">
        <f t="shared" si="173"/>
        <v>C25</v>
      </c>
      <c r="N1854" s="10" t="str">
        <f t="shared" si="174"/>
        <v>C53</v>
      </c>
      <c r="O1854" s="5">
        <f t="shared" si="175"/>
        <v>4.6037937278759093</v>
      </c>
      <c r="P1854" s="22">
        <f>O1854/Explications!$C$8</f>
        <v>0.15345979092919698</v>
      </c>
      <c r="Q1854" s="7" t="str">
        <f t="shared" si="176"/>
        <v>C53</v>
      </c>
      <c r="R1854" s="7" t="str">
        <f t="shared" si="177"/>
        <v>C25</v>
      </c>
      <c r="S1854" s="18">
        <f t="shared" si="178"/>
        <v>4.6037937278759093</v>
      </c>
      <c r="T1854" s="18">
        <f>S1854/Explications!$C$8</f>
        <v>0.15345979092919698</v>
      </c>
    </row>
    <row r="1855" spans="7:20">
      <c r="G1855" s="7" t="s">
        <v>41</v>
      </c>
      <c r="H1855" s="7" t="s">
        <v>70</v>
      </c>
      <c r="I1855" s="7">
        <v>46.734900000000003</v>
      </c>
      <c r="J1855" s="7">
        <v>-71.266199999999998</v>
      </c>
      <c r="K1855" s="7">
        <v>46.849699999999999</v>
      </c>
      <c r="L1855" s="7">
        <v>-71.097399999999993</v>
      </c>
      <c r="M1855" s="10" t="str">
        <f t="shared" si="173"/>
        <v>C25</v>
      </c>
      <c r="N1855" s="10" t="str">
        <f t="shared" si="174"/>
        <v>C54</v>
      </c>
      <c r="O1855" s="5">
        <f t="shared" si="175"/>
        <v>18.113171622888736</v>
      </c>
      <c r="P1855" s="22">
        <f>O1855/Explications!$C$8</f>
        <v>0.60377238742962447</v>
      </c>
      <c r="Q1855" s="7" t="str">
        <f t="shared" si="176"/>
        <v>C54</v>
      </c>
      <c r="R1855" s="7" t="str">
        <f t="shared" si="177"/>
        <v>C25</v>
      </c>
      <c r="S1855" s="18">
        <f t="shared" si="178"/>
        <v>18.113171622888736</v>
      </c>
      <c r="T1855" s="18">
        <f>S1855/Explications!$C$8</f>
        <v>0.60377238742962447</v>
      </c>
    </row>
    <row r="1856" spans="7:20">
      <c r="G1856" s="7" t="s">
        <v>41</v>
      </c>
      <c r="H1856" s="7" t="s">
        <v>71</v>
      </c>
      <c r="I1856" s="7">
        <v>46.734900000000003</v>
      </c>
      <c r="J1856" s="7">
        <v>-71.266199999999998</v>
      </c>
      <c r="K1856" s="7">
        <v>46.788899999999998</v>
      </c>
      <c r="L1856" s="7">
        <v>-71.321399999999997</v>
      </c>
      <c r="M1856" s="10" t="str">
        <f t="shared" si="173"/>
        <v>C25</v>
      </c>
      <c r="N1856" s="10" t="str">
        <f t="shared" si="174"/>
        <v>C55</v>
      </c>
      <c r="O1856" s="5">
        <f t="shared" si="175"/>
        <v>7.3303345322228344</v>
      </c>
      <c r="P1856" s="22">
        <f>O1856/Explications!$C$8</f>
        <v>0.24434448440742781</v>
      </c>
      <c r="Q1856" s="7" t="str">
        <f t="shared" si="176"/>
        <v>C55</v>
      </c>
      <c r="R1856" s="7" t="str">
        <f t="shared" si="177"/>
        <v>C25</v>
      </c>
      <c r="S1856" s="18">
        <f t="shared" si="178"/>
        <v>7.3303345322228344</v>
      </c>
      <c r="T1856" s="18">
        <f>S1856/Explications!$C$8</f>
        <v>0.24434448440742781</v>
      </c>
    </row>
    <row r="1857" spans="7:20">
      <c r="G1857" s="7" t="s">
        <v>41</v>
      </c>
      <c r="H1857" s="7" t="s">
        <v>72</v>
      </c>
      <c r="I1857" s="7">
        <v>46.734900000000003</v>
      </c>
      <c r="J1857" s="7">
        <v>-71.266199999999998</v>
      </c>
      <c r="K1857" s="7">
        <v>46.795400000000001</v>
      </c>
      <c r="L1857" s="7">
        <v>-71.232600000000005</v>
      </c>
      <c r="M1857" s="10" t="str">
        <f t="shared" si="173"/>
        <v>C25</v>
      </c>
      <c r="N1857" s="10" t="str">
        <f t="shared" si="174"/>
        <v>C56</v>
      </c>
      <c r="O1857" s="5">
        <f t="shared" si="175"/>
        <v>7.197646091299795</v>
      </c>
      <c r="P1857" s="22">
        <f>O1857/Explications!$C$8</f>
        <v>0.23992153637665983</v>
      </c>
      <c r="Q1857" s="7" t="str">
        <f t="shared" si="176"/>
        <v>C56</v>
      </c>
      <c r="R1857" s="7" t="str">
        <f t="shared" si="177"/>
        <v>C25</v>
      </c>
      <c r="S1857" s="18">
        <f t="shared" si="178"/>
        <v>7.197646091299795</v>
      </c>
      <c r="T1857" s="18">
        <f>S1857/Explications!$C$8</f>
        <v>0.23992153637665983</v>
      </c>
    </row>
    <row r="1858" spans="7:20">
      <c r="G1858" s="7" t="s">
        <v>41</v>
      </c>
      <c r="H1858" s="7" t="s">
        <v>73</v>
      </c>
      <c r="I1858" s="7">
        <v>46.734900000000003</v>
      </c>
      <c r="J1858" s="7">
        <v>-71.266199999999998</v>
      </c>
      <c r="K1858" s="7">
        <v>46.801200000000001</v>
      </c>
      <c r="L1858" s="7">
        <v>-71.224999999999994</v>
      </c>
      <c r="M1858" s="10" t="str">
        <f t="shared" si="173"/>
        <v>C25</v>
      </c>
      <c r="N1858" s="10" t="str">
        <f t="shared" si="174"/>
        <v>C57</v>
      </c>
      <c r="O1858" s="5">
        <f t="shared" si="175"/>
        <v>8.012258237727286</v>
      </c>
      <c r="P1858" s="22">
        <f>O1858/Explications!$C$8</f>
        <v>0.26707527459090952</v>
      </c>
      <c r="Q1858" s="7" t="str">
        <f t="shared" si="176"/>
        <v>C57</v>
      </c>
      <c r="R1858" s="7" t="str">
        <f t="shared" si="177"/>
        <v>C25</v>
      </c>
      <c r="S1858" s="18">
        <f t="shared" si="178"/>
        <v>8.012258237727286</v>
      </c>
      <c r="T1858" s="18">
        <f>S1858/Explications!$C$8</f>
        <v>0.26707527459090952</v>
      </c>
    </row>
    <row r="1859" spans="7:20">
      <c r="G1859" s="7" t="s">
        <v>41</v>
      </c>
      <c r="H1859" s="7" t="s">
        <v>74</v>
      </c>
      <c r="I1859" s="7">
        <v>46.734900000000003</v>
      </c>
      <c r="J1859" s="7">
        <v>-71.266199999999998</v>
      </c>
      <c r="K1859" s="7">
        <v>46.773200000000003</v>
      </c>
      <c r="L1859" s="7">
        <v>-71.275899999999993</v>
      </c>
      <c r="M1859" s="10" t="str">
        <f t="shared" si="173"/>
        <v>C25</v>
      </c>
      <c r="N1859" s="10" t="str">
        <f t="shared" si="174"/>
        <v>C58</v>
      </c>
      <c r="O1859" s="5">
        <f t="shared" si="175"/>
        <v>4.3224034319679241</v>
      </c>
      <c r="P1859" s="22">
        <f>O1859/Explications!$C$8</f>
        <v>0.14408011439893081</v>
      </c>
      <c r="Q1859" s="7" t="str">
        <f t="shared" si="176"/>
        <v>C58</v>
      </c>
      <c r="R1859" s="7" t="str">
        <f t="shared" si="177"/>
        <v>C25</v>
      </c>
      <c r="S1859" s="18">
        <f t="shared" si="178"/>
        <v>4.3224034319679241</v>
      </c>
      <c r="T1859" s="18">
        <f>S1859/Explications!$C$8</f>
        <v>0.14408011439893081</v>
      </c>
    </row>
    <row r="1860" spans="7:20">
      <c r="G1860" s="7" t="s">
        <v>41</v>
      </c>
      <c r="H1860" s="7" t="s">
        <v>75</v>
      </c>
      <c r="I1860" s="7">
        <v>46.734900000000003</v>
      </c>
      <c r="J1860" s="7">
        <v>-71.266199999999998</v>
      </c>
      <c r="K1860" s="7">
        <v>46.814399999999999</v>
      </c>
      <c r="L1860" s="7">
        <v>-71.225700000000003</v>
      </c>
      <c r="M1860" s="10" t="str">
        <f t="shared" ref="M1860:M1923" si="179">G1860</f>
        <v>C25</v>
      </c>
      <c r="N1860" s="10" t="str">
        <f t="shared" ref="N1860:N1923" si="180">H1860</f>
        <v>C59</v>
      </c>
      <c r="O1860" s="5">
        <f t="shared" ref="O1860:O1923" si="181">ACOS(SIN(RADIANS(I1860))*SIN(RADIANS(K1860))+COS(RADIANS(I1860))*COS(RADIANS(K1860))*COS(RADIANS(J1860-L1860)))*6371</f>
        <v>9.362588172373723</v>
      </c>
      <c r="P1860" s="22">
        <f>O1860/Explications!$C$8</f>
        <v>0.31208627241245745</v>
      </c>
      <c r="Q1860" s="7" t="str">
        <f t="shared" ref="Q1860:Q1923" si="182">N1860</f>
        <v>C59</v>
      </c>
      <c r="R1860" s="7" t="str">
        <f t="shared" ref="R1860:R1923" si="183">M1860</f>
        <v>C25</v>
      </c>
      <c r="S1860" s="18">
        <f t="shared" ref="S1860:S1923" si="184">O1860</f>
        <v>9.362588172373723</v>
      </c>
      <c r="T1860" s="18">
        <f>S1860/Explications!$C$8</f>
        <v>0.31208627241245745</v>
      </c>
    </row>
    <row r="1861" spans="7:20">
      <c r="G1861" s="7" t="s">
        <v>41</v>
      </c>
      <c r="H1861" s="7" t="s">
        <v>76</v>
      </c>
      <c r="I1861" s="7">
        <v>46.734900000000003</v>
      </c>
      <c r="J1861" s="7">
        <v>-71.266199999999998</v>
      </c>
      <c r="K1861" s="7">
        <v>46.772500000000001</v>
      </c>
      <c r="L1861" s="7">
        <v>-71.276300000000006</v>
      </c>
      <c r="M1861" s="10" t="str">
        <f t="shared" si="179"/>
        <v>C25</v>
      </c>
      <c r="N1861" s="10" t="str">
        <f t="shared" si="180"/>
        <v>C60</v>
      </c>
      <c r="O1861" s="5">
        <f t="shared" si="181"/>
        <v>4.2511445390646276</v>
      </c>
      <c r="P1861" s="22">
        <f>O1861/Explications!$C$8</f>
        <v>0.14170481796882092</v>
      </c>
      <c r="Q1861" s="7" t="str">
        <f t="shared" si="182"/>
        <v>C60</v>
      </c>
      <c r="R1861" s="7" t="str">
        <f t="shared" si="183"/>
        <v>C25</v>
      </c>
      <c r="S1861" s="18">
        <f t="shared" si="184"/>
        <v>4.2511445390646276</v>
      </c>
      <c r="T1861" s="18">
        <f>S1861/Explications!$C$8</f>
        <v>0.14170481796882092</v>
      </c>
    </row>
    <row r="1862" spans="7:20">
      <c r="G1862" s="7" t="s">
        <v>41</v>
      </c>
      <c r="H1862" s="7" t="s">
        <v>77</v>
      </c>
      <c r="I1862" s="7">
        <v>46.734900000000003</v>
      </c>
      <c r="J1862" s="7">
        <v>-71.266199999999998</v>
      </c>
      <c r="K1862" s="7">
        <v>46.810899999999997</v>
      </c>
      <c r="L1862" s="7">
        <v>-71.215599999999995</v>
      </c>
      <c r="M1862" s="10" t="str">
        <f t="shared" si="179"/>
        <v>C25</v>
      </c>
      <c r="N1862" s="10" t="str">
        <f t="shared" si="180"/>
        <v>C61</v>
      </c>
      <c r="O1862" s="5">
        <f t="shared" si="181"/>
        <v>9.2879416763988409</v>
      </c>
      <c r="P1862" s="22">
        <f>O1862/Explications!$C$8</f>
        <v>0.30959805587996136</v>
      </c>
      <c r="Q1862" s="7" t="str">
        <f t="shared" si="182"/>
        <v>C61</v>
      </c>
      <c r="R1862" s="7" t="str">
        <f t="shared" si="183"/>
        <v>C25</v>
      </c>
      <c r="S1862" s="18">
        <f t="shared" si="184"/>
        <v>9.2879416763988409</v>
      </c>
      <c r="T1862" s="18">
        <f>S1862/Explications!$C$8</f>
        <v>0.30959805587996136</v>
      </c>
    </row>
    <row r="1863" spans="7:20">
      <c r="G1863" s="7" t="s">
        <v>41</v>
      </c>
      <c r="H1863" s="7" t="s">
        <v>78</v>
      </c>
      <c r="I1863" s="7">
        <v>46.734900000000003</v>
      </c>
      <c r="J1863" s="7">
        <v>-71.266199999999998</v>
      </c>
      <c r="K1863" s="7">
        <v>46.795200000000001</v>
      </c>
      <c r="L1863" s="7">
        <v>-71.245099999999994</v>
      </c>
      <c r="M1863" s="10" t="str">
        <f t="shared" si="179"/>
        <v>C25</v>
      </c>
      <c r="N1863" s="10" t="str">
        <f t="shared" si="180"/>
        <v>C62</v>
      </c>
      <c r="O1863" s="5">
        <f t="shared" si="181"/>
        <v>6.894971797312107</v>
      </c>
      <c r="P1863" s="22">
        <f>O1863/Explications!$C$8</f>
        <v>0.22983239324373689</v>
      </c>
      <c r="Q1863" s="7" t="str">
        <f t="shared" si="182"/>
        <v>C62</v>
      </c>
      <c r="R1863" s="7" t="str">
        <f t="shared" si="183"/>
        <v>C25</v>
      </c>
      <c r="S1863" s="18">
        <f t="shared" si="184"/>
        <v>6.894971797312107</v>
      </c>
      <c r="T1863" s="18">
        <f>S1863/Explications!$C$8</f>
        <v>0.22983239324373689</v>
      </c>
    </row>
    <row r="1864" spans="7:20">
      <c r="G1864" s="7" t="s">
        <v>41</v>
      </c>
      <c r="H1864" s="7" t="s">
        <v>79</v>
      </c>
      <c r="I1864" s="7">
        <v>46.734900000000003</v>
      </c>
      <c r="J1864" s="7">
        <v>-71.266199999999998</v>
      </c>
      <c r="K1864" s="7">
        <v>46.822000000000003</v>
      </c>
      <c r="L1864" s="7">
        <v>-71.345699999999994</v>
      </c>
      <c r="M1864" s="10" t="str">
        <f t="shared" si="179"/>
        <v>C25</v>
      </c>
      <c r="N1864" s="10" t="str">
        <f t="shared" si="180"/>
        <v>C63</v>
      </c>
      <c r="O1864" s="5">
        <f t="shared" si="181"/>
        <v>11.421445158580706</v>
      </c>
      <c r="P1864" s="22">
        <f>O1864/Explications!$C$8</f>
        <v>0.3807148386193569</v>
      </c>
      <c r="Q1864" s="7" t="str">
        <f t="shared" si="182"/>
        <v>C63</v>
      </c>
      <c r="R1864" s="7" t="str">
        <f t="shared" si="183"/>
        <v>C25</v>
      </c>
      <c r="S1864" s="18">
        <f t="shared" si="184"/>
        <v>11.421445158580706</v>
      </c>
      <c r="T1864" s="18">
        <f>S1864/Explications!$C$8</f>
        <v>0.3807148386193569</v>
      </c>
    </row>
    <row r="1865" spans="7:20">
      <c r="G1865" s="7" t="s">
        <v>41</v>
      </c>
      <c r="H1865" s="7" t="s">
        <v>80</v>
      </c>
      <c r="I1865" s="7">
        <v>46.734900000000003</v>
      </c>
      <c r="J1865" s="7">
        <v>-71.266199999999998</v>
      </c>
      <c r="K1865" s="7">
        <v>46.779400000000003</v>
      </c>
      <c r="L1865" s="7">
        <v>-71.350399999999993</v>
      </c>
      <c r="M1865" s="10" t="str">
        <f t="shared" si="179"/>
        <v>C25</v>
      </c>
      <c r="N1865" s="10" t="str">
        <f t="shared" si="180"/>
        <v>C64</v>
      </c>
      <c r="O1865" s="5">
        <f t="shared" si="181"/>
        <v>8.1010520242028932</v>
      </c>
      <c r="P1865" s="22">
        <f>O1865/Explications!$C$8</f>
        <v>0.27003506747342976</v>
      </c>
      <c r="Q1865" s="7" t="str">
        <f t="shared" si="182"/>
        <v>C64</v>
      </c>
      <c r="R1865" s="7" t="str">
        <f t="shared" si="183"/>
        <v>C25</v>
      </c>
      <c r="S1865" s="18">
        <f t="shared" si="184"/>
        <v>8.1010520242028932</v>
      </c>
      <c r="T1865" s="18">
        <f>S1865/Explications!$C$8</f>
        <v>0.27003506747342976</v>
      </c>
    </row>
    <row r="1866" spans="7:20">
      <c r="G1866" s="7" t="s">
        <v>41</v>
      </c>
      <c r="H1866" s="7" t="s">
        <v>81</v>
      </c>
      <c r="I1866" s="7">
        <v>46.734900000000003</v>
      </c>
      <c r="J1866" s="7">
        <v>-71.266199999999998</v>
      </c>
      <c r="K1866" s="7">
        <v>46.772300000000001</v>
      </c>
      <c r="L1866" s="7">
        <v>-71.279799999999994</v>
      </c>
      <c r="M1866" s="10" t="str">
        <f t="shared" si="179"/>
        <v>C25</v>
      </c>
      <c r="N1866" s="10" t="str">
        <f t="shared" si="180"/>
        <v>C65</v>
      </c>
      <c r="O1866" s="5">
        <f t="shared" si="181"/>
        <v>4.2858145728355694</v>
      </c>
      <c r="P1866" s="22">
        <f>O1866/Explications!$C$8</f>
        <v>0.14286048576118565</v>
      </c>
      <c r="Q1866" s="7" t="str">
        <f t="shared" si="182"/>
        <v>C65</v>
      </c>
      <c r="R1866" s="7" t="str">
        <f t="shared" si="183"/>
        <v>C25</v>
      </c>
      <c r="S1866" s="18">
        <f t="shared" si="184"/>
        <v>4.2858145728355694</v>
      </c>
      <c r="T1866" s="18">
        <f>S1866/Explications!$C$8</f>
        <v>0.14286048576118565</v>
      </c>
    </row>
    <row r="1867" spans="7:20">
      <c r="G1867" s="7" t="s">
        <v>41</v>
      </c>
      <c r="H1867" s="7" t="s">
        <v>82</v>
      </c>
      <c r="I1867" s="7">
        <v>46.734900000000003</v>
      </c>
      <c r="J1867" s="7">
        <v>-71.266199999999998</v>
      </c>
      <c r="K1867" s="7">
        <v>46.814900000000002</v>
      </c>
      <c r="L1867" s="7">
        <v>-71.225200000000001</v>
      </c>
      <c r="M1867" s="10" t="str">
        <f t="shared" si="179"/>
        <v>C25</v>
      </c>
      <c r="N1867" s="10" t="str">
        <f t="shared" si="180"/>
        <v>C66</v>
      </c>
      <c r="O1867" s="5">
        <f t="shared" si="181"/>
        <v>9.4276374206962696</v>
      </c>
      <c r="P1867" s="22">
        <f>O1867/Explications!$C$8</f>
        <v>0.31425458068987566</v>
      </c>
      <c r="Q1867" s="7" t="str">
        <f t="shared" si="182"/>
        <v>C66</v>
      </c>
      <c r="R1867" s="7" t="str">
        <f t="shared" si="183"/>
        <v>C25</v>
      </c>
      <c r="S1867" s="18">
        <f t="shared" si="184"/>
        <v>9.4276374206962696</v>
      </c>
      <c r="T1867" s="18">
        <f>S1867/Explications!$C$8</f>
        <v>0.31425458068987566</v>
      </c>
    </row>
    <row r="1868" spans="7:20">
      <c r="G1868" s="7" t="s">
        <v>41</v>
      </c>
      <c r="H1868" s="7" t="s">
        <v>83</v>
      </c>
      <c r="I1868" s="7">
        <v>46.734900000000003</v>
      </c>
      <c r="J1868" s="7">
        <v>-71.266199999999998</v>
      </c>
      <c r="K1868" s="7">
        <v>46.814700000000002</v>
      </c>
      <c r="L1868" s="7">
        <v>-71.207300000000004</v>
      </c>
      <c r="M1868" s="10" t="str">
        <f t="shared" si="179"/>
        <v>C25</v>
      </c>
      <c r="N1868" s="10" t="str">
        <f t="shared" si="180"/>
        <v>C67</v>
      </c>
      <c r="O1868" s="5">
        <f t="shared" si="181"/>
        <v>9.9426234879451449</v>
      </c>
      <c r="P1868" s="22">
        <f>O1868/Explications!$C$8</f>
        <v>0.33142078293150484</v>
      </c>
      <c r="Q1868" s="7" t="str">
        <f t="shared" si="182"/>
        <v>C67</v>
      </c>
      <c r="R1868" s="7" t="str">
        <f t="shared" si="183"/>
        <v>C25</v>
      </c>
      <c r="S1868" s="18">
        <f t="shared" si="184"/>
        <v>9.9426234879451449</v>
      </c>
      <c r="T1868" s="18">
        <f>S1868/Explications!$C$8</f>
        <v>0.33142078293150484</v>
      </c>
    </row>
    <row r="1869" spans="7:20">
      <c r="G1869" s="7" t="s">
        <v>41</v>
      </c>
      <c r="H1869" s="7" t="s">
        <v>84</v>
      </c>
      <c r="I1869" s="7">
        <v>46.734900000000003</v>
      </c>
      <c r="J1869" s="7">
        <v>-71.266199999999998</v>
      </c>
      <c r="K1869" s="7">
        <v>46.815600000000003</v>
      </c>
      <c r="L1869" s="7">
        <v>-71.2029</v>
      </c>
      <c r="M1869" s="10" t="str">
        <f t="shared" si="179"/>
        <v>C25</v>
      </c>
      <c r="N1869" s="10" t="str">
        <f t="shared" si="180"/>
        <v>C68</v>
      </c>
      <c r="O1869" s="5">
        <f t="shared" si="181"/>
        <v>10.186246520936296</v>
      </c>
      <c r="P1869" s="22">
        <f>O1869/Explications!$C$8</f>
        <v>0.3395415506978765</v>
      </c>
      <c r="Q1869" s="7" t="str">
        <f t="shared" si="182"/>
        <v>C68</v>
      </c>
      <c r="R1869" s="7" t="str">
        <f t="shared" si="183"/>
        <v>C25</v>
      </c>
      <c r="S1869" s="18">
        <f t="shared" si="184"/>
        <v>10.186246520936296</v>
      </c>
      <c r="T1869" s="18">
        <f>S1869/Explications!$C$8</f>
        <v>0.3395415506978765</v>
      </c>
    </row>
    <row r="1870" spans="7:20">
      <c r="G1870" s="7" t="s">
        <v>41</v>
      </c>
      <c r="H1870" s="7" t="s">
        <v>85</v>
      </c>
      <c r="I1870" s="7">
        <v>46.734900000000003</v>
      </c>
      <c r="J1870" s="7">
        <v>-71.266199999999998</v>
      </c>
      <c r="K1870" s="7">
        <v>46.821899999999999</v>
      </c>
      <c r="L1870" s="7">
        <v>-71.249899999999997</v>
      </c>
      <c r="M1870" s="10" t="str">
        <f t="shared" si="179"/>
        <v>C25</v>
      </c>
      <c r="N1870" s="10" t="str">
        <f t="shared" si="180"/>
        <v>C69</v>
      </c>
      <c r="O1870" s="5">
        <f t="shared" si="181"/>
        <v>9.7532615727096399</v>
      </c>
      <c r="P1870" s="22">
        <f>O1870/Explications!$C$8</f>
        <v>0.32510871909032135</v>
      </c>
      <c r="Q1870" s="7" t="str">
        <f t="shared" si="182"/>
        <v>C69</v>
      </c>
      <c r="R1870" s="7" t="str">
        <f t="shared" si="183"/>
        <v>C25</v>
      </c>
      <c r="S1870" s="18">
        <f t="shared" si="184"/>
        <v>9.7532615727096399</v>
      </c>
      <c r="T1870" s="18">
        <f>S1870/Explications!$C$8</f>
        <v>0.32510871909032135</v>
      </c>
    </row>
    <row r="1871" spans="7:20">
      <c r="G1871" s="7" t="s">
        <v>41</v>
      </c>
      <c r="H1871" s="7" t="s">
        <v>86</v>
      </c>
      <c r="I1871" s="7">
        <v>46.734900000000003</v>
      </c>
      <c r="J1871" s="7">
        <v>-71.266199999999998</v>
      </c>
      <c r="K1871" s="7">
        <v>46.8872</v>
      </c>
      <c r="L1871" s="7">
        <v>-71.27</v>
      </c>
      <c r="M1871" s="10" t="str">
        <f t="shared" si="179"/>
        <v>C25</v>
      </c>
      <c r="N1871" s="10" t="str">
        <f t="shared" si="180"/>
        <v>C70</v>
      </c>
      <c r="O1871" s="5">
        <f t="shared" si="181"/>
        <v>16.937456308739819</v>
      </c>
      <c r="P1871" s="22">
        <f>O1871/Explications!$C$8</f>
        <v>0.564581876957994</v>
      </c>
      <c r="Q1871" s="7" t="str">
        <f t="shared" si="182"/>
        <v>C70</v>
      </c>
      <c r="R1871" s="7" t="str">
        <f t="shared" si="183"/>
        <v>C25</v>
      </c>
      <c r="S1871" s="18">
        <f t="shared" si="184"/>
        <v>16.937456308739819</v>
      </c>
      <c r="T1871" s="18">
        <f>S1871/Explications!$C$8</f>
        <v>0.564581876957994</v>
      </c>
    </row>
    <row r="1872" spans="7:20">
      <c r="G1872" s="7" t="s">
        <v>41</v>
      </c>
      <c r="H1872" s="7" t="s">
        <v>87</v>
      </c>
      <c r="I1872" s="7">
        <v>46.734900000000003</v>
      </c>
      <c r="J1872" s="7">
        <v>-71.266199999999998</v>
      </c>
      <c r="K1872" s="7">
        <v>46.816299999999998</v>
      </c>
      <c r="L1872" s="7">
        <v>-71.210300000000004</v>
      </c>
      <c r="M1872" s="10" t="str">
        <f t="shared" si="179"/>
        <v>C25</v>
      </c>
      <c r="N1872" s="10" t="str">
        <f t="shared" si="180"/>
        <v>C71</v>
      </c>
      <c r="O1872" s="5">
        <f t="shared" si="181"/>
        <v>10.002345398901594</v>
      </c>
      <c r="P1872" s="22">
        <f>O1872/Explications!$C$8</f>
        <v>0.33341151329671981</v>
      </c>
      <c r="Q1872" s="7" t="str">
        <f t="shared" si="182"/>
        <v>C71</v>
      </c>
      <c r="R1872" s="7" t="str">
        <f t="shared" si="183"/>
        <v>C25</v>
      </c>
      <c r="S1872" s="18">
        <f t="shared" si="184"/>
        <v>10.002345398901594</v>
      </c>
      <c r="T1872" s="18">
        <f>S1872/Explications!$C$8</f>
        <v>0.33341151329671981</v>
      </c>
    </row>
    <row r="1873" spans="7:20">
      <c r="G1873" s="7" t="s">
        <v>41</v>
      </c>
      <c r="H1873" s="7" t="s">
        <v>88</v>
      </c>
      <c r="I1873" s="7">
        <v>46.734900000000003</v>
      </c>
      <c r="J1873" s="7">
        <v>-71.266199999999998</v>
      </c>
      <c r="K1873" s="7">
        <v>46.807000000000002</v>
      </c>
      <c r="L1873" s="7">
        <v>-71.3566</v>
      </c>
      <c r="M1873" s="10" t="str">
        <f t="shared" si="179"/>
        <v>C25</v>
      </c>
      <c r="N1873" s="10" t="str">
        <f t="shared" si="180"/>
        <v>C72</v>
      </c>
      <c r="O1873" s="5">
        <f t="shared" si="181"/>
        <v>10.567646452015822</v>
      </c>
      <c r="P1873" s="22">
        <f>O1873/Explications!$C$8</f>
        <v>0.35225488173386071</v>
      </c>
      <c r="Q1873" s="7" t="str">
        <f t="shared" si="182"/>
        <v>C72</v>
      </c>
      <c r="R1873" s="7" t="str">
        <f t="shared" si="183"/>
        <v>C25</v>
      </c>
      <c r="S1873" s="18">
        <f t="shared" si="184"/>
        <v>10.567646452015822</v>
      </c>
      <c r="T1873" s="18">
        <f>S1873/Explications!$C$8</f>
        <v>0.35225488173386071</v>
      </c>
    </row>
    <row r="1874" spans="7:20">
      <c r="G1874" s="7" t="s">
        <v>41</v>
      </c>
      <c r="H1874" s="7" t="s">
        <v>89</v>
      </c>
      <c r="I1874" s="7">
        <v>46.734900000000003</v>
      </c>
      <c r="J1874" s="7">
        <v>-71.266199999999998</v>
      </c>
      <c r="K1874" s="7">
        <v>46.822899999999997</v>
      </c>
      <c r="L1874" s="7">
        <v>-71.341899999999995</v>
      </c>
      <c r="M1874" s="10" t="str">
        <f t="shared" si="179"/>
        <v>C25</v>
      </c>
      <c r="N1874" s="10" t="str">
        <f t="shared" si="180"/>
        <v>C73</v>
      </c>
      <c r="O1874" s="5">
        <f t="shared" si="181"/>
        <v>11.356828642467594</v>
      </c>
      <c r="P1874" s="22">
        <f>O1874/Explications!$C$8</f>
        <v>0.37856095474891982</v>
      </c>
      <c r="Q1874" s="7" t="str">
        <f t="shared" si="182"/>
        <v>C73</v>
      </c>
      <c r="R1874" s="7" t="str">
        <f t="shared" si="183"/>
        <v>C25</v>
      </c>
      <c r="S1874" s="18">
        <f t="shared" si="184"/>
        <v>11.356828642467594</v>
      </c>
      <c r="T1874" s="18">
        <f>S1874/Explications!$C$8</f>
        <v>0.37856095474891982</v>
      </c>
    </row>
    <row r="1875" spans="7:20">
      <c r="G1875" s="7" t="s">
        <v>41</v>
      </c>
      <c r="H1875" s="7" t="s">
        <v>90</v>
      </c>
      <c r="I1875" s="7">
        <v>46.734900000000003</v>
      </c>
      <c r="J1875" s="7">
        <v>-71.266199999999998</v>
      </c>
      <c r="K1875" s="7">
        <v>46.730699999999999</v>
      </c>
      <c r="L1875" s="7">
        <v>-71.261099999999999</v>
      </c>
      <c r="M1875" s="10" t="str">
        <f t="shared" si="179"/>
        <v>C25</v>
      </c>
      <c r="N1875" s="10" t="str">
        <f t="shared" si="180"/>
        <v>C74</v>
      </c>
      <c r="O1875" s="5">
        <f t="shared" si="181"/>
        <v>0.60760530930461032</v>
      </c>
      <c r="P1875" s="22">
        <f>O1875/Explications!$C$8</f>
        <v>2.0253510310153676E-2</v>
      </c>
      <c r="Q1875" s="7" t="str">
        <f t="shared" si="182"/>
        <v>C74</v>
      </c>
      <c r="R1875" s="7" t="str">
        <f t="shared" si="183"/>
        <v>C25</v>
      </c>
      <c r="S1875" s="18">
        <f t="shared" si="184"/>
        <v>0.60760530930461032</v>
      </c>
      <c r="T1875" s="18">
        <f>S1875/Explications!$C$8</f>
        <v>2.0253510310153676E-2</v>
      </c>
    </row>
    <row r="1876" spans="7:20">
      <c r="G1876" s="7" t="s">
        <v>41</v>
      </c>
      <c r="H1876" s="7" t="s">
        <v>91</v>
      </c>
      <c r="I1876" s="7">
        <v>46.734900000000003</v>
      </c>
      <c r="J1876" s="7">
        <v>-71.266199999999998</v>
      </c>
      <c r="K1876" s="7">
        <v>46.840600000000002</v>
      </c>
      <c r="L1876" s="7">
        <v>-71.289100000000005</v>
      </c>
      <c r="M1876" s="10" t="str">
        <f t="shared" si="179"/>
        <v>C25</v>
      </c>
      <c r="N1876" s="10" t="str">
        <f t="shared" si="180"/>
        <v>C75</v>
      </c>
      <c r="O1876" s="5">
        <f t="shared" si="181"/>
        <v>11.881916814572346</v>
      </c>
      <c r="P1876" s="22">
        <f>O1876/Explications!$C$8</f>
        <v>0.39606389381907819</v>
      </c>
      <c r="Q1876" s="7" t="str">
        <f t="shared" si="182"/>
        <v>C75</v>
      </c>
      <c r="R1876" s="7" t="str">
        <f t="shared" si="183"/>
        <v>C25</v>
      </c>
      <c r="S1876" s="18">
        <f t="shared" si="184"/>
        <v>11.881916814572346</v>
      </c>
      <c r="T1876" s="18">
        <f>S1876/Explications!$C$8</f>
        <v>0.39606389381907819</v>
      </c>
    </row>
    <row r="1877" spans="7:20">
      <c r="G1877" s="7" t="s">
        <v>41</v>
      </c>
      <c r="H1877" s="7" t="s">
        <v>92</v>
      </c>
      <c r="I1877" s="7">
        <v>46.734900000000003</v>
      </c>
      <c r="J1877" s="7">
        <v>-71.266199999999998</v>
      </c>
      <c r="K1877" s="7">
        <v>46.840600000000002</v>
      </c>
      <c r="L1877" s="7">
        <v>-71.281599999999997</v>
      </c>
      <c r="M1877" s="10" t="str">
        <f t="shared" si="179"/>
        <v>C25</v>
      </c>
      <c r="N1877" s="10" t="str">
        <f t="shared" si="180"/>
        <v>C76</v>
      </c>
      <c r="O1877" s="5">
        <f t="shared" si="181"/>
        <v>11.811641379616384</v>
      </c>
      <c r="P1877" s="22">
        <f>O1877/Explications!$C$8</f>
        <v>0.39372137932054613</v>
      </c>
      <c r="Q1877" s="7" t="str">
        <f t="shared" si="182"/>
        <v>C76</v>
      </c>
      <c r="R1877" s="7" t="str">
        <f t="shared" si="183"/>
        <v>C25</v>
      </c>
      <c r="S1877" s="18">
        <f t="shared" si="184"/>
        <v>11.811641379616384</v>
      </c>
      <c r="T1877" s="18">
        <f>S1877/Explications!$C$8</f>
        <v>0.39372137932054613</v>
      </c>
    </row>
    <row r="1878" spans="7:20">
      <c r="G1878" s="7" t="s">
        <v>41</v>
      </c>
      <c r="H1878" s="7" t="s">
        <v>93</v>
      </c>
      <c r="I1878" s="7">
        <v>46.734900000000003</v>
      </c>
      <c r="J1878" s="7">
        <v>-71.266199999999998</v>
      </c>
      <c r="K1878" s="7">
        <v>46.839399999999998</v>
      </c>
      <c r="L1878" s="7">
        <v>-71.282600000000002</v>
      </c>
      <c r="M1878" s="10" t="str">
        <f t="shared" si="179"/>
        <v>C25</v>
      </c>
      <c r="N1878" s="10" t="str">
        <f t="shared" si="180"/>
        <v>C77</v>
      </c>
      <c r="O1878" s="5">
        <f t="shared" si="181"/>
        <v>11.68676452067553</v>
      </c>
      <c r="P1878" s="22">
        <f>O1878/Explications!$C$8</f>
        <v>0.38955881735585096</v>
      </c>
      <c r="Q1878" s="7" t="str">
        <f t="shared" si="182"/>
        <v>C77</v>
      </c>
      <c r="R1878" s="7" t="str">
        <f t="shared" si="183"/>
        <v>C25</v>
      </c>
      <c r="S1878" s="18">
        <f t="shared" si="184"/>
        <v>11.68676452067553</v>
      </c>
      <c r="T1878" s="18">
        <f>S1878/Explications!$C$8</f>
        <v>0.38955881735585096</v>
      </c>
    </row>
    <row r="1879" spans="7:20">
      <c r="G1879" s="7" t="s">
        <v>41</v>
      </c>
      <c r="H1879" s="7" t="s">
        <v>94</v>
      </c>
      <c r="I1879" s="7">
        <v>46.734900000000003</v>
      </c>
      <c r="J1879" s="7">
        <v>-71.266199999999998</v>
      </c>
      <c r="K1879" s="7">
        <v>46.788499999999999</v>
      </c>
      <c r="L1879" s="7">
        <v>-71.282399999999996</v>
      </c>
      <c r="M1879" s="10" t="str">
        <f t="shared" si="179"/>
        <v>C25</v>
      </c>
      <c r="N1879" s="10" t="str">
        <f t="shared" si="180"/>
        <v>C78</v>
      </c>
      <c r="O1879" s="5">
        <f t="shared" si="181"/>
        <v>6.0864528421838511</v>
      </c>
      <c r="P1879" s="22">
        <f>O1879/Explications!$C$8</f>
        <v>0.20288176140612837</v>
      </c>
      <c r="Q1879" s="7" t="str">
        <f t="shared" si="182"/>
        <v>C78</v>
      </c>
      <c r="R1879" s="7" t="str">
        <f t="shared" si="183"/>
        <v>C25</v>
      </c>
      <c r="S1879" s="18">
        <f t="shared" si="184"/>
        <v>6.0864528421838511</v>
      </c>
      <c r="T1879" s="18">
        <f>S1879/Explications!$C$8</f>
        <v>0.20288176140612837</v>
      </c>
    </row>
    <row r="1880" spans="7:20">
      <c r="G1880" s="7" t="s">
        <v>41</v>
      </c>
      <c r="H1880" s="7" t="s">
        <v>95</v>
      </c>
      <c r="I1880" s="7">
        <v>46.734900000000003</v>
      </c>
      <c r="J1880" s="7">
        <v>-71.266199999999998</v>
      </c>
      <c r="K1880" s="7">
        <v>46.840699999999998</v>
      </c>
      <c r="L1880" s="7">
        <v>-71.325400000000002</v>
      </c>
      <c r="M1880" s="10" t="str">
        <f t="shared" si="179"/>
        <v>C25</v>
      </c>
      <c r="N1880" s="10" t="str">
        <f t="shared" si="180"/>
        <v>C79</v>
      </c>
      <c r="O1880" s="5">
        <f t="shared" si="181"/>
        <v>12.598278982123626</v>
      </c>
      <c r="P1880" s="22">
        <f>O1880/Explications!$C$8</f>
        <v>0.41994263273745419</v>
      </c>
      <c r="Q1880" s="7" t="str">
        <f t="shared" si="182"/>
        <v>C79</v>
      </c>
      <c r="R1880" s="7" t="str">
        <f t="shared" si="183"/>
        <v>C25</v>
      </c>
      <c r="S1880" s="18">
        <f t="shared" si="184"/>
        <v>12.598278982123626</v>
      </c>
      <c r="T1880" s="18">
        <f>S1880/Explications!$C$8</f>
        <v>0.41994263273745419</v>
      </c>
    </row>
    <row r="1881" spans="7:20">
      <c r="G1881" s="7" t="s">
        <v>41</v>
      </c>
      <c r="H1881" s="7" t="s">
        <v>96</v>
      </c>
      <c r="I1881" s="7">
        <v>46.734900000000003</v>
      </c>
      <c r="J1881" s="7">
        <v>-71.266199999999998</v>
      </c>
      <c r="K1881" s="7">
        <v>46.798400000000001</v>
      </c>
      <c r="L1881" s="7">
        <v>-71.183199999999999</v>
      </c>
      <c r="M1881" s="10" t="str">
        <f t="shared" si="179"/>
        <v>C25</v>
      </c>
      <c r="N1881" s="10" t="str">
        <f t="shared" si="180"/>
        <v>C80</v>
      </c>
      <c r="O1881" s="5">
        <f t="shared" si="181"/>
        <v>9.4773494009982997</v>
      </c>
      <c r="P1881" s="22">
        <f>O1881/Explications!$C$8</f>
        <v>0.31591164669994332</v>
      </c>
      <c r="Q1881" s="7" t="str">
        <f t="shared" si="182"/>
        <v>C80</v>
      </c>
      <c r="R1881" s="7" t="str">
        <f t="shared" si="183"/>
        <v>C25</v>
      </c>
      <c r="S1881" s="18">
        <f t="shared" si="184"/>
        <v>9.4773494009982997</v>
      </c>
      <c r="T1881" s="18">
        <f>S1881/Explications!$C$8</f>
        <v>0.31591164669994332</v>
      </c>
    </row>
    <row r="1882" spans="7:20">
      <c r="G1882" s="7" t="s">
        <v>41</v>
      </c>
      <c r="H1882" s="7" t="s">
        <v>97</v>
      </c>
      <c r="I1882" s="7">
        <v>46.734900000000003</v>
      </c>
      <c r="J1882" s="7">
        <v>-71.266199999999998</v>
      </c>
      <c r="K1882" s="7">
        <v>46.724800000000002</v>
      </c>
      <c r="L1882" s="7">
        <v>-71.2988</v>
      </c>
      <c r="M1882" s="10" t="str">
        <f t="shared" si="179"/>
        <v>C25</v>
      </c>
      <c r="N1882" s="10" t="str">
        <f t="shared" si="180"/>
        <v>C81</v>
      </c>
      <c r="O1882" s="5">
        <f t="shared" si="181"/>
        <v>2.7267097412647665</v>
      </c>
      <c r="P1882" s="22">
        <f>O1882/Explications!$C$8</f>
        <v>9.0890324708825548E-2</v>
      </c>
      <c r="Q1882" s="7" t="str">
        <f t="shared" si="182"/>
        <v>C81</v>
      </c>
      <c r="R1882" s="7" t="str">
        <f t="shared" si="183"/>
        <v>C25</v>
      </c>
      <c r="S1882" s="18">
        <f t="shared" si="184"/>
        <v>2.7267097412647665</v>
      </c>
      <c r="T1882" s="18">
        <f>S1882/Explications!$C$8</f>
        <v>9.0890324708825548E-2</v>
      </c>
    </row>
    <row r="1883" spans="7:20">
      <c r="G1883" s="7" t="s">
        <v>41</v>
      </c>
      <c r="H1883" s="7" t="s">
        <v>98</v>
      </c>
      <c r="I1883" s="7">
        <v>46.734900000000003</v>
      </c>
      <c r="J1883" s="7">
        <v>-71.266199999999998</v>
      </c>
      <c r="K1883" s="7">
        <v>46.795499999999997</v>
      </c>
      <c r="L1883" s="7">
        <v>-71.242900000000006</v>
      </c>
      <c r="M1883" s="10" t="str">
        <f t="shared" si="179"/>
        <v>C25</v>
      </c>
      <c r="N1883" s="10" t="str">
        <f t="shared" si="180"/>
        <v>C82</v>
      </c>
      <c r="O1883" s="5">
        <f t="shared" si="181"/>
        <v>6.9681965149043519</v>
      </c>
      <c r="P1883" s="22">
        <f>O1883/Explications!$C$8</f>
        <v>0.2322732171634784</v>
      </c>
      <c r="Q1883" s="7" t="str">
        <f t="shared" si="182"/>
        <v>C82</v>
      </c>
      <c r="R1883" s="7" t="str">
        <f t="shared" si="183"/>
        <v>C25</v>
      </c>
      <c r="S1883" s="18">
        <f t="shared" si="184"/>
        <v>6.9681965149043519</v>
      </c>
      <c r="T1883" s="18">
        <f>S1883/Explications!$C$8</f>
        <v>0.2322732171634784</v>
      </c>
    </row>
    <row r="1884" spans="7:20">
      <c r="G1884" s="7" t="s">
        <v>41</v>
      </c>
      <c r="H1884" s="7" t="s">
        <v>99</v>
      </c>
      <c r="I1884" s="7">
        <v>46.734900000000003</v>
      </c>
      <c r="J1884" s="7">
        <v>-71.266199999999998</v>
      </c>
      <c r="K1884" s="7">
        <v>46.8157</v>
      </c>
      <c r="L1884" s="7">
        <v>-71.201899999999995</v>
      </c>
      <c r="M1884" s="10" t="str">
        <f t="shared" si="179"/>
        <v>C25</v>
      </c>
      <c r="N1884" s="10" t="str">
        <f t="shared" si="180"/>
        <v>C83</v>
      </c>
      <c r="O1884" s="5">
        <f t="shared" si="181"/>
        <v>10.232265049096892</v>
      </c>
      <c r="P1884" s="22">
        <f>O1884/Explications!$C$8</f>
        <v>0.34107550163656308</v>
      </c>
      <c r="Q1884" s="7" t="str">
        <f t="shared" si="182"/>
        <v>C83</v>
      </c>
      <c r="R1884" s="7" t="str">
        <f t="shared" si="183"/>
        <v>C25</v>
      </c>
      <c r="S1884" s="18">
        <f t="shared" si="184"/>
        <v>10.232265049096892</v>
      </c>
      <c r="T1884" s="18">
        <f>S1884/Explications!$C$8</f>
        <v>0.34107550163656308</v>
      </c>
    </row>
    <row r="1885" spans="7:20">
      <c r="G1885" s="7" t="s">
        <v>41</v>
      </c>
      <c r="H1885" s="7" t="s">
        <v>100</v>
      </c>
      <c r="I1885" s="7">
        <v>46.734900000000003</v>
      </c>
      <c r="J1885" s="7">
        <v>-71.266199999999998</v>
      </c>
      <c r="K1885" s="7">
        <v>46.837600000000002</v>
      </c>
      <c r="L1885" s="7">
        <v>-71.196299999999994</v>
      </c>
      <c r="M1885" s="10" t="str">
        <f t="shared" si="179"/>
        <v>C25</v>
      </c>
      <c r="N1885" s="10" t="str">
        <f t="shared" si="180"/>
        <v>C84</v>
      </c>
      <c r="O1885" s="5">
        <f t="shared" si="181"/>
        <v>12.598961691125954</v>
      </c>
      <c r="P1885" s="22">
        <f>O1885/Explications!$C$8</f>
        <v>0.41996538970419844</v>
      </c>
      <c r="Q1885" s="7" t="str">
        <f t="shared" si="182"/>
        <v>C84</v>
      </c>
      <c r="R1885" s="7" t="str">
        <f t="shared" si="183"/>
        <v>C25</v>
      </c>
      <c r="S1885" s="18">
        <f t="shared" si="184"/>
        <v>12.598961691125954</v>
      </c>
      <c r="T1885" s="18">
        <f>S1885/Explications!$C$8</f>
        <v>0.41996538970419844</v>
      </c>
    </row>
    <row r="1886" spans="7:20">
      <c r="G1886" s="7" t="s">
        <v>41</v>
      </c>
      <c r="H1886" s="7" t="s">
        <v>101</v>
      </c>
      <c r="I1886" s="7">
        <v>46.734900000000003</v>
      </c>
      <c r="J1886" s="7">
        <v>-71.266199999999998</v>
      </c>
      <c r="K1886" s="7">
        <v>46.7988</v>
      </c>
      <c r="L1886" s="7">
        <v>-71.318200000000004</v>
      </c>
      <c r="M1886" s="10" t="str">
        <f t="shared" si="179"/>
        <v>C25</v>
      </c>
      <c r="N1886" s="10" t="str">
        <f t="shared" si="180"/>
        <v>C85</v>
      </c>
      <c r="O1886" s="5">
        <f t="shared" si="181"/>
        <v>8.1346351028060564</v>
      </c>
      <c r="P1886" s="22">
        <f>O1886/Explications!$C$8</f>
        <v>0.27115450342686853</v>
      </c>
      <c r="Q1886" s="7" t="str">
        <f t="shared" si="182"/>
        <v>C85</v>
      </c>
      <c r="R1886" s="7" t="str">
        <f t="shared" si="183"/>
        <v>C25</v>
      </c>
      <c r="S1886" s="18">
        <f t="shared" si="184"/>
        <v>8.1346351028060564</v>
      </c>
      <c r="T1886" s="18">
        <f>S1886/Explications!$C$8</f>
        <v>0.27115450342686853</v>
      </c>
    </row>
    <row r="1887" spans="7:20">
      <c r="G1887" s="7" t="s">
        <v>42</v>
      </c>
      <c r="H1887" s="7" t="s">
        <v>43</v>
      </c>
      <c r="I1887" s="7">
        <v>46.817700000000002</v>
      </c>
      <c r="J1887" s="7">
        <v>-71.214100000000002</v>
      </c>
      <c r="K1887" s="7">
        <v>46.603000000000002</v>
      </c>
      <c r="L1887" s="7">
        <v>-71.490600000000001</v>
      </c>
      <c r="M1887" s="10" t="str">
        <f t="shared" si="179"/>
        <v>C26</v>
      </c>
      <c r="N1887" s="10" t="str">
        <f t="shared" si="180"/>
        <v>C27</v>
      </c>
      <c r="O1887" s="5">
        <f t="shared" si="181"/>
        <v>31.849370680949974</v>
      </c>
      <c r="P1887" s="22">
        <f>O1887/Explications!$C$8</f>
        <v>1.061645689364999</v>
      </c>
      <c r="Q1887" s="7" t="str">
        <f t="shared" si="182"/>
        <v>C27</v>
      </c>
      <c r="R1887" s="7" t="str">
        <f t="shared" si="183"/>
        <v>C26</v>
      </c>
      <c r="S1887" s="18">
        <f t="shared" si="184"/>
        <v>31.849370680949974</v>
      </c>
      <c r="T1887" s="18">
        <f>S1887/Explications!$C$8</f>
        <v>1.061645689364999</v>
      </c>
    </row>
    <row r="1888" spans="7:20">
      <c r="G1888" s="7" t="s">
        <v>42</v>
      </c>
      <c r="H1888" s="7" t="s">
        <v>44</v>
      </c>
      <c r="I1888" s="7">
        <v>46.817700000000002</v>
      </c>
      <c r="J1888" s="7">
        <v>-71.214100000000002</v>
      </c>
      <c r="K1888" s="7">
        <v>47.000500000000002</v>
      </c>
      <c r="L1888" s="7">
        <v>-71.388400000000004</v>
      </c>
      <c r="M1888" s="10" t="str">
        <f t="shared" si="179"/>
        <v>C26</v>
      </c>
      <c r="N1888" s="10" t="str">
        <f t="shared" si="180"/>
        <v>C28</v>
      </c>
      <c r="O1888" s="5">
        <f t="shared" si="181"/>
        <v>24.258465884616022</v>
      </c>
      <c r="P1888" s="22">
        <f>O1888/Explications!$C$8</f>
        <v>0.80861552948720072</v>
      </c>
      <c r="Q1888" s="7" t="str">
        <f t="shared" si="182"/>
        <v>C28</v>
      </c>
      <c r="R1888" s="7" t="str">
        <f t="shared" si="183"/>
        <v>C26</v>
      </c>
      <c r="S1888" s="18">
        <f t="shared" si="184"/>
        <v>24.258465884616022</v>
      </c>
      <c r="T1888" s="18">
        <f>S1888/Explications!$C$8</f>
        <v>0.80861552948720072</v>
      </c>
    </row>
    <row r="1889" spans="7:20">
      <c r="G1889" s="7" t="s">
        <v>42</v>
      </c>
      <c r="H1889" s="7" t="s">
        <v>45</v>
      </c>
      <c r="I1889" s="7">
        <v>46.817700000000002</v>
      </c>
      <c r="J1889" s="7">
        <v>-71.214100000000002</v>
      </c>
      <c r="K1889" s="7">
        <v>46.839100000000002</v>
      </c>
      <c r="L1889" s="7">
        <v>-71.245699999999999</v>
      </c>
      <c r="M1889" s="10" t="str">
        <f t="shared" si="179"/>
        <v>C26</v>
      </c>
      <c r="N1889" s="10" t="str">
        <f t="shared" si="180"/>
        <v>C29</v>
      </c>
      <c r="O1889" s="5">
        <f t="shared" si="181"/>
        <v>3.3825854005637321</v>
      </c>
      <c r="P1889" s="22">
        <f>O1889/Explications!$C$8</f>
        <v>0.11275284668545774</v>
      </c>
      <c r="Q1889" s="7" t="str">
        <f t="shared" si="182"/>
        <v>C29</v>
      </c>
      <c r="R1889" s="7" t="str">
        <f t="shared" si="183"/>
        <v>C26</v>
      </c>
      <c r="S1889" s="18">
        <f t="shared" si="184"/>
        <v>3.3825854005637321</v>
      </c>
      <c r="T1889" s="18">
        <f>S1889/Explications!$C$8</f>
        <v>0.11275284668545774</v>
      </c>
    </row>
    <row r="1890" spans="7:20">
      <c r="G1890" s="7" t="s">
        <v>42</v>
      </c>
      <c r="H1890" s="7" t="s">
        <v>46</v>
      </c>
      <c r="I1890" s="7">
        <v>46.817700000000002</v>
      </c>
      <c r="J1890" s="7">
        <v>-71.214100000000002</v>
      </c>
      <c r="K1890" s="7">
        <v>46.865699999999997</v>
      </c>
      <c r="L1890" s="7">
        <v>-71.27</v>
      </c>
      <c r="M1890" s="10" t="str">
        <f t="shared" si="179"/>
        <v>C26</v>
      </c>
      <c r="N1890" s="10" t="str">
        <f t="shared" si="180"/>
        <v>C30</v>
      </c>
      <c r="O1890" s="5">
        <f t="shared" si="181"/>
        <v>6.8238095915579198</v>
      </c>
      <c r="P1890" s="22">
        <f>O1890/Explications!$C$8</f>
        <v>0.22746031971859731</v>
      </c>
      <c r="Q1890" s="7" t="str">
        <f t="shared" si="182"/>
        <v>C30</v>
      </c>
      <c r="R1890" s="7" t="str">
        <f t="shared" si="183"/>
        <v>C26</v>
      </c>
      <c r="S1890" s="18">
        <f t="shared" si="184"/>
        <v>6.8238095915579198</v>
      </c>
      <c r="T1890" s="18">
        <f>S1890/Explications!$C$8</f>
        <v>0.22746031971859731</v>
      </c>
    </row>
    <row r="1891" spans="7:20">
      <c r="G1891" s="7" t="s">
        <v>42</v>
      </c>
      <c r="H1891" s="7" t="s">
        <v>47</v>
      </c>
      <c r="I1891" s="7">
        <v>46.817700000000002</v>
      </c>
      <c r="J1891" s="7">
        <v>-71.214100000000002</v>
      </c>
      <c r="K1891" s="7">
        <v>46.805500000000002</v>
      </c>
      <c r="L1891" s="7">
        <v>-71.217299999999994</v>
      </c>
      <c r="M1891" s="10" t="str">
        <f t="shared" si="179"/>
        <v>C26</v>
      </c>
      <c r="N1891" s="10" t="str">
        <f t="shared" si="180"/>
        <v>C31</v>
      </c>
      <c r="O1891" s="5">
        <f t="shared" si="181"/>
        <v>1.3782629946588396</v>
      </c>
      <c r="P1891" s="22">
        <f>O1891/Explications!$C$8</f>
        <v>4.5942099821961319E-2</v>
      </c>
      <c r="Q1891" s="7" t="str">
        <f t="shared" si="182"/>
        <v>C31</v>
      </c>
      <c r="R1891" s="7" t="str">
        <f t="shared" si="183"/>
        <v>C26</v>
      </c>
      <c r="S1891" s="18">
        <f t="shared" si="184"/>
        <v>1.3782629946588396</v>
      </c>
      <c r="T1891" s="18">
        <f>S1891/Explications!$C$8</f>
        <v>4.5942099821961319E-2</v>
      </c>
    </row>
    <row r="1892" spans="7:20">
      <c r="G1892" s="7" t="s">
        <v>42</v>
      </c>
      <c r="H1892" s="7" t="s">
        <v>48</v>
      </c>
      <c r="I1892" s="7">
        <v>46.817700000000002</v>
      </c>
      <c r="J1892" s="7">
        <v>-71.214100000000002</v>
      </c>
      <c r="K1892" s="7">
        <v>46.792299999999997</v>
      </c>
      <c r="L1892" s="7">
        <v>-71.172899999999998</v>
      </c>
      <c r="M1892" s="10" t="str">
        <f t="shared" si="179"/>
        <v>C26</v>
      </c>
      <c r="N1892" s="10" t="str">
        <f t="shared" si="180"/>
        <v>C32</v>
      </c>
      <c r="O1892" s="5">
        <f t="shared" si="181"/>
        <v>4.2201961538812229</v>
      </c>
      <c r="P1892" s="22">
        <f>O1892/Explications!$C$8</f>
        <v>0.14067320512937409</v>
      </c>
      <c r="Q1892" s="7" t="str">
        <f t="shared" si="182"/>
        <v>C32</v>
      </c>
      <c r="R1892" s="7" t="str">
        <f t="shared" si="183"/>
        <v>C26</v>
      </c>
      <c r="S1892" s="18">
        <f t="shared" si="184"/>
        <v>4.2201961538812229</v>
      </c>
      <c r="T1892" s="18">
        <f>S1892/Explications!$C$8</f>
        <v>0.14067320512937409</v>
      </c>
    </row>
    <row r="1893" spans="7:20">
      <c r="G1893" s="7" t="s">
        <v>42</v>
      </c>
      <c r="H1893" s="7" t="s">
        <v>49</v>
      </c>
      <c r="I1893" s="7">
        <v>46.817700000000002</v>
      </c>
      <c r="J1893" s="7">
        <v>-71.214100000000002</v>
      </c>
      <c r="K1893" s="7">
        <v>46.7883</v>
      </c>
      <c r="L1893" s="7">
        <v>-71.131200000000007</v>
      </c>
      <c r="M1893" s="10" t="str">
        <f t="shared" si="179"/>
        <v>C26</v>
      </c>
      <c r="N1893" s="10" t="str">
        <f t="shared" si="180"/>
        <v>C33</v>
      </c>
      <c r="O1893" s="5">
        <f t="shared" si="181"/>
        <v>7.1064295423139843</v>
      </c>
      <c r="P1893" s="22">
        <f>O1893/Explications!$C$8</f>
        <v>0.23688098474379948</v>
      </c>
      <c r="Q1893" s="7" t="str">
        <f t="shared" si="182"/>
        <v>C33</v>
      </c>
      <c r="R1893" s="7" t="str">
        <f t="shared" si="183"/>
        <v>C26</v>
      </c>
      <c r="S1893" s="18">
        <f t="shared" si="184"/>
        <v>7.1064295423139843</v>
      </c>
      <c r="T1893" s="18">
        <f>S1893/Explications!$C$8</f>
        <v>0.23688098474379948</v>
      </c>
    </row>
    <row r="1894" spans="7:20">
      <c r="G1894" s="7" t="s">
        <v>42</v>
      </c>
      <c r="H1894" s="7" t="s">
        <v>50</v>
      </c>
      <c r="I1894" s="7">
        <v>46.817700000000002</v>
      </c>
      <c r="J1894" s="7">
        <v>-71.214100000000002</v>
      </c>
      <c r="K1894" s="7">
        <v>46.8611</v>
      </c>
      <c r="L1894" s="7">
        <v>-71.268799999999999</v>
      </c>
      <c r="M1894" s="10" t="str">
        <f t="shared" si="179"/>
        <v>C26</v>
      </c>
      <c r="N1894" s="10" t="str">
        <f t="shared" si="180"/>
        <v>C34</v>
      </c>
      <c r="O1894" s="5">
        <f t="shared" si="181"/>
        <v>6.371783483398815</v>
      </c>
      <c r="P1894" s="22">
        <f>O1894/Explications!$C$8</f>
        <v>0.21239278277996049</v>
      </c>
      <c r="Q1894" s="7" t="str">
        <f t="shared" si="182"/>
        <v>C34</v>
      </c>
      <c r="R1894" s="7" t="str">
        <f t="shared" si="183"/>
        <v>C26</v>
      </c>
      <c r="S1894" s="18">
        <f t="shared" si="184"/>
        <v>6.371783483398815</v>
      </c>
      <c r="T1894" s="18">
        <f>S1894/Explications!$C$8</f>
        <v>0.21239278277996049</v>
      </c>
    </row>
    <row r="1895" spans="7:20">
      <c r="G1895" s="7" t="s">
        <v>42</v>
      </c>
      <c r="H1895" s="7" t="s">
        <v>51</v>
      </c>
      <c r="I1895" s="7">
        <v>46.817700000000002</v>
      </c>
      <c r="J1895" s="7">
        <v>-71.214100000000002</v>
      </c>
      <c r="K1895" s="7">
        <v>46.869700000000002</v>
      </c>
      <c r="L1895" s="7">
        <v>-71.205200000000005</v>
      </c>
      <c r="M1895" s="10" t="str">
        <f t="shared" si="179"/>
        <v>C26</v>
      </c>
      <c r="N1895" s="10" t="str">
        <f t="shared" si="180"/>
        <v>C35</v>
      </c>
      <c r="O1895" s="5">
        <f t="shared" si="181"/>
        <v>5.8216229716957892</v>
      </c>
      <c r="P1895" s="22">
        <f>O1895/Explications!$C$8</f>
        <v>0.19405409905652632</v>
      </c>
      <c r="Q1895" s="7" t="str">
        <f t="shared" si="182"/>
        <v>C35</v>
      </c>
      <c r="R1895" s="7" t="str">
        <f t="shared" si="183"/>
        <v>C26</v>
      </c>
      <c r="S1895" s="18">
        <f t="shared" si="184"/>
        <v>5.8216229716957892</v>
      </c>
      <c r="T1895" s="18">
        <f>S1895/Explications!$C$8</f>
        <v>0.19405409905652632</v>
      </c>
    </row>
    <row r="1896" spans="7:20">
      <c r="G1896" s="7" t="s">
        <v>42</v>
      </c>
      <c r="H1896" s="7" t="s">
        <v>52</v>
      </c>
      <c r="I1896" s="7">
        <v>46.817700000000002</v>
      </c>
      <c r="J1896" s="7">
        <v>-71.214100000000002</v>
      </c>
      <c r="K1896" s="7">
        <v>46.774099999999997</v>
      </c>
      <c r="L1896" s="7">
        <v>-71.174000000000007</v>
      </c>
      <c r="M1896" s="10" t="str">
        <f t="shared" si="179"/>
        <v>C26</v>
      </c>
      <c r="N1896" s="10" t="str">
        <f t="shared" si="180"/>
        <v>C36</v>
      </c>
      <c r="O1896" s="5">
        <f t="shared" si="181"/>
        <v>5.7290705695938478</v>
      </c>
      <c r="P1896" s="22">
        <f>O1896/Explications!$C$8</f>
        <v>0.1909690189864616</v>
      </c>
      <c r="Q1896" s="7" t="str">
        <f t="shared" si="182"/>
        <v>C36</v>
      </c>
      <c r="R1896" s="7" t="str">
        <f t="shared" si="183"/>
        <v>C26</v>
      </c>
      <c r="S1896" s="18">
        <f t="shared" si="184"/>
        <v>5.7290705695938478</v>
      </c>
      <c r="T1896" s="18">
        <f>S1896/Explications!$C$8</f>
        <v>0.1909690189864616</v>
      </c>
    </row>
    <row r="1897" spans="7:20">
      <c r="G1897" s="7" t="s">
        <v>42</v>
      </c>
      <c r="H1897" s="7" t="s">
        <v>53</v>
      </c>
      <c r="I1897" s="7">
        <v>46.817700000000002</v>
      </c>
      <c r="J1897" s="7">
        <v>-71.214100000000002</v>
      </c>
      <c r="K1897" s="7">
        <v>46.808500000000002</v>
      </c>
      <c r="L1897" s="7">
        <v>-71.326599999999999</v>
      </c>
      <c r="M1897" s="10" t="str">
        <f t="shared" si="179"/>
        <v>C26</v>
      </c>
      <c r="N1897" s="10" t="str">
        <f t="shared" si="180"/>
        <v>C37</v>
      </c>
      <c r="O1897" s="5">
        <f t="shared" si="181"/>
        <v>8.6221106288969995</v>
      </c>
      <c r="P1897" s="22">
        <f>O1897/Explications!$C$8</f>
        <v>0.28740368762989998</v>
      </c>
      <c r="Q1897" s="7" t="str">
        <f t="shared" si="182"/>
        <v>C37</v>
      </c>
      <c r="R1897" s="7" t="str">
        <f t="shared" si="183"/>
        <v>C26</v>
      </c>
      <c r="S1897" s="18">
        <f t="shared" si="184"/>
        <v>8.6221106288969995</v>
      </c>
      <c r="T1897" s="18">
        <f>S1897/Explications!$C$8</f>
        <v>0.28740368762989998</v>
      </c>
    </row>
    <row r="1898" spans="7:20">
      <c r="G1898" s="7" t="s">
        <v>42</v>
      </c>
      <c r="H1898" s="7" t="s">
        <v>54</v>
      </c>
      <c r="I1898" s="7">
        <v>46.817700000000002</v>
      </c>
      <c r="J1898" s="7">
        <v>-71.214100000000002</v>
      </c>
      <c r="K1898" s="7">
        <v>46.797499999999999</v>
      </c>
      <c r="L1898" s="7">
        <v>-71.306100000000001</v>
      </c>
      <c r="M1898" s="10" t="str">
        <f t="shared" si="179"/>
        <v>C26</v>
      </c>
      <c r="N1898" s="10" t="str">
        <f t="shared" si="180"/>
        <v>C38</v>
      </c>
      <c r="O1898" s="5">
        <f t="shared" si="181"/>
        <v>7.3533310123465023</v>
      </c>
      <c r="P1898" s="22">
        <f>O1898/Explications!$C$8</f>
        <v>0.24511103374488341</v>
      </c>
      <c r="Q1898" s="7" t="str">
        <f t="shared" si="182"/>
        <v>C38</v>
      </c>
      <c r="R1898" s="7" t="str">
        <f t="shared" si="183"/>
        <v>C26</v>
      </c>
      <c r="S1898" s="18">
        <f t="shared" si="184"/>
        <v>7.3533310123465023</v>
      </c>
      <c r="T1898" s="18">
        <f>S1898/Explications!$C$8</f>
        <v>0.24511103374488341</v>
      </c>
    </row>
    <row r="1899" spans="7:20">
      <c r="G1899" s="7" t="s">
        <v>42</v>
      </c>
      <c r="H1899" s="7" t="s">
        <v>55</v>
      </c>
      <c r="I1899" s="7">
        <v>46.817700000000002</v>
      </c>
      <c r="J1899" s="7">
        <v>-71.214100000000002</v>
      </c>
      <c r="K1899" s="7">
        <v>46.8155</v>
      </c>
      <c r="L1899" s="7">
        <v>-71.268199999999993</v>
      </c>
      <c r="M1899" s="10" t="str">
        <f t="shared" si="179"/>
        <v>C26</v>
      </c>
      <c r="N1899" s="10" t="str">
        <f t="shared" si="180"/>
        <v>C39</v>
      </c>
      <c r="O1899" s="5">
        <f t="shared" si="181"/>
        <v>4.1239838886727451</v>
      </c>
      <c r="P1899" s="22">
        <f>O1899/Explications!$C$8</f>
        <v>0.13746612962242483</v>
      </c>
      <c r="Q1899" s="7" t="str">
        <f t="shared" si="182"/>
        <v>C39</v>
      </c>
      <c r="R1899" s="7" t="str">
        <f t="shared" si="183"/>
        <v>C26</v>
      </c>
      <c r="S1899" s="18">
        <f t="shared" si="184"/>
        <v>4.1239838886727451</v>
      </c>
      <c r="T1899" s="18">
        <f>S1899/Explications!$C$8</f>
        <v>0.13746612962242483</v>
      </c>
    </row>
    <row r="1900" spans="7:20">
      <c r="G1900" s="7" t="s">
        <v>42</v>
      </c>
      <c r="H1900" s="7" t="s">
        <v>56</v>
      </c>
      <c r="I1900" s="7">
        <v>46.817700000000002</v>
      </c>
      <c r="J1900" s="7">
        <v>-71.214100000000002</v>
      </c>
      <c r="K1900" s="7">
        <v>46.866700000000002</v>
      </c>
      <c r="L1900" s="7">
        <v>-71.215900000000005</v>
      </c>
      <c r="M1900" s="10" t="str">
        <f t="shared" si="179"/>
        <v>C26</v>
      </c>
      <c r="N1900" s="10" t="str">
        <f t="shared" si="180"/>
        <v>C40</v>
      </c>
      <c r="O1900" s="5">
        <f t="shared" si="181"/>
        <v>5.4502711358187863</v>
      </c>
      <c r="P1900" s="22">
        <f>O1900/Explications!$C$8</f>
        <v>0.18167570452729287</v>
      </c>
      <c r="Q1900" s="7" t="str">
        <f t="shared" si="182"/>
        <v>C40</v>
      </c>
      <c r="R1900" s="7" t="str">
        <f t="shared" si="183"/>
        <v>C26</v>
      </c>
      <c r="S1900" s="18">
        <f t="shared" si="184"/>
        <v>5.4502711358187863</v>
      </c>
      <c r="T1900" s="18">
        <f>S1900/Explications!$C$8</f>
        <v>0.18167570452729287</v>
      </c>
    </row>
    <row r="1901" spans="7:20">
      <c r="G1901" s="7" t="s">
        <v>42</v>
      </c>
      <c r="H1901" s="7" t="s">
        <v>57</v>
      </c>
      <c r="I1901" s="7">
        <v>46.817700000000002</v>
      </c>
      <c r="J1901" s="7">
        <v>-71.214100000000002</v>
      </c>
      <c r="K1901" s="7">
        <v>46.762099999999997</v>
      </c>
      <c r="L1901" s="7">
        <v>-71.235399999999998</v>
      </c>
      <c r="M1901" s="10" t="str">
        <f t="shared" si="179"/>
        <v>C26</v>
      </c>
      <c r="N1901" s="10" t="str">
        <f t="shared" si="180"/>
        <v>C41</v>
      </c>
      <c r="O1901" s="5">
        <f t="shared" si="181"/>
        <v>6.3915720428230554</v>
      </c>
      <c r="P1901" s="22">
        <f>O1901/Explications!$C$8</f>
        <v>0.21305240142743517</v>
      </c>
      <c r="Q1901" s="7" t="str">
        <f t="shared" si="182"/>
        <v>C41</v>
      </c>
      <c r="R1901" s="7" t="str">
        <f t="shared" si="183"/>
        <v>C26</v>
      </c>
      <c r="S1901" s="18">
        <f t="shared" si="184"/>
        <v>6.3915720428230554</v>
      </c>
      <c r="T1901" s="18">
        <f>S1901/Explications!$C$8</f>
        <v>0.21305240142743517</v>
      </c>
    </row>
    <row r="1902" spans="7:20">
      <c r="G1902" s="7" t="s">
        <v>42</v>
      </c>
      <c r="H1902" s="7" t="s">
        <v>58</v>
      </c>
      <c r="I1902" s="7">
        <v>46.817700000000002</v>
      </c>
      <c r="J1902" s="7">
        <v>-71.214100000000002</v>
      </c>
      <c r="K1902" s="7">
        <v>46.8157</v>
      </c>
      <c r="L1902" s="7">
        <v>-71.2042</v>
      </c>
      <c r="M1902" s="10" t="str">
        <f t="shared" si="179"/>
        <v>C26</v>
      </c>
      <c r="N1902" s="10" t="str">
        <f t="shared" si="180"/>
        <v>C42</v>
      </c>
      <c r="O1902" s="5">
        <f t="shared" si="181"/>
        <v>0.78547580397398997</v>
      </c>
      <c r="P1902" s="22">
        <f>O1902/Explications!$C$8</f>
        <v>2.6182526799133E-2</v>
      </c>
      <c r="Q1902" s="7" t="str">
        <f t="shared" si="182"/>
        <v>C42</v>
      </c>
      <c r="R1902" s="7" t="str">
        <f t="shared" si="183"/>
        <v>C26</v>
      </c>
      <c r="S1902" s="18">
        <f t="shared" si="184"/>
        <v>0.78547580397398997</v>
      </c>
      <c r="T1902" s="18">
        <f>S1902/Explications!$C$8</f>
        <v>2.6182526799133E-2</v>
      </c>
    </row>
    <row r="1903" spans="7:20">
      <c r="G1903" s="7" t="s">
        <v>42</v>
      </c>
      <c r="H1903" s="7" t="s">
        <v>59</v>
      </c>
      <c r="I1903" s="7">
        <v>46.817700000000002</v>
      </c>
      <c r="J1903" s="7">
        <v>-71.214100000000002</v>
      </c>
      <c r="K1903" s="7">
        <v>46.707000000000001</v>
      </c>
      <c r="L1903" s="7">
        <v>-71.217100000000002</v>
      </c>
      <c r="M1903" s="10" t="str">
        <f t="shared" si="179"/>
        <v>C26</v>
      </c>
      <c r="N1903" s="10" t="str">
        <f t="shared" si="180"/>
        <v>C43</v>
      </c>
      <c r="O1903" s="5">
        <f t="shared" si="181"/>
        <v>12.311399307651374</v>
      </c>
      <c r="P1903" s="22">
        <f>O1903/Explications!$C$8</f>
        <v>0.41037997692171246</v>
      </c>
      <c r="Q1903" s="7" t="str">
        <f t="shared" si="182"/>
        <v>C43</v>
      </c>
      <c r="R1903" s="7" t="str">
        <f t="shared" si="183"/>
        <v>C26</v>
      </c>
      <c r="S1903" s="18">
        <f t="shared" si="184"/>
        <v>12.311399307651374</v>
      </c>
      <c r="T1903" s="18">
        <f>S1903/Explications!$C$8</f>
        <v>0.41037997692171246</v>
      </c>
    </row>
    <row r="1904" spans="7:20">
      <c r="G1904" s="7" t="s">
        <v>42</v>
      </c>
      <c r="H1904" s="7" t="s">
        <v>60</v>
      </c>
      <c r="I1904" s="7">
        <v>46.817700000000002</v>
      </c>
      <c r="J1904" s="7">
        <v>-71.214100000000002</v>
      </c>
      <c r="K1904" s="7">
        <v>46.802900000000001</v>
      </c>
      <c r="L1904" s="7">
        <v>-71.228899999999996</v>
      </c>
      <c r="M1904" s="10" t="str">
        <f t="shared" si="179"/>
        <v>C26</v>
      </c>
      <c r="N1904" s="10" t="str">
        <f t="shared" si="180"/>
        <v>C44</v>
      </c>
      <c r="O1904" s="5">
        <f t="shared" si="181"/>
        <v>1.9942179433416933</v>
      </c>
      <c r="P1904" s="22">
        <f>O1904/Explications!$C$8</f>
        <v>6.6473931444723106E-2</v>
      </c>
      <c r="Q1904" s="7" t="str">
        <f t="shared" si="182"/>
        <v>C44</v>
      </c>
      <c r="R1904" s="7" t="str">
        <f t="shared" si="183"/>
        <v>C26</v>
      </c>
      <c r="S1904" s="18">
        <f t="shared" si="184"/>
        <v>1.9942179433416933</v>
      </c>
      <c r="T1904" s="18">
        <f>S1904/Explications!$C$8</f>
        <v>6.6473931444723106E-2</v>
      </c>
    </row>
    <row r="1905" spans="7:20">
      <c r="G1905" s="7" t="s">
        <v>42</v>
      </c>
      <c r="H1905" s="7" t="s">
        <v>61</v>
      </c>
      <c r="I1905" s="7">
        <v>46.817700000000002</v>
      </c>
      <c r="J1905" s="7">
        <v>-71.214100000000002</v>
      </c>
      <c r="K1905" s="7">
        <v>46.796900000000001</v>
      </c>
      <c r="L1905" s="7">
        <v>-71.3078</v>
      </c>
      <c r="M1905" s="10" t="str">
        <f t="shared" si="179"/>
        <v>C26</v>
      </c>
      <c r="N1905" s="10" t="str">
        <f t="shared" si="180"/>
        <v>C45</v>
      </c>
      <c r="O1905" s="5">
        <f t="shared" si="181"/>
        <v>7.4969853226106586</v>
      </c>
      <c r="P1905" s="22">
        <f>O1905/Explications!$C$8</f>
        <v>0.24989951075368863</v>
      </c>
      <c r="Q1905" s="7" t="str">
        <f t="shared" si="182"/>
        <v>C45</v>
      </c>
      <c r="R1905" s="7" t="str">
        <f t="shared" si="183"/>
        <v>C26</v>
      </c>
      <c r="S1905" s="18">
        <f t="shared" si="184"/>
        <v>7.4969853226106586</v>
      </c>
      <c r="T1905" s="18">
        <f>S1905/Explications!$C$8</f>
        <v>0.24989951075368863</v>
      </c>
    </row>
    <row r="1906" spans="7:20">
      <c r="G1906" s="7" t="s">
        <v>42</v>
      </c>
      <c r="H1906" s="7" t="s">
        <v>62</v>
      </c>
      <c r="I1906" s="7">
        <v>46.817700000000002</v>
      </c>
      <c r="J1906" s="7">
        <v>-71.214100000000002</v>
      </c>
      <c r="K1906" s="7">
        <v>46.803600000000003</v>
      </c>
      <c r="L1906" s="7">
        <v>-71.231099999999998</v>
      </c>
      <c r="M1906" s="10" t="str">
        <f t="shared" si="179"/>
        <v>C26</v>
      </c>
      <c r="N1906" s="10" t="str">
        <f t="shared" si="180"/>
        <v>C46</v>
      </c>
      <c r="O1906" s="5">
        <f t="shared" si="181"/>
        <v>2.0327185465043058</v>
      </c>
      <c r="P1906" s="22">
        <f>O1906/Explications!$C$8</f>
        <v>6.7757284883476862E-2</v>
      </c>
      <c r="Q1906" s="7" t="str">
        <f t="shared" si="182"/>
        <v>C46</v>
      </c>
      <c r="R1906" s="7" t="str">
        <f t="shared" si="183"/>
        <v>C26</v>
      </c>
      <c r="S1906" s="18">
        <f t="shared" si="184"/>
        <v>2.0327185465043058</v>
      </c>
      <c r="T1906" s="18">
        <f>S1906/Explications!$C$8</f>
        <v>6.7757284883476862E-2</v>
      </c>
    </row>
    <row r="1907" spans="7:20">
      <c r="G1907" s="7" t="s">
        <v>42</v>
      </c>
      <c r="H1907" s="7" t="s">
        <v>63</v>
      </c>
      <c r="I1907" s="7">
        <v>46.817700000000002</v>
      </c>
      <c r="J1907" s="7">
        <v>-71.214100000000002</v>
      </c>
      <c r="K1907" s="7">
        <v>46.802399999999999</v>
      </c>
      <c r="L1907" s="7">
        <v>-71.269800000000004</v>
      </c>
      <c r="M1907" s="10" t="str">
        <f t="shared" si="179"/>
        <v>C26</v>
      </c>
      <c r="N1907" s="10" t="str">
        <f t="shared" si="180"/>
        <v>C47</v>
      </c>
      <c r="O1907" s="5">
        <f t="shared" si="181"/>
        <v>4.56764654924363</v>
      </c>
      <c r="P1907" s="22">
        <f>O1907/Explications!$C$8</f>
        <v>0.15225488497478767</v>
      </c>
      <c r="Q1907" s="7" t="str">
        <f t="shared" si="182"/>
        <v>C47</v>
      </c>
      <c r="R1907" s="7" t="str">
        <f t="shared" si="183"/>
        <v>C26</v>
      </c>
      <c r="S1907" s="18">
        <f t="shared" si="184"/>
        <v>4.56764654924363</v>
      </c>
      <c r="T1907" s="18">
        <f>S1907/Explications!$C$8</f>
        <v>0.15225488497478767</v>
      </c>
    </row>
    <row r="1908" spans="7:20">
      <c r="G1908" s="7" t="s">
        <v>42</v>
      </c>
      <c r="H1908" s="7" t="s">
        <v>64</v>
      </c>
      <c r="I1908" s="7">
        <v>46.817700000000002</v>
      </c>
      <c r="J1908" s="7">
        <v>-71.214100000000002</v>
      </c>
      <c r="K1908" s="7">
        <v>46.826799999999999</v>
      </c>
      <c r="L1908" s="7">
        <v>-71.224199999999996</v>
      </c>
      <c r="M1908" s="10" t="str">
        <f t="shared" si="179"/>
        <v>C26</v>
      </c>
      <c r="N1908" s="10" t="str">
        <f t="shared" si="180"/>
        <v>C48</v>
      </c>
      <c r="O1908" s="5">
        <f t="shared" si="181"/>
        <v>1.2706074192083916</v>
      </c>
      <c r="P1908" s="22">
        <f>O1908/Explications!$C$8</f>
        <v>4.235358064027972E-2</v>
      </c>
      <c r="Q1908" s="7" t="str">
        <f t="shared" si="182"/>
        <v>C48</v>
      </c>
      <c r="R1908" s="7" t="str">
        <f t="shared" si="183"/>
        <v>C26</v>
      </c>
      <c r="S1908" s="18">
        <f t="shared" si="184"/>
        <v>1.2706074192083916</v>
      </c>
      <c r="T1908" s="18">
        <f>S1908/Explications!$C$8</f>
        <v>4.235358064027972E-2</v>
      </c>
    </row>
    <row r="1909" spans="7:20">
      <c r="G1909" s="7" t="s">
        <v>42</v>
      </c>
      <c r="H1909" s="7" t="s">
        <v>65</v>
      </c>
      <c r="I1909" s="7">
        <v>46.817700000000002</v>
      </c>
      <c r="J1909" s="7">
        <v>-71.214100000000002</v>
      </c>
      <c r="K1909" s="7">
        <v>46.864100000000001</v>
      </c>
      <c r="L1909" s="7">
        <v>-71.255499999999998</v>
      </c>
      <c r="M1909" s="10" t="str">
        <f t="shared" si="179"/>
        <v>C26</v>
      </c>
      <c r="N1909" s="10" t="str">
        <f t="shared" si="180"/>
        <v>C49</v>
      </c>
      <c r="O1909" s="5">
        <f t="shared" si="181"/>
        <v>6.0444528565119873</v>
      </c>
      <c r="P1909" s="22">
        <f>O1909/Explications!$C$8</f>
        <v>0.2014817618837329</v>
      </c>
      <c r="Q1909" s="7" t="str">
        <f t="shared" si="182"/>
        <v>C49</v>
      </c>
      <c r="R1909" s="7" t="str">
        <f t="shared" si="183"/>
        <v>C26</v>
      </c>
      <c r="S1909" s="18">
        <f t="shared" si="184"/>
        <v>6.0444528565119873</v>
      </c>
      <c r="T1909" s="18">
        <f>S1909/Explications!$C$8</f>
        <v>0.2014817618837329</v>
      </c>
    </row>
    <row r="1910" spans="7:20">
      <c r="G1910" s="7" t="s">
        <v>42</v>
      </c>
      <c r="H1910" s="7" t="s">
        <v>66</v>
      </c>
      <c r="I1910" s="7">
        <v>46.817700000000002</v>
      </c>
      <c r="J1910" s="7">
        <v>-71.214100000000002</v>
      </c>
      <c r="K1910" s="7">
        <v>46.843800000000002</v>
      </c>
      <c r="L1910" s="7">
        <v>-71.247299999999996</v>
      </c>
      <c r="M1910" s="10" t="str">
        <f t="shared" si="179"/>
        <v>C26</v>
      </c>
      <c r="N1910" s="10" t="str">
        <f t="shared" si="180"/>
        <v>C50</v>
      </c>
      <c r="O1910" s="5">
        <f t="shared" si="181"/>
        <v>3.8473034381111066</v>
      </c>
      <c r="P1910" s="22">
        <f>O1910/Explications!$C$8</f>
        <v>0.12824344793703688</v>
      </c>
      <c r="Q1910" s="7" t="str">
        <f t="shared" si="182"/>
        <v>C50</v>
      </c>
      <c r="R1910" s="7" t="str">
        <f t="shared" si="183"/>
        <v>C26</v>
      </c>
      <c r="S1910" s="18">
        <f t="shared" si="184"/>
        <v>3.8473034381111066</v>
      </c>
      <c r="T1910" s="18">
        <f>S1910/Explications!$C$8</f>
        <v>0.12824344793703688</v>
      </c>
    </row>
    <row r="1911" spans="7:20">
      <c r="G1911" s="7" t="s">
        <v>42</v>
      </c>
      <c r="H1911" s="7" t="s">
        <v>67</v>
      </c>
      <c r="I1911" s="7">
        <v>46.817700000000002</v>
      </c>
      <c r="J1911" s="7">
        <v>-71.214100000000002</v>
      </c>
      <c r="K1911" s="7">
        <v>46.765599999999999</v>
      </c>
      <c r="L1911" s="7">
        <v>-71.312100000000001</v>
      </c>
      <c r="M1911" s="10" t="str">
        <f t="shared" si="179"/>
        <v>C26</v>
      </c>
      <c r="N1911" s="10" t="str">
        <f t="shared" si="180"/>
        <v>C51</v>
      </c>
      <c r="O1911" s="5">
        <f t="shared" si="181"/>
        <v>9.4458665824523411</v>
      </c>
      <c r="P1911" s="22">
        <f>O1911/Explications!$C$8</f>
        <v>0.31486221941507803</v>
      </c>
      <c r="Q1911" s="7" t="str">
        <f t="shared" si="182"/>
        <v>C51</v>
      </c>
      <c r="R1911" s="7" t="str">
        <f t="shared" si="183"/>
        <v>C26</v>
      </c>
      <c r="S1911" s="18">
        <f t="shared" si="184"/>
        <v>9.4458665824523411</v>
      </c>
      <c r="T1911" s="18">
        <f>S1911/Explications!$C$8</f>
        <v>0.31486221941507803</v>
      </c>
    </row>
    <row r="1912" spans="7:20">
      <c r="G1912" s="7" t="s">
        <v>42</v>
      </c>
      <c r="H1912" s="7" t="s">
        <v>68</v>
      </c>
      <c r="I1912" s="7">
        <v>46.817700000000002</v>
      </c>
      <c r="J1912" s="7">
        <v>-71.214100000000002</v>
      </c>
      <c r="K1912" s="7">
        <v>46.787599999999998</v>
      </c>
      <c r="L1912" s="7">
        <v>-71.288600000000002</v>
      </c>
      <c r="M1912" s="10" t="str">
        <f t="shared" si="179"/>
        <v>C26</v>
      </c>
      <c r="N1912" s="10" t="str">
        <f t="shared" si="180"/>
        <v>C52</v>
      </c>
      <c r="O1912" s="5">
        <f t="shared" si="181"/>
        <v>6.5846052915322151</v>
      </c>
      <c r="P1912" s="22">
        <f>O1912/Explications!$C$8</f>
        <v>0.21948684305107383</v>
      </c>
      <c r="Q1912" s="7" t="str">
        <f t="shared" si="182"/>
        <v>C52</v>
      </c>
      <c r="R1912" s="7" t="str">
        <f t="shared" si="183"/>
        <v>C26</v>
      </c>
      <c r="S1912" s="18">
        <f t="shared" si="184"/>
        <v>6.5846052915322151</v>
      </c>
      <c r="T1912" s="18">
        <f>S1912/Explications!$C$8</f>
        <v>0.21948684305107383</v>
      </c>
    </row>
    <row r="1913" spans="7:20">
      <c r="G1913" s="7" t="s">
        <v>42</v>
      </c>
      <c r="H1913" s="7" t="s">
        <v>69</v>
      </c>
      <c r="I1913" s="7">
        <v>46.817700000000002</v>
      </c>
      <c r="J1913" s="7">
        <v>-71.214100000000002</v>
      </c>
      <c r="K1913" s="7">
        <v>46.764600000000002</v>
      </c>
      <c r="L1913" s="7">
        <v>-71.308300000000003</v>
      </c>
      <c r="M1913" s="10" t="str">
        <f t="shared" si="179"/>
        <v>C26</v>
      </c>
      <c r="N1913" s="10" t="str">
        <f t="shared" si="180"/>
        <v>C53</v>
      </c>
      <c r="O1913" s="5">
        <f t="shared" si="181"/>
        <v>9.2894067250875434</v>
      </c>
      <c r="P1913" s="22">
        <f>O1913/Explications!$C$8</f>
        <v>0.30964689083625146</v>
      </c>
      <c r="Q1913" s="7" t="str">
        <f t="shared" si="182"/>
        <v>C53</v>
      </c>
      <c r="R1913" s="7" t="str">
        <f t="shared" si="183"/>
        <v>C26</v>
      </c>
      <c r="S1913" s="18">
        <f t="shared" si="184"/>
        <v>9.2894067250875434</v>
      </c>
      <c r="T1913" s="18">
        <f>S1913/Explications!$C$8</f>
        <v>0.30964689083625146</v>
      </c>
    </row>
    <row r="1914" spans="7:20">
      <c r="G1914" s="7" t="s">
        <v>42</v>
      </c>
      <c r="H1914" s="7" t="s">
        <v>70</v>
      </c>
      <c r="I1914" s="7">
        <v>46.817700000000002</v>
      </c>
      <c r="J1914" s="7">
        <v>-71.214100000000002</v>
      </c>
      <c r="K1914" s="7">
        <v>46.849699999999999</v>
      </c>
      <c r="L1914" s="7">
        <v>-71.097399999999993</v>
      </c>
      <c r="M1914" s="10" t="str">
        <f t="shared" si="179"/>
        <v>C26</v>
      </c>
      <c r="N1914" s="10" t="str">
        <f t="shared" si="180"/>
        <v>C54</v>
      </c>
      <c r="O1914" s="5">
        <f t="shared" si="181"/>
        <v>9.5639792002546002</v>
      </c>
      <c r="P1914" s="22">
        <f>O1914/Explications!$C$8</f>
        <v>0.31879930667515333</v>
      </c>
      <c r="Q1914" s="7" t="str">
        <f t="shared" si="182"/>
        <v>C54</v>
      </c>
      <c r="R1914" s="7" t="str">
        <f t="shared" si="183"/>
        <v>C26</v>
      </c>
      <c r="S1914" s="18">
        <f t="shared" si="184"/>
        <v>9.5639792002546002</v>
      </c>
      <c r="T1914" s="18">
        <f>S1914/Explications!$C$8</f>
        <v>0.31879930667515333</v>
      </c>
    </row>
    <row r="1915" spans="7:20">
      <c r="G1915" s="7" t="s">
        <v>42</v>
      </c>
      <c r="H1915" s="7" t="s">
        <v>71</v>
      </c>
      <c r="I1915" s="7">
        <v>46.817700000000002</v>
      </c>
      <c r="J1915" s="7">
        <v>-71.214100000000002</v>
      </c>
      <c r="K1915" s="7">
        <v>46.788899999999998</v>
      </c>
      <c r="L1915" s="7">
        <v>-71.321399999999997</v>
      </c>
      <c r="M1915" s="10" t="str">
        <f t="shared" si="179"/>
        <v>C26</v>
      </c>
      <c r="N1915" s="10" t="str">
        <f t="shared" si="180"/>
        <v>C55</v>
      </c>
      <c r="O1915" s="5">
        <f t="shared" si="181"/>
        <v>8.772398229611035</v>
      </c>
      <c r="P1915" s="22">
        <f>O1915/Explications!$C$8</f>
        <v>0.29241327432036784</v>
      </c>
      <c r="Q1915" s="7" t="str">
        <f t="shared" si="182"/>
        <v>C55</v>
      </c>
      <c r="R1915" s="7" t="str">
        <f t="shared" si="183"/>
        <v>C26</v>
      </c>
      <c r="S1915" s="18">
        <f t="shared" si="184"/>
        <v>8.772398229611035</v>
      </c>
      <c r="T1915" s="18">
        <f>S1915/Explications!$C$8</f>
        <v>0.29241327432036784</v>
      </c>
    </row>
    <row r="1916" spans="7:20">
      <c r="G1916" s="7" t="s">
        <v>42</v>
      </c>
      <c r="H1916" s="7" t="s">
        <v>72</v>
      </c>
      <c r="I1916" s="7">
        <v>46.817700000000002</v>
      </c>
      <c r="J1916" s="7">
        <v>-71.214100000000002</v>
      </c>
      <c r="K1916" s="7">
        <v>46.795400000000001</v>
      </c>
      <c r="L1916" s="7">
        <v>-71.232600000000005</v>
      </c>
      <c r="M1916" s="10" t="str">
        <f t="shared" si="179"/>
        <v>C26</v>
      </c>
      <c r="N1916" s="10" t="str">
        <f t="shared" si="180"/>
        <v>C56</v>
      </c>
      <c r="O1916" s="5">
        <f t="shared" si="181"/>
        <v>2.8515177746841598</v>
      </c>
      <c r="P1916" s="22">
        <f>O1916/Explications!$C$8</f>
        <v>9.5050592489471994E-2</v>
      </c>
      <c r="Q1916" s="7" t="str">
        <f t="shared" si="182"/>
        <v>C56</v>
      </c>
      <c r="R1916" s="7" t="str">
        <f t="shared" si="183"/>
        <v>C26</v>
      </c>
      <c r="S1916" s="18">
        <f t="shared" si="184"/>
        <v>2.8515177746841598</v>
      </c>
      <c r="T1916" s="18">
        <f>S1916/Explications!$C$8</f>
        <v>9.5050592489471994E-2</v>
      </c>
    </row>
    <row r="1917" spans="7:20">
      <c r="G1917" s="7" t="s">
        <v>42</v>
      </c>
      <c r="H1917" s="7" t="s">
        <v>73</v>
      </c>
      <c r="I1917" s="7">
        <v>46.817700000000002</v>
      </c>
      <c r="J1917" s="7">
        <v>-71.214100000000002</v>
      </c>
      <c r="K1917" s="7">
        <v>46.801200000000001</v>
      </c>
      <c r="L1917" s="7">
        <v>-71.224999999999994</v>
      </c>
      <c r="M1917" s="10" t="str">
        <f t="shared" si="179"/>
        <v>C26</v>
      </c>
      <c r="N1917" s="10" t="str">
        <f t="shared" si="180"/>
        <v>C57</v>
      </c>
      <c r="O1917" s="5">
        <f t="shared" si="181"/>
        <v>2.0135352500834185</v>
      </c>
      <c r="P1917" s="22">
        <f>O1917/Explications!$C$8</f>
        <v>6.7117841669447287E-2</v>
      </c>
      <c r="Q1917" s="7" t="str">
        <f t="shared" si="182"/>
        <v>C57</v>
      </c>
      <c r="R1917" s="7" t="str">
        <f t="shared" si="183"/>
        <v>C26</v>
      </c>
      <c r="S1917" s="18">
        <f t="shared" si="184"/>
        <v>2.0135352500834185</v>
      </c>
      <c r="T1917" s="18">
        <f>S1917/Explications!$C$8</f>
        <v>6.7117841669447287E-2</v>
      </c>
    </row>
    <row r="1918" spans="7:20">
      <c r="G1918" s="7" t="s">
        <v>42</v>
      </c>
      <c r="H1918" s="7" t="s">
        <v>74</v>
      </c>
      <c r="I1918" s="7">
        <v>46.817700000000002</v>
      </c>
      <c r="J1918" s="7">
        <v>-71.214100000000002</v>
      </c>
      <c r="K1918" s="7">
        <v>46.773200000000003</v>
      </c>
      <c r="L1918" s="7">
        <v>-71.275899999999993</v>
      </c>
      <c r="M1918" s="10" t="str">
        <f t="shared" si="179"/>
        <v>C26</v>
      </c>
      <c r="N1918" s="10" t="str">
        <f t="shared" si="180"/>
        <v>C58</v>
      </c>
      <c r="O1918" s="5">
        <f t="shared" si="181"/>
        <v>6.8276457338350367</v>
      </c>
      <c r="P1918" s="22">
        <f>O1918/Explications!$C$8</f>
        <v>0.22758819112783454</v>
      </c>
      <c r="Q1918" s="7" t="str">
        <f t="shared" si="182"/>
        <v>C58</v>
      </c>
      <c r="R1918" s="7" t="str">
        <f t="shared" si="183"/>
        <v>C26</v>
      </c>
      <c r="S1918" s="18">
        <f t="shared" si="184"/>
        <v>6.8276457338350367</v>
      </c>
      <c r="T1918" s="18">
        <f>S1918/Explications!$C$8</f>
        <v>0.22758819112783454</v>
      </c>
    </row>
    <row r="1919" spans="7:20">
      <c r="G1919" s="7" t="s">
        <v>42</v>
      </c>
      <c r="H1919" s="7" t="s">
        <v>75</v>
      </c>
      <c r="I1919" s="7">
        <v>46.817700000000002</v>
      </c>
      <c r="J1919" s="7">
        <v>-71.214100000000002</v>
      </c>
      <c r="K1919" s="7">
        <v>46.814399999999999</v>
      </c>
      <c r="L1919" s="7">
        <v>-71.225700000000003</v>
      </c>
      <c r="M1919" s="10" t="str">
        <f t="shared" si="179"/>
        <v>C26</v>
      </c>
      <c r="N1919" s="10" t="str">
        <f t="shared" si="180"/>
        <v>C59</v>
      </c>
      <c r="O1919" s="5">
        <f t="shared" si="181"/>
        <v>0.9559390655143869</v>
      </c>
      <c r="P1919" s="22">
        <f>O1919/Explications!$C$8</f>
        <v>3.1864635517146231E-2</v>
      </c>
      <c r="Q1919" s="7" t="str">
        <f t="shared" si="182"/>
        <v>C59</v>
      </c>
      <c r="R1919" s="7" t="str">
        <f t="shared" si="183"/>
        <v>C26</v>
      </c>
      <c r="S1919" s="18">
        <f t="shared" si="184"/>
        <v>0.9559390655143869</v>
      </c>
      <c r="T1919" s="18">
        <f>S1919/Explications!$C$8</f>
        <v>3.1864635517146231E-2</v>
      </c>
    </row>
    <row r="1920" spans="7:20">
      <c r="G1920" s="7" t="s">
        <v>42</v>
      </c>
      <c r="H1920" s="7" t="s">
        <v>76</v>
      </c>
      <c r="I1920" s="7">
        <v>46.817700000000002</v>
      </c>
      <c r="J1920" s="7">
        <v>-71.214100000000002</v>
      </c>
      <c r="K1920" s="7">
        <v>46.772500000000001</v>
      </c>
      <c r="L1920" s="7">
        <v>-71.276300000000006</v>
      </c>
      <c r="M1920" s="10" t="str">
        <f t="shared" si="179"/>
        <v>C26</v>
      </c>
      <c r="N1920" s="10" t="str">
        <f t="shared" si="180"/>
        <v>C60</v>
      </c>
      <c r="O1920" s="5">
        <f t="shared" si="181"/>
        <v>6.905130161537401</v>
      </c>
      <c r="P1920" s="22">
        <f>O1920/Explications!$C$8</f>
        <v>0.23017100538458005</v>
      </c>
      <c r="Q1920" s="7" t="str">
        <f t="shared" si="182"/>
        <v>C60</v>
      </c>
      <c r="R1920" s="7" t="str">
        <f t="shared" si="183"/>
        <v>C26</v>
      </c>
      <c r="S1920" s="18">
        <f t="shared" si="184"/>
        <v>6.905130161537401</v>
      </c>
      <c r="T1920" s="18">
        <f>S1920/Explications!$C$8</f>
        <v>0.23017100538458005</v>
      </c>
    </row>
    <row r="1921" spans="7:20">
      <c r="G1921" s="7" t="s">
        <v>42</v>
      </c>
      <c r="H1921" s="7" t="s">
        <v>77</v>
      </c>
      <c r="I1921" s="7">
        <v>46.817700000000002</v>
      </c>
      <c r="J1921" s="7">
        <v>-71.214100000000002</v>
      </c>
      <c r="K1921" s="7">
        <v>46.810899999999997</v>
      </c>
      <c r="L1921" s="7">
        <v>-71.215599999999995</v>
      </c>
      <c r="M1921" s="10" t="str">
        <f t="shared" si="179"/>
        <v>C26</v>
      </c>
      <c r="N1921" s="10" t="str">
        <f t="shared" si="180"/>
        <v>C61</v>
      </c>
      <c r="O1921" s="5">
        <f t="shared" si="181"/>
        <v>0.764692935339637</v>
      </c>
      <c r="P1921" s="22">
        <f>O1921/Explications!$C$8</f>
        <v>2.5489764511321233E-2</v>
      </c>
      <c r="Q1921" s="7" t="str">
        <f t="shared" si="182"/>
        <v>C61</v>
      </c>
      <c r="R1921" s="7" t="str">
        <f t="shared" si="183"/>
        <v>C26</v>
      </c>
      <c r="S1921" s="18">
        <f t="shared" si="184"/>
        <v>0.764692935339637</v>
      </c>
      <c r="T1921" s="18">
        <f>S1921/Explications!$C$8</f>
        <v>2.5489764511321233E-2</v>
      </c>
    </row>
    <row r="1922" spans="7:20">
      <c r="G1922" s="7" t="s">
        <v>42</v>
      </c>
      <c r="H1922" s="7" t="s">
        <v>78</v>
      </c>
      <c r="I1922" s="7">
        <v>46.817700000000002</v>
      </c>
      <c r="J1922" s="7">
        <v>-71.214100000000002</v>
      </c>
      <c r="K1922" s="7">
        <v>46.795200000000001</v>
      </c>
      <c r="L1922" s="7">
        <v>-71.245099999999994</v>
      </c>
      <c r="M1922" s="10" t="str">
        <f t="shared" si="179"/>
        <v>C26</v>
      </c>
      <c r="N1922" s="10" t="str">
        <f t="shared" si="180"/>
        <v>C62</v>
      </c>
      <c r="O1922" s="5">
        <f t="shared" si="181"/>
        <v>3.438910801148741</v>
      </c>
      <c r="P1922" s="22">
        <f>O1922/Explications!$C$8</f>
        <v>0.11463036003829137</v>
      </c>
      <c r="Q1922" s="7" t="str">
        <f t="shared" si="182"/>
        <v>C62</v>
      </c>
      <c r="R1922" s="7" t="str">
        <f t="shared" si="183"/>
        <v>C26</v>
      </c>
      <c r="S1922" s="18">
        <f t="shared" si="184"/>
        <v>3.438910801148741</v>
      </c>
      <c r="T1922" s="18">
        <f>S1922/Explications!$C$8</f>
        <v>0.11463036003829137</v>
      </c>
    </row>
    <row r="1923" spans="7:20">
      <c r="G1923" s="7" t="s">
        <v>42</v>
      </c>
      <c r="H1923" s="7" t="s">
        <v>79</v>
      </c>
      <c r="I1923" s="7">
        <v>46.817700000000002</v>
      </c>
      <c r="J1923" s="7">
        <v>-71.214100000000002</v>
      </c>
      <c r="K1923" s="7">
        <v>46.822000000000003</v>
      </c>
      <c r="L1923" s="7">
        <v>-71.345699999999994</v>
      </c>
      <c r="M1923" s="10" t="str">
        <f t="shared" si="179"/>
        <v>C26</v>
      </c>
      <c r="N1923" s="10" t="str">
        <f t="shared" si="180"/>
        <v>C63</v>
      </c>
      <c r="O1923" s="5">
        <f t="shared" si="181"/>
        <v>10.024862089264284</v>
      </c>
      <c r="P1923" s="22">
        <f>O1923/Explications!$C$8</f>
        <v>0.33416206964214279</v>
      </c>
      <c r="Q1923" s="7" t="str">
        <f t="shared" si="182"/>
        <v>C63</v>
      </c>
      <c r="R1923" s="7" t="str">
        <f t="shared" si="183"/>
        <v>C26</v>
      </c>
      <c r="S1923" s="18">
        <f t="shared" si="184"/>
        <v>10.024862089264284</v>
      </c>
      <c r="T1923" s="18">
        <f>S1923/Explications!$C$8</f>
        <v>0.33416206964214279</v>
      </c>
    </row>
    <row r="1924" spans="7:20">
      <c r="G1924" s="7" t="s">
        <v>42</v>
      </c>
      <c r="H1924" s="7" t="s">
        <v>80</v>
      </c>
      <c r="I1924" s="7">
        <v>46.817700000000002</v>
      </c>
      <c r="J1924" s="7">
        <v>-71.214100000000002</v>
      </c>
      <c r="K1924" s="7">
        <v>46.779400000000003</v>
      </c>
      <c r="L1924" s="7">
        <v>-71.350399999999993</v>
      </c>
      <c r="M1924" s="10" t="str">
        <f t="shared" ref="M1924:M1987" si="185">G1924</f>
        <v>C26</v>
      </c>
      <c r="N1924" s="10" t="str">
        <f t="shared" ref="N1924:N1987" si="186">H1924</f>
        <v>C64</v>
      </c>
      <c r="O1924" s="5">
        <f t="shared" ref="O1924:O1987" si="187">ACOS(SIN(RADIANS(I1924))*SIN(RADIANS(K1924))+COS(RADIANS(I1924))*COS(RADIANS(K1924))*COS(RADIANS(J1924-L1924)))*6371</f>
        <v>11.215235845615345</v>
      </c>
      <c r="P1924" s="22">
        <f>O1924/Explications!$C$8</f>
        <v>0.37384119485384482</v>
      </c>
      <c r="Q1924" s="7" t="str">
        <f t="shared" ref="Q1924:Q1987" si="188">N1924</f>
        <v>C64</v>
      </c>
      <c r="R1924" s="7" t="str">
        <f t="shared" ref="R1924:R1987" si="189">M1924</f>
        <v>C26</v>
      </c>
      <c r="S1924" s="18">
        <f t="shared" ref="S1924:S1987" si="190">O1924</f>
        <v>11.215235845615345</v>
      </c>
      <c r="T1924" s="18">
        <f>S1924/Explications!$C$8</f>
        <v>0.37384119485384482</v>
      </c>
    </row>
    <row r="1925" spans="7:20">
      <c r="G1925" s="7" t="s">
        <v>42</v>
      </c>
      <c r="H1925" s="7" t="s">
        <v>81</v>
      </c>
      <c r="I1925" s="7">
        <v>46.817700000000002</v>
      </c>
      <c r="J1925" s="7">
        <v>-71.214100000000002</v>
      </c>
      <c r="K1925" s="7">
        <v>46.772300000000001</v>
      </c>
      <c r="L1925" s="7">
        <v>-71.279799999999994</v>
      </c>
      <c r="M1925" s="10" t="str">
        <f t="shared" si="185"/>
        <v>C26</v>
      </c>
      <c r="N1925" s="10" t="str">
        <f t="shared" si="186"/>
        <v>C65</v>
      </c>
      <c r="O1925" s="5">
        <f t="shared" si="187"/>
        <v>7.1062719677705859</v>
      </c>
      <c r="P1925" s="22">
        <f>O1925/Explications!$C$8</f>
        <v>0.23687573225901953</v>
      </c>
      <c r="Q1925" s="7" t="str">
        <f t="shared" si="188"/>
        <v>C65</v>
      </c>
      <c r="R1925" s="7" t="str">
        <f t="shared" si="189"/>
        <v>C26</v>
      </c>
      <c r="S1925" s="18">
        <f t="shared" si="190"/>
        <v>7.1062719677705859</v>
      </c>
      <c r="T1925" s="18">
        <f>S1925/Explications!$C$8</f>
        <v>0.23687573225901953</v>
      </c>
    </row>
    <row r="1926" spans="7:20">
      <c r="G1926" s="7" t="s">
        <v>42</v>
      </c>
      <c r="H1926" s="7" t="s">
        <v>82</v>
      </c>
      <c r="I1926" s="7">
        <v>46.817700000000002</v>
      </c>
      <c r="J1926" s="7">
        <v>-71.214100000000002</v>
      </c>
      <c r="K1926" s="7">
        <v>46.814900000000002</v>
      </c>
      <c r="L1926" s="7">
        <v>-71.225200000000001</v>
      </c>
      <c r="M1926" s="10" t="str">
        <f t="shared" si="185"/>
        <v>C26</v>
      </c>
      <c r="N1926" s="10" t="str">
        <f t="shared" si="186"/>
        <v>C66</v>
      </c>
      <c r="O1926" s="5">
        <f t="shared" si="187"/>
        <v>0.90021071697406718</v>
      </c>
      <c r="P1926" s="22">
        <f>O1926/Explications!$C$8</f>
        <v>3.0007023899135572E-2</v>
      </c>
      <c r="Q1926" s="7" t="str">
        <f t="shared" si="188"/>
        <v>C66</v>
      </c>
      <c r="R1926" s="7" t="str">
        <f t="shared" si="189"/>
        <v>C26</v>
      </c>
      <c r="S1926" s="18">
        <f t="shared" si="190"/>
        <v>0.90021071697406718</v>
      </c>
      <c r="T1926" s="18">
        <f>S1926/Explications!$C$8</f>
        <v>3.0007023899135572E-2</v>
      </c>
    </row>
    <row r="1927" spans="7:20">
      <c r="G1927" s="7" t="s">
        <v>42</v>
      </c>
      <c r="H1927" s="7" t="s">
        <v>83</v>
      </c>
      <c r="I1927" s="7">
        <v>46.817700000000002</v>
      </c>
      <c r="J1927" s="7">
        <v>-71.214100000000002</v>
      </c>
      <c r="K1927" s="7">
        <v>46.814700000000002</v>
      </c>
      <c r="L1927" s="7">
        <v>-71.207300000000004</v>
      </c>
      <c r="M1927" s="10" t="str">
        <f t="shared" si="185"/>
        <v>C26</v>
      </c>
      <c r="N1927" s="10" t="str">
        <f t="shared" si="186"/>
        <v>C67</v>
      </c>
      <c r="O1927" s="5">
        <f t="shared" si="187"/>
        <v>0.6156548439394236</v>
      </c>
      <c r="P1927" s="22">
        <f>O1927/Explications!$C$8</f>
        <v>2.0521828131314122E-2</v>
      </c>
      <c r="Q1927" s="7" t="str">
        <f t="shared" si="188"/>
        <v>C67</v>
      </c>
      <c r="R1927" s="7" t="str">
        <f t="shared" si="189"/>
        <v>C26</v>
      </c>
      <c r="S1927" s="18">
        <f t="shared" si="190"/>
        <v>0.6156548439394236</v>
      </c>
      <c r="T1927" s="18">
        <f>S1927/Explications!$C$8</f>
        <v>2.0521828131314122E-2</v>
      </c>
    </row>
    <row r="1928" spans="7:20">
      <c r="G1928" s="7" t="s">
        <v>42</v>
      </c>
      <c r="H1928" s="7" t="s">
        <v>84</v>
      </c>
      <c r="I1928" s="7">
        <v>46.817700000000002</v>
      </c>
      <c r="J1928" s="7">
        <v>-71.214100000000002</v>
      </c>
      <c r="K1928" s="7">
        <v>46.815600000000003</v>
      </c>
      <c r="L1928" s="7">
        <v>-71.2029</v>
      </c>
      <c r="M1928" s="10" t="str">
        <f t="shared" si="185"/>
        <v>C26</v>
      </c>
      <c r="N1928" s="10" t="str">
        <f t="shared" si="186"/>
        <v>C68</v>
      </c>
      <c r="O1928" s="5">
        <f t="shared" si="187"/>
        <v>0.88367020746079872</v>
      </c>
      <c r="P1928" s="22">
        <f>O1928/Explications!$C$8</f>
        <v>2.9455673582026623E-2</v>
      </c>
      <c r="Q1928" s="7" t="str">
        <f t="shared" si="188"/>
        <v>C68</v>
      </c>
      <c r="R1928" s="7" t="str">
        <f t="shared" si="189"/>
        <v>C26</v>
      </c>
      <c r="S1928" s="18">
        <f t="shared" si="190"/>
        <v>0.88367020746079872</v>
      </c>
      <c r="T1928" s="18">
        <f>S1928/Explications!$C$8</f>
        <v>2.9455673582026623E-2</v>
      </c>
    </row>
    <row r="1929" spans="7:20">
      <c r="G1929" s="7" t="s">
        <v>42</v>
      </c>
      <c r="H1929" s="7" t="s">
        <v>85</v>
      </c>
      <c r="I1929" s="7">
        <v>46.817700000000002</v>
      </c>
      <c r="J1929" s="7">
        <v>-71.214100000000002</v>
      </c>
      <c r="K1929" s="7">
        <v>46.821899999999999</v>
      </c>
      <c r="L1929" s="7">
        <v>-71.249899999999997</v>
      </c>
      <c r="M1929" s="10" t="str">
        <f t="shared" si="185"/>
        <v>C26</v>
      </c>
      <c r="N1929" s="10" t="str">
        <f t="shared" si="186"/>
        <v>C69</v>
      </c>
      <c r="O1929" s="5">
        <f t="shared" si="187"/>
        <v>2.7637712031882411</v>
      </c>
      <c r="P1929" s="22">
        <f>O1929/Explications!$C$8</f>
        <v>9.2125706772941365E-2</v>
      </c>
      <c r="Q1929" s="7" t="str">
        <f t="shared" si="188"/>
        <v>C69</v>
      </c>
      <c r="R1929" s="7" t="str">
        <f t="shared" si="189"/>
        <v>C26</v>
      </c>
      <c r="S1929" s="18">
        <f t="shared" si="190"/>
        <v>2.7637712031882411</v>
      </c>
      <c r="T1929" s="18">
        <f>S1929/Explications!$C$8</f>
        <v>9.2125706772941365E-2</v>
      </c>
    </row>
    <row r="1930" spans="7:20">
      <c r="G1930" s="7" t="s">
        <v>42</v>
      </c>
      <c r="H1930" s="7" t="s">
        <v>86</v>
      </c>
      <c r="I1930" s="7">
        <v>46.817700000000002</v>
      </c>
      <c r="J1930" s="7">
        <v>-71.214100000000002</v>
      </c>
      <c r="K1930" s="7">
        <v>46.8872</v>
      </c>
      <c r="L1930" s="7">
        <v>-71.27</v>
      </c>
      <c r="M1930" s="10" t="str">
        <f t="shared" si="185"/>
        <v>C26</v>
      </c>
      <c r="N1930" s="10" t="str">
        <f t="shared" si="186"/>
        <v>C70</v>
      </c>
      <c r="O1930" s="5">
        <f t="shared" si="187"/>
        <v>8.8200045760266903</v>
      </c>
      <c r="P1930" s="22">
        <f>O1930/Explications!$C$8</f>
        <v>0.29400015253422301</v>
      </c>
      <c r="Q1930" s="7" t="str">
        <f t="shared" si="188"/>
        <v>C70</v>
      </c>
      <c r="R1930" s="7" t="str">
        <f t="shared" si="189"/>
        <v>C26</v>
      </c>
      <c r="S1930" s="18">
        <f t="shared" si="190"/>
        <v>8.8200045760266903</v>
      </c>
      <c r="T1930" s="18">
        <f>S1930/Explications!$C$8</f>
        <v>0.29400015253422301</v>
      </c>
    </row>
    <row r="1931" spans="7:20">
      <c r="G1931" s="7" t="s">
        <v>42</v>
      </c>
      <c r="H1931" s="7" t="s">
        <v>87</v>
      </c>
      <c r="I1931" s="7">
        <v>46.817700000000002</v>
      </c>
      <c r="J1931" s="7">
        <v>-71.214100000000002</v>
      </c>
      <c r="K1931" s="7">
        <v>46.816299999999998</v>
      </c>
      <c r="L1931" s="7">
        <v>-71.210300000000004</v>
      </c>
      <c r="M1931" s="10" t="str">
        <f t="shared" si="185"/>
        <v>C26</v>
      </c>
      <c r="N1931" s="10" t="str">
        <f t="shared" si="186"/>
        <v>C71</v>
      </c>
      <c r="O1931" s="5">
        <f t="shared" si="187"/>
        <v>0.32839943298161267</v>
      </c>
      <c r="P1931" s="22">
        <f>O1931/Explications!$C$8</f>
        <v>1.0946647766053755E-2</v>
      </c>
      <c r="Q1931" s="7" t="str">
        <f t="shared" si="188"/>
        <v>C71</v>
      </c>
      <c r="R1931" s="7" t="str">
        <f t="shared" si="189"/>
        <v>C26</v>
      </c>
      <c r="S1931" s="18">
        <f t="shared" si="190"/>
        <v>0.32839943298161267</v>
      </c>
      <c r="T1931" s="18">
        <f>S1931/Explications!$C$8</f>
        <v>1.0946647766053755E-2</v>
      </c>
    </row>
    <row r="1932" spans="7:20">
      <c r="G1932" s="7" t="s">
        <v>42</v>
      </c>
      <c r="H1932" s="7" t="s">
        <v>88</v>
      </c>
      <c r="I1932" s="7">
        <v>46.817700000000002</v>
      </c>
      <c r="J1932" s="7">
        <v>-71.214100000000002</v>
      </c>
      <c r="K1932" s="7">
        <v>46.807000000000002</v>
      </c>
      <c r="L1932" s="7">
        <v>-71.3566</v>
      </c>
      <c r="M1932" s="10" t="str">
        <f t="shared" si="185"/>
        <v>C26</v>
      </c>
      <c r="N1932" s="10" t="str">
        <f t="shared" si="186"/>
        <v>C72</v>
      </c>
      <c r="O1932" s="5">
        <f t="shared" si="187"/>
        <v>10.909420332068454</v>
      </c>
      <c r="P1932" s="22">
        <f>O1932/Explications!$C$8</f>
        <v>0.3636473444022818</v>
      </c>
      <c r="Q1932" s="7" t="str">
        <f t="shared" si="188"/>
        <v>C72</v>
      </c>
      <c r="R1932" s="7" t="str">
        <f t="shared" si="189"/>
        <v>C26</v>
      </c>
      <c r="S1932" s="18">
        <f t="shared" si="190"/>
        <v>10.909420332068454</v>
      </c>
      <c r="T1932" s="18">
        <f>S1932/Explications!$C$8</f>
        <v>0.3636473444022818</v>
      </c>
    </row>
    <row r="1933" spans="7:20">
      <c r="G1933" s="7" t="s">
        <v>42</v>
      </c>
      <c r="H1933" s="7" t="s">
        <v>89</v>
      </c>
      <c r="I1933" s="7">
        <v>46.817700000000002</v>
      </c>
      <c r="J1933" s="7">
        <v>-71.214100000000002</v>
      </c>
      <c r="K1933" s="7">
        <v>46.822899999999997</v>
      </c>
      <c r="L1933" s="7">
        <v>-71.341899999999995</v>
      </c>
      <c r="M1933" s="10" t="str">
        <f t="shared" si="185"/>
        <v>C26</v>
      </c>
      <c r="N1933" s="10" t="str">
        <f t="shared" si="186"/>
        <v>C73</v>
      </c>
      <c r="O1933" s="5">
        <f t="shared" si="187"/>
        <v>9.7414049965309193</v>
      </c>
      <c r="P1933" s="22">
        <f>O1933/Explications!$C$8</f>
        <v>0.32471349988436399</v>
      </c>
      <c r="Q1933" s="7" t="str">
        <f t="shared" si="188"/>
        <v>C73</v>
      </c>
      <c r="R1933" s="7" t="str">
        <f t="shared" si="189"/>
        <v>C26</v>
      </c>
      <c r="S1933" s="18">
        <f t="shared" si="190"/>
        <v>9.7414049965309193</v>
      </c>
      <c r="T1933" s="18">
        <f>S1933/Explications!$C$8</f>
        <v>0.32471349988436399</v>
      </c>
    </row>
    <row r="1934" spans="7:20">
      <c r="G1934" s="7" t="s">
        <v>42</v>
      </c>
      <c r="H1934" s="7" t="s">
        <v>90</v>
      </c>
      <c r="I1934" s="7">
        <v>46.817700000000002</v>
      </c>
      <c r="J1934" s="7">
        <v>-71.214100000000002</v>
      </c>
      <c r="K1934" s="7">
        <v>46.730699999999999</v>
      </c>
      <c r="L1934" s="7">
        <v>-71.261099999999999</v>
      </c>
      <c r="M1934" s="10" t="str">
        <f t="shared" si="185"/>
        <v>C26</v>
      </c>
      <c r="N1934" s="10" t="str">
        <f t="shared" si="186"/>
        <v>C74</v>
      </c>
      <c r="O1934" s="5">
        <f t="shared" si="187"/>
        <v>10.314874209317798</v>
      </c>
      <c r="P1934" s="22">
        <f>O1934/Explications!$C$8</f>
        <v>0.34382914031059325</v>
      </c>
      <c r="Q1934" s="7" t="str">
        <f t="shared" si="188"/>
        <v>C74</v>
      </c>
      <c r="R1934" s="7" t="str">
        <f t="shared" si="189"/>
        <v>C26</v>
      </c>
      <c r="S1934" s="18">
        <f t="shared" si="190"/>
        <v>10.314874209317798</v>
      </c>
      <c r="T1934" s="18">
        <f>S1934/Explications!$C$8</f>
        <v>0.34382914031059325</v>
      </c>
    </row>
    <row r="1935" spans="7:20">
      <c r="G1935" s="7" t="s">
        <v>42</v>
      </c>
      <c r="H1935" s="7" t="s">
        <v>91</v>
      </c>
      <c r="I1935" s="7">
        <v>46.817700000000002</v>
      </c>
      <c r="J1935" s="7">
        <v>-71.214100000000002</v>
      </c>
      <c r="K1935" s="7">
        <v>46.840600000000002</v>
      </c>
      <c r="L1935" s="7">
        <v>-71.289100000000005</v>
      </c>
      <c r="M1935" s="10" t="str">
        <f t="shared" si="185"/>
        <v>C26</v>
      </c>
      <c r="N1935" s="10" t="str">
        <f t="shared" si="186"/>
        <v>C75</v>
      </c>
      <c r="O1935" s="5">
        <f t="shared" si="187"/>
        <v>6.2481806131572482</v>
      </c>
      <c r="P1935" s="22">
        <f>O1935/Explications!$C$8</f>
        <v>0.20827268710524161</v>
      </c>
      <c r="Q1935" s="7" t="str">
        <f t="shared" si="188"/>
        <v>C75</v>
      </c>
      <c r="R1935" s="7" t="str">
        <f t="shared" si="189"/>
        <v>C26</v>
      </c>
      <c r="S1935" s="18">
        <f t="shared" si="190"/>
        <v>6.2481806131572482</v>
      </c>
      <c r="T1935" s="18">
        <f>S1935/Explications!$C$8</f>
        <v>0.20827268710524161</v>
      </c>
    </row>
    <row r="1936" spans="7:20">
      <c r="G1936" s="7" t="s">
        <v>42</v>
      </c>
      <c r="H1936" s="7" t="s">
        <v>92</v>
      </c>
      <c r="I1936" s="7">
        <v>46.817700000000002</v>
      </c>
      <c r="J1936" s="7">
        <v>-71.214100000000002</v>
      </c>
      <c r="K1936" s="7">
        <v>46.840600000000002</v>
      </c>
      <c r="L1936" s="7">
        <v>-71.281599999999997</v>
      </c>
      <c r="M1936" s="10" t="str">
        <f t="shared" si="185"/>
        <v>C26</v>
      </c>
      <c r="N1936" s="10" t="str">
        <f t="shared" si="186"/>
        <v>C76</v>
      </c>
      <c r="O1936" s="5">
        <f t="shared" si="187"/>
        <v>5.7318549196309805</v>
      </c>
      <c r="P1936" s="22">
        <f>O1936/Explications!$C$8</f>
        <v>0.19106183065436602</v>
      </c>
      <c r="Q1936" s="7" t="str">
        <f t="shared" si="188"/>
        <v>C76</v>
      </c>
      <c r="R1936" s="7" t="str">
        <f t="shared" si="189"/>
        <v>C26</v>
      </c>
      <c r="S1936" s="18">
        <f t="shared" si="190"/>
        <v>5.7318549196309805</v>
      </c>
      <c r="T1936" s="18">
        <f>S1936/Explications!$C$8</f>
        <v>0.19106183065436602</v>
      </c>
    </row>
    <row r="1937" spans="7:20">
      <c r="G1937" s="7" t="s">
        <v>42</v>
      </c>
      <c r="H1937" s="7" t="s">
        <v>93</v>
      </c>
      <c r="I1937" s="7">
        <v>46.817700000000002</v>
      </c>
      <c r="J1937" s="7">
        <v>-71.214100000000002</v>
      </c>
      <c r="K1937" s="7">
        <v>46.839399999999998</v>
      </c>
      <c r="L1937" s="7">
        <v>-71.282600000000002</v>
      </c>
      <c r="M1937" s="10" t="str">
        <f t="shared" si="185"/>
        <v>C26</v>
      </c>
      <c r="N1937" s="10" t="str">
        <f t="shared" si="186"/>
        <v>C77</v>
      </c>
      <c r="O1937" s="5">
        <f t="shared" si="187"/>
        <v>5.7428351891860352</v>
      </c>
      <c r="P1937" s="22">
        <f>O1937/Explications!$C$8</f>
        <v>0.1914278396395345</v>
      </c>
      <c r="Q1937" s="7" t="str">
        <f t="shared" si="188"/>
        <v>C77</v>
      </c>
      <c r="R1937" s="7" t="str">
        <f t="shared" si="189"/>
        <v>C26</v>
      </c>
      <c r="S1937" s="18">
        <f t="shared" si="190"/>
        <v>5.7428351891860352</v>
      </c>
      <c r="T1937" s="18">
        <f>S1937/Explications!$C$8</f>
        <v>0.1914278396395345</v>
      </c>
    </row>
    <row r="1938" spans="7:20">
      <c r="G1938" s="7" t="s">
        <v>42</v>
      </c>
      <c r="H1938" s="7" t="s">
        <v>94</v>
      </c>
      <c r="I1938" s="7">
        <v>46.817700000000002</v>
      </c>
      <c r="J1938" s="7">
        <v>-71.214100000000002</v>
      </c>
      <c r="K1938" s="7">
        <v>46.788499999999999</v>
      </c>
      <c r="L1938" s="7">
        <v>-71.282399999999996</v>
      </c>
      <c r="M1938" s="10" t="str">
        <f t="shared" si="185"/>
        <v>C26</v>
      </c>
      <c r="N1938" s="10" t="str">
        <f t="shared" si="186"/>
        <v>C78</v>
      </c>
      <c r="O1938" s="5">
        <f t="shared" si="187"/>
        <v>6.1292286906963209</v>
      </c>
      <c r="P1938" s="22">
        <f>O1938/Explications!$C$8</f>
        <v>0.2043076230232107</v>
      </c>
      <c r="Q1938" s="7" t="str">
        <f t="shared" si="188"/>
        <v>C78</v>
      </c>
      <c r="R1938" s="7" t="str">
        <f t="shared" si="189"/>
        <v>C26</v>
      </c>
      <c r="S1938" s="18">
        <f t="shared" si="190"/>
        <v>6.1292286906963209</v>
      </c>
      <c r="T1938" s="18">
        <f>S1938/Explications!$C$8</f>
        <v>0.2043076230232107</v>
      </c>
    </row>
    <row r="1939" spans="7:20">
      <c r="G1939" s="7" t="s">
        <v>42</v>
      </c>
      <c r="H1939" s="7" t="s">
        <v>95</v>
      </c>
      <c r="I1939" s="7">
        <v>46.817700000000002</v>
      </c>
      <c r="J1939" s="7">
        <v>-71.214100000000002</v>
      </c>
      <c r="K1939" s="7">
        <v>46.840699999999998</v>
      </c>
      <c r="L1939" s="7">
        <v>-71.325400000000002</v>
      </c>
      <c r="M1939" s="10" t="str">
        <f t="shared" si="185"/>
        <v>C26</v>
      </c>
      <c r="N1939" s="10" t="str">
        <f t="shared" si="186"/>
        <v>C79</v>
      </c>
      <c r="O1939" s="5">
        <f t="shared" si="187"/>
        <v>8.8451551585408126</v>
      </c>
      <c r="P1939" s="22">
        <f>O1939/Explications!$C$8</f>
        <v>0.29483850528469374</v>
      </c>
      <c r="Q1939" s="7" t="str">
        <f t="shared" si="188"/>
        <v>C79</v>
      </c>
      <c r="R1939" s="7" t="str">
        <f t="shared" si="189"/>
        <v>C26</v>
      </c>
      <c r="S1939" s="18">
        <f t="shared" si="190"/>
        <v>8.8451551585408126</v>
      </c>
      <c r="T1939" s="18">
        <f>S1939/Explications!$C$8</f>
        <v>0.29483850528469374</v>
      </c>
    </row>
    <row r="1940" spans="7:20">
      <c r="G1940" s="7" t="s">
        <v>42</v>
      </c>
      <c r="H1940" s="7" t="s">
        <v>96</v>
      </c>
      <c r="I1940" s="7">
        <v>46.817700000000002</v>
      </c>
      <c r="J1940" s="7">
        <v>-71.214100000000002</v>
      </c>
      <c r="K1940" s="7">
        <v>46.798400000000001</v>
      </c>
      <c r="L1940" s="7">
        <v>-71.183199999999999</v>
      </c>
      <c r="M1940" s="10" t="str">
        <f t="shared" si="185"/>
        <v>C26</v>
      </c>
      <c r="N1940" s="10" t="str">
        <f t="shared" si="186"/>
        <v>C80</v>
      </c>
      <c r="O1940" s="5">
        <f t="shared" si="187"/>
        <v>3.1837198558703621</v>
      </c>
      <c r="P1940" s="22">
        <f>O1940/Explications!$C$8</f>
        <v>0.10612399519567874</v>
      </c>
      <c r="Q1940" s="7" t="str">
        <f t="shared" si="188"/>
        <v>C80</v>
      </c>
      <c r="R1940" s="7" t="str">
        <f t="shared" si="189"/>
        <v>C26</v>
      </c>
      <c r="S1940" s="18">
        <f t="shared" si="190"/>
        <v>3.1837198558703621</v>
      </c>
      <c r="T1940" s="18">
        <f>S1940/Explications!$C$8</f>
        <v>0.10612399519567874</v>
      </c>
    </row>
    <row r="1941" spans="7:20">
      <c r="G1941" s="7" t="s">
        <v>42</v>
      </c>
      <c r="H1941" s="7" t="s">
        <v>97</v>
      </c>
      <c r="I1941" s="7">
        <v>46.817700000000002</v>
      </c>
      <c r="J1941" s="7">
        <v>-71.214100000000002</v>
      </c>
      <c r="K1941" s="7">
        <v>46.724800000000002</v>
      </c>
      <c r="L1941" s="7">
        <v>-71.2988</v>
      </c>
      <c r="M1941" s="10" t="str">
        <f t="shared" si="185"/>
        <v>C26</v>
      </c>
      <c r="N1941" s="10" t="str">
        <f t="shared" si="186"/>
        <v>C81</v>
      </c>
      <c r="O1941" s="5">
        <f t="shared" si="187"/>
        <v>12.178668112802077</v>
      </c>
      <c r="P1941" s="22">
        <f>O1941/Explications!$C$8</f>
        <v>0.40595560376006923</v>
      </c>
      <c r="Q1941" s="7" t="str">
        <f t="shared" si="188"/>
        <v>C81</v>
      </c>
      <c r="R1941" s="7" t="str">
        <f t="shared" si="189"/>
        <v>C26</v>
      </c>
      <c r="S1941" s="18">
        <f t="shared" si="190"/>
        <v>12.178668112802077</v>
      </c>
      <c r="T1941" s="18">
        <f>S1941/Explications!$C$8</f>
        <v>0.40595560376006923</v>
      </c>
    </row>
    <row r="1942" spans="7:20">
      <c r="G1942" s="7" t="s">
        <v>42</v>
      </c>
      <c r="H1942" s="7" t="s">
        <v>98</v>
      </c>
      <c r="I1942" s="7">
        <v>46.817700000000002</v>
      </c>
      <c r="J1942" s="7">
        <v>-71.214100000000002</v>
      </c>
      <c r="K1942" s="7">
        <v>46.795499999999997</v>
      </c>
      <c r="L1942" s="7">
        <v>-71.242900000000006</v>
      </c>
      <c r="M1942" s="10" t="str">
        <f t="shared" si="185"/>
        <v>C26</v>
      </c>
      <c r="N1942" s="10" t="str">
        <f t="shared" si="186"/>
        <v>C82</v>
      </c>
      <c r="O1942" s="5">
        <f t="shared" si="187"/>
        <v>3.3012426071194829</v>
      </c>
      <c r="P1942" s="22">
        <f>O1942/Explications!$C$8</f>
        <v>0.1100414202373161</v>
      </c>
      <c r="Q1942" s="7" t="str">
        <f t="shared" si="188"/>
        <v>C82</v>
      </c>
      <c r="R1942" s="7" t="str">
        <f t="shared" si="189"/>
        <v>C26</v>
      </c>
      <c r="S1942" s="18">
        <f t="shared" si="190"/>
        <v>3.3012426071194829</v>
      </c>
      <c r="T1942" s="18">
        <f>S1942/Explications!$C$8</f>
        <v>0.1100414202373161</v>
      </c>
    </row>
    <row r="1943" spans="7:20">
      <c r="G1943" s="7" t="s">
        <v>42</v>
      </c>
      <c r="H1943" s="7" t="s">
        <v>99</v>
      </c>
      <c r="I1943" s="7">
        <v>46.817700000000002</v>
      </c>
      <c r="J1943" s="7">
        <v>-71.214100000000002</v>
      </c>
      <c r="K1943" s="7">
        <v>46.8157</v>
      </c>
      <c r="L1943" s="7">
        <v>-71.201899999999995</v>
      </c>
      <c r="M1943" s="10" t="str">
        <f t="shared" si="185"/>
        <v>C26</v>
      </c>
      <c r="N1943" s="10" t="str">
        <f t="shared" si="186"/>
        <v>C83</v>
      </c>
      <c r="O1943" s="5">
        <f t="shared" si="187"/>
        <v>0.95461885780214994</v>
      </c>
      <c r="P1943" s="22">
        <f>O1943/Explications!$C$8</f>
        <v>3.1820628593404995E-2</v>
      </c>
      <c r="Q1943" s="7" t="str">
        <f t="shared" si="188"/>
        <v>C83</v>
      </c>
      <c r="R1943" s="7" t="str">
        <f t="shared" si="189"/>
        <v>C26</v>
      </c>
      <c r="S1943" s="18">
        <f t="shared" si="190"/>
        <v>0.95461885780214994</v>
      </c>
      <c r="T1943" s="18">
        <f>S1943/Explications!$C$8</f>
        <v>3.1820628593404995E-2</v>
      </c>
    </row>
    <row r="1944" spans="7:20">
      <c r="G1944" s="7" t="s">
        <v>42</v>
      </c>
      <c r="H1944" s="7" t="s">
        <v>100</v>
      </c>
      <c r="I1944" s="7">
        <v>46.817700000000002</v>
      </c>
      <c r="J1944" s="7">
        <v>-71.214100000000002</v>
      </c>
      <c r="K1944" s="7">
        <v>46.837600000000002</v>
      </c>
      <c r="L1944" s="7">
        <v>-71.196299999999994</v>
      </c>
      <c r="M1944" s="10" t="str">
        <f t="shared" si="185"/>
        <v>C26</v>
      </c>
      <c r="N1944" s="10" t="str">
        <f t="shared" si="186"/>
        <v>C84</v>
      </c>
      <c r="O1944" s="5">
        <f t="shared" si="187"/>
        <v>2.5942758752071917</v>
      </c>
      <c r="P1944" s="22">
        <f>O1944/Explications!$C$8</f>
        <v>8.6475862506906392E-2</v>
      </c>
      <c r="Q1944" s="7" t="str">
        <f t="shared" si="188"/>
        <v>C84</v>
      </c>
      <c r="R1944" s="7" t="str">
        <f t="shared" si="189"/>
        <v>C26</v>
      </c>
      <c r="S1944" s="18">
        <f t="shared" si="190"/>
        <v>2.5942758752071917</v>
      </c>
      <c r="T1944" s="18">
        <f>S1944/Explications!$C$8</f>
        <v>8.6475862506906392E-2</v>
      </c>
    </row>
    <row r="1945" spans="7:20">
      <c r="G1945" s="7" t="s">
        <v>42</v>
      </c>
      <c r="H1945" s="7" t="s">
        <v>101</v>
      </c>
      <c r="I1945" s="7">
        <v>46.817700000000002</v>
      </c>
      <c r="J1945" s="7">
        <v>-71.214100000000002</v>
      </c>
      <c r="K1945" s="7">
        <v>46.7988</v>
      </c>
      <c r="L1945" s="7">
        <v>-71.318200000000004</v>
      </c>
      <c r="M1945" s="10" t="str">
        <f t="shared" si="185"/>
        <v>C26</v>
      </c>
      <c r="N1945" s="10" t="str">
        <f t="shared" si="186"/>
        <v>C85</v>
      </c>
      <c r="O1945" s="5">
        <f t="shared" si="187"/>
        <v>8.1966820286439948</v>
      </c>
      <c r="P1945" s="22">
        <f>O1945/Explications!$C$8</f>
        <v>0.27322273428813315</v>
      </c>
      <c r="Q1945" s="7" t="str">
        <f t="shared" si="188"/>
        <v>C85</v>
      </c>
      <c r="R1945" s="7" t="str">
        <f t="shared" si="189"/>
        <v>C26</v>
      </c>
      <c r="S1945" s="18">
        <f t="shared" si="190"/>
        <v>8.1966820286439948</v>
      </c>
      <c r="T1945" s="18">
        <f>S1945/Explications!$C$8</f>
        <v>0.27322273428813315</v>
      </c>
    </row>
    <row r="1946" spans="7:20">
      <c r="G1946" s="7" t="s">
        <v>43</v>
      </c>
      <c r="H1946" s="7" t="s">
        <v>44</v>
      </c>
      <c r="I1946" s="7">
        <v>46.603000000000002</v>
      </c>
      <c r="J1946" s="7">
        <v>-71.490600000000001</v>
      </c>
      <c r="K1946" s="7">
        <v>47.000500000000002</v>
      </c>
      <c r="L1946" s="7">
        <v>-71.388400000000004</v>
      </c>
      <c r="M1946" s="10" t="str">
        <f t="shared" si="185"/>
        <v>C27</v>
      </c>
      <c r="N1946" s="10" t="str">
        <f t="shared" si="186"/>
        <v>C28</v>
      </c>
      <c r="O1946" s="5">
        <f t="shared" si="187"/>
        <v>44.879289837128255</v>
      </c>
      <c r="P1946" s="22">
        <f>O1946/Explications!$C$8</f>
        <v>1.4959763279042753</v>
      </c>
      <c r="Q1946" s="7" t="str">
        <f t="shared" si="188"/>
        <v>C28</v>
      </c>
      <c r="R1946" s="7" t="str">
        <f t="shared" si="189"/>
        <v>C27</v>
      </c>
      <c r="S1946" s="18">
        <f t="shared" si="190"/>
        <v>44.879289837128255</v>
      </c>
      <c r="T1946" s="18">
        <f>S1946/Explications!$C$8</f>
        <v>1.4959763279042753</v>
      </c>
    </row>
    <row r="1947" spans="7:20">
      <c r="G1947" s="7" t="s">
        <v>43</v>
      </c>
      <c r="H1947" s="7" t="s">
        <v>45</v>
      </c>
      <c r="I1947" s="7">
        <v>46.603000000000002</v>
      </c>
      <c r="J1947" s="7">
        <v>-71.490600000000001</v>
      </c>
      <c r="K1947" s="7">
        <v>46.839100000000002</v>
      </c>
      <c r="L1947" s="7">
        <v>-71.245699999999999</v>
      </c>
      <c r="M1947" s="10" t="str">
        <f t="shared" si="185"/>
        <v>C27</v>
      </c>
      <c r="N1947" s="10" t="str">
        <f t="shared" si="186"/>
        <v>C29</v>
      </c>
      <c r="O1947" s="5">
        <f t="shared" si="187"/>
        <v>32.214024670467168</v>
      </c>
      <c r="P1947" s="22">
        <f>O1947/Explications!$C$8</f>
        <v>1.0738008223489055</v>
      </c>
      <c r="Q1947" s="7" t="str">
        <f t="shared" si="188"/>
        <v>C29</v>
      </c>
      <c r="R1947" s="7" t="str">
        <f t="shared" si="189"/>
        <v>C27</v>
      </c>
      <c r="S1947" s="18">
        <f t="shared" si="190"/>
        <v>32.214024670467168</v>
      </c>
      <c r="T1947" s="18">
        <f>S1947/Explications!$C$8</f>
        <v>1.0738008223489055</v>
      </c>
    </row>
    <row r="1948" spans="7:20">
      <c r="G1948" s="7" t="s">
        <v>43</v>
      </c>
      <c r="H1948" s="7" t="s">
        <v>46</v>
      </c>
      <c r="I1948" s="7">
        <v>46.603000000000002</v>
      </c>
      <c r="J1948" s="7">
        <v>-71.490600000000001</v>
      </c>
      <c r="K1948" s="7">
        <v>46.865699999999997</v>
      </c>
      <c r="L1948" s="7">
        <v>-71.27</v>
      </c>
      <c r="M1948" s="10" t="str">
        <f t="shared" si="185"/>
        <v>C27</v>
      </c>
      <c r="N1948" s="10" t="str">
        <f t="shared" si="186"/>
        <v>C30</v>
      </c>
      <c r="O1948" s="5">
        <f t="shared" si="187"/>
        <v>33.703456146605212</v>
      </c>
      <c r="P1948" s="22">
        <f>O1948/Explications!$C$8</f>
        <v>1.1234485382201738</v>
      </c>
      <c r="Q1948" s="7" t="str">
        <f t="shared" si="188"/>
        <v>C30</v>
      </c>
      <c r="R1948" s="7" t="str">
        <f t="shared" si="189"/>
        <v>C27</v>
      </c>
      <c r="S1948" s="18">
        <f t="shared" si="190"/>
        <v>33.703456146605212</v>
      </c>
      <c r="T1948" s="18">
        <f>S1948/Explications!$C$8</f>
        <v>1.1234485382201738</v>
      </c>
    </row>
    <row r="1949" spans="7:20">
      <c r="G1949" s="7" t="s">
        <v>43</v>
      </c>
      <c r="H1949" s="7" t="s">
        <v>47</v>
      </c>
      <c r="I1949" s="7">
        <v>46.603000000000002</v>
      </c>
      <c r="J1949" s="7">
        <v>-71.490600000000001</v>
      </c>
      <c r="K1949" s="7">
        <v>46.805500000000002</v>
      </c>
      <c r="L1949" s="7">
        <v>-71.217299999999994</v>
      </c>
      <c r="M1949" s="10" t="str">
        <f t="shared" si="185"/>
        <v>C27</v>
      </c>
      <c r="N1949" s="10" t="str">
        <f t="shared" si="186"/>
        <v>C31</v>
      </c>
      <c r="O1949" s="5">
        <f t="shared" si="187"/>
        <v>30.6809525792088</v>
      </c>
      <c r="P1949" s="22">
        <f>O1949/Explications!$C$8</f>
        <v>1.0226984193069599</v>
      </c>
      <c r="Q1949" s="7" t="str">
        <f t="shared" si="188"/>
        <v>C31</v>
      </c>
      <c r="R1949" s="7" t="str">
        <f t="shared" si="189"/>
        <v>C27</v>
      </c>
      <c r="S1949" s="18">
        <f t="shared" si="190"/>
        <v>30.6809525792088</v>
      </c>
      <c r="T1949" s="18">
        <f>S1949/Explications!$C$8</f>
        <v>1.0226984193069599</v>
      </c>
    </row>
    <row r="1950" spans="7:20">
      <c r="G1950" s="7" t="s">
        <v>43</v>
      </c>
      <c r="H1950" s="7" t="s">
        <v>48</v>
      </c>
      <c r="I1950" s="7">
        <v>46.603000000000002</v>
      </c>
      <c r="J1950" s="7">
        <v>-71.490600000000001</v>
      </c>
      <c r="K1950" s="7">
        <v>46.792299999999997</v>
      </c>
      <c r="L1950" s="7">
        <v>-71.172899999999998</v>
      </c>
      <c r="M1950" s="10" t="str">
        <f t="shared" si="185"/>
        <v>C27</v>
      </c>
      <c r="N1950" s="10" t="str">
        <f t="shared" si="186"/>
        <v>C32</v>
      </c>
      <c r="O1950" s="5">
        <f t="shared" si="187"/>
        <v>32.095105369991842</v>
      </c>
      <c r="P1950" s="22">
        <f>O1950/Explications!$C$8</f>
        <v>1.0698368456663947</v>
      </c>
      <c r="Q1950" s="7" t="str">
        <f t="shared" si="188"/>
        <v>C32</v>
      </c>
      <c r="R1950" s="7" t="str">
        <f t="shared" si="189"/>
        <v>C27</v>
      </c>
      <c r="S1950" s="18">
        <f t="shared" si="190"/>
        <v>32.095105369991842</v>
      </c>
      <c r="T1950" s="18">
        <f>S1950/Explications!$C$8</f>
        <v>1.0698368456663947</v>
      </c>
    </row>
    <row r="1951" spans="7:20">
      <c r="G1951" s="7" t="s">
        <v>43</v>
      </c>
      <c r="H1951" s="7" t="s">
        <v>49</v>
      </c>
      <c r="I1951" s="7">
        <v>46.603000000000002</v>
      </c>
      <c r="J1951" s="7">
        <v>-71.490600000000001</v>
      </c>
      <c r="K1951" s="7">
        <v>46.7883</v>
      </c>
      <c r="L1951" s="7">
        <v>-71.131200000000007</v>
      </c>
      <c r="M1951" s="10" t="str">
        <f t="shared" si="185"/>
        <v>C27</v>
      </c>
      <c r="N1951" s="10" t="str">
        <f t="shared" si="186"/>
        <v>C33</v>
      </c>
      <c r="O1951" s="5">
        <f t="shared" si="187"/>
        <v>34.290515798912381</v>
      </c>
      <c r="P1951" s="22">
        <f>O1951/Explications!$C$8</f>
        <v>1.1430171932970794</v>
      </c>
      <c r="Q1951" s="7" t="str">
        <f t="shared" si="188"/>
        <v>C33</v>
      </c>
      <c r="R1951" s="7" t="str">
        <f t="shared" si="189"/>
        <v>C27</v>
      </c>
      <c r="S1951" s="18">
        <f t="shared" si="190"/>
        <v>34.290515798912381</v>
      </c>
      <c r="T1951" s="18">
        <f>S1951/Explications!$C$8</f>
        <v>1.1430171932970794</v>
      </c>
    </row>
    <row r="1952" spans="7:20">
      <c r="G1952" s="7" t="s">
        <v>43</v>
      </c>
      <c r="H1952" s="7" t="s">
        <v>50</v>
      </c>
      <c r="I1952" s="7">
        <v>46.603000000000002</v>
      </c>
      <c r="J1952" s="7">
        <v>-71.490600000000001</v>
      </c>
      <c r="K1952" s="7">
        <v>46.8611</v>
      </c>
      <c r="L1952" s="7">
        <v>-71.268799999999999</v>
      </c>
      <c r="M1952" s="10" t="str">
        <f t="shared" si="185"/>
        <v>C27</v>
      </c>
      <c r="N1952" s="10" t="str">
        <f t="shared" si="186"/>
        <v>C34</v>
      </c>
      <c r="O1952" s="5">
        <f t="shared" si="187"/>
        <v>33.307804721903153</v>
      </c>
      <c r="P1952" s="22">
        <f>O1952/Explications!$C$8</f>
        <v>1.1102601573967719</v>
      </c>
      <c r="Q1952" s="7" t="str">
        <f t="shared" si="188"/>
        <v>C34</v>
      </c>
      <c r="R1952" s="7" t="str">
        <f t="shared" si="189"/>
        <v>C27</v>
      </c>
      <c r="S1952" s="18">
        <f t="shared" si="190"/>
        <v>33.307804721903153</v>
      </c>
      <c r="T1952" s="18">
        <f>S1952/Explications!$C$8</f>
        <v>1.1102601573967719</v>
      </c>
    </row>
    <row r="1953" spans="7:20">
      <c r="G1953" s="7" t="s">
        <v>43</v>
      </c>
      <c r="H1953" s="7" t="s">
        <v>51</v>
      </c>
      <c r="I1953" s="7">
        <v>46.603000000000002</v>
      </c>
      <c r="J1953" s="7">
        <v>-71.490600000000001</v>
      </c>
      <c r="K1953" s="7">
        <v>46.869700000000002</v>
      </c>
      <c r="L1953" s="7">
        <v>-71.205200000000005</v>
      </c>
      <c r="M1953" s="10" t="str">
        <f t="shared" si="185"/>
        <v>C27</v>
      </c>
      <c r="N1953" s="10" t="str">
        <f t="shared" si="186"/>
        <v>C35</v>
      </c>
      <c r="O1953" s="5">
        <f t="shared" si="187"/>
        <v>36.776483702463196</v>
      </c>
      <c r="P1953" s="22">
        <f>O1953/Explications!$C$8</f>
        <v>1.2258827900821065</v>
      </c>
      <c r="Q1953" s="7" t="str">
        <f t="shared" si="188"/>
        <v>C35</v>
      </c>
      <c r="R1953" s="7" t="str">
        <f t="shared" si="189"/>
        <v>C27</v>
      </c>
      <c r="S1953" s="18">
        <f t="shared" si="190"/>
        <v>36.776483702463196</v>
      </c>
      <c r="T1953" s="18">
        <f>S1953/Explications!$C$8</f>
        <v>1.2258827900821065</v>
      </c>
    </row>
    <row r="1954" spans="7:20">
      <c r="G1954" s="7" t="s">
        <v>43</v>
      </c>
      <c r="H1954" s="7" t="s">
        <v>52</v>
      </c>
      <c r="I1954" s="7">
        <v>46.603000000000002</v>
      </c>
      <c r="J1954" s="7">
        <v>-71.490600000000001</v>
      </c>
      <c r="K1954" s="7">
        <v>46.774099999999997</v>
      </c>
      <c r="L1954" s="7">
        <v>-71.174000000000007</v>
      </c>
      <c r="M1954" s="10" t="str">
        <f t="shared" si="185"/>
        <v>C27</v>
      </c>
      <c r="N1954" s="10" t="str">
        <f t="shared" si="186"/>
        <v>C36</v>
      </c>
      <c r="O1954" s="5">
        <f t="shared" si="187"/>
        <v>30.743027524267383</v>
      </c>
      <c r="P1954" s="22">
        <f>O1954/Explications!$C$8</f>
        <v>1.0247675841422461</v>
      </c>
      <c r="Q1954" s="7" t="str">
        <f t="shared" si="188"/>
        <v>C36</v>
      </c>
      <c r="R1954" s="7" t="str">
        <f t="shared" si="189"/>
        <v>C27</v>
      </c>
      <c r="S1954" s="18">
        <f t="shared" si="190"/>
        <v>30.743027524267383</v>
      </c>
      <c r="T1954" s="18">
        <f>S1954/Explications!$C$8</f>
        <v>1.0247675841422461</v>
      </c>
    </row>
    <row r="1955" spans="7:20">
      <c r="G1955" s="7" t="s">
        <v>43</v>
      </c>
      <c r="H1955" s="7" t="s">
        <v>53</v>
      </c>
      <c r="I1955" s="7">
        <v>46.603000000000002</v>
      </c>
      <c r="J1955" s="7">
        <v>-71.490600000000001</v>
      </c>
      <c r="K1955" s="7">
        <v>46.808500000000002</v>
      </c>
      <c r="L1955" s="7">
        <v>-71.326599999999999</v>
      </c>
      <c r="M1955" s="10" t="str">
        <f t="shared" si="185"/>
        <v>C27</v>
      </c>
      <c r="N1955" s="10" t="str">
        <f t="shared" si="186"/>
        <v>C37</v>
      </c>
      <c r="O1955" s="5">
        <f t="shared" si="187"/>
        <v>26.04856906262766</v>
      </c>
      <c r="P1955" s="22">
        <f>O1955/Explications!$C$8</f>
        <v>0.86828563542092196</v>
      </c>
      <c r="Q1955" s="7" t="str">
        <f t="shared" si="188"/>
        <v>C37</v>
      </c>
      <c r="R1955" s="7" t="str">
        <f t="shared" si="189"/>
        <v>C27</v>
      </c>
      <c r="S1955" s="18">
        <f t="shared" si="190"/>
        <v>26.04856906262766</v>
      </c>
      <c r="T1955" s="18">
        <f>S1955/Explications!$C$8</f>
        <v>0.86828563542092196</v>
      </c>
    </row>
    <row r="1956" spans="7:20">
      <c r="G1956" s="7" t="s">
        <v>43</v>
      </c>
      <c r="H1956" s="7" t="s">
        <v>54</v>
      </c>
      <c r="I1956" s="7">
        <v>46.603000000000002</v>
      </c>
      <c r="J1956" s="7">
        <v>-71.490600000000001</v>
      </c>
      <c r="K1956" s="7">
        <v>46.797499999999999</v>
      </c>
      <c r="L1956" s="7">
        <v>-71.306100000000001</v>
      </c>
      <c r="M1956" s="10" t="str">
        <f t="shared" si="185"/>
        <v>C27</v>
      </c>
      <c r="N1956" s="10" t="str">
        <f t="shared" si="186"/>
        <v>C38</v>
      </c>
      <c r="O1956" s="5">
        <f t="shared" si="187"/>
        <v>25.801236757153205</v>
      </c>
      <c r="P1956" s="22">
        <f>O1956/Explications!$C$8</f>
        <v>0.86004122523844018</v>
      </c>
      <c r="Q1956" s="7" t="str">
        <f t="shared" si="188"/>
        <v>C38</v>
      </c>
      <c r="R1956" s="7" t="str">
        <f t="shared" si="189"/>
        <v>C27</v>
      </c>
      <c r="S1956" s="18">
        <f t="shared" si="190"/>
        <v>25.801236757153205</v>
      </c>
      <c r="T1956" s="18">
        <f>S1956/Explications!$C$8</f>
        <v>0.86004122523844018</v>
      </c>
    </row>
    <row r="1957" spans="7:20">
      <c r="G1957" s="7" t="s">
        <v>43</v>
      </c>
      <c r="H1957" s="7" t="s">
        <v>55</v>
      </c>
      <c r="I1957" s="7">
        <v>46.603000000000002</v>
      </c>
      <c r="J1957" s="7">
        <v>-71.490600000000001</v>
      </c>
      <c r="K1957" s="7">
        <v>46.8155</v>
      </c>
      <c r="L1957" s="7">
        <v>-71.268199999999993</v>
      </c>
      <c r="M1957" s="10" t="str">
        <f t="shared" si="185"/>
        <v>C27</v>
      </c>
      <c r="N1957" s="10" t="str">
        <f t="shared" si="186"/>
        <v>C39</v>
      </c>
      <c r="O1957" s="5">
        <f t="shared" si="187"/>
        <v>29.083867455082796</v>
      </c>
      <c r="P1957" s="22">
        <f>O1957/Explications!$C$8</f>
        <v>0.96946224850275986</v>
      </c>
      <c r="Q1957" s="7" t="str">
        <f t="shared" si="188"/>
        <v>C39</v>
      </c>
      <c r="R1957" s="7" t="str">
        <f t="shared" si="189"/>
        <v>C27</v>
      </c>
      <c r="S1957" s="18">
        <f t="shared" si="190"/>
        <v>29.083867455082796</v>
      </c>
      <c r="T1957" s="18">
        <f>S1957/Explications!$C$8</f>
        <v>0.96946224850275986</v>
      </c>
    </row>
    <row r="1958" spans="7:20">
      <c r="G1958" s="7" t="s">
        <v>43</v>
      </c>
      <c r="H1958" s="7" t="s">
        <v>56</v>
      </c>
      <c r="I1958" s="7">
        <v>46.603000000000002</v>
      </c>
      <c r="J1958" s="7">
        <v>-71.490600000000001</v>
      </c>
      <c r="K1958" s="7">
        <v>46.866700000000002</v>
      </c>
      <c r="L1958" s="7">
        <v>-71.215900000000005</v>
      </c>
      <c r="M1958" s="10" t="str">
        <f t="shared" si="185"/>
        <v>C27</v>
      </c>
      <c r="N1958" s="10" t="str">
        <f t="shared" si="186"/>
        <v>C40</v>
      </c>
      <c r="O1958" s="5">
        <f t="shared" si="187"/>
        <v>36.028524942584163</v>
      </c>
      <c r="P1958" s="22">
        <f>O1958/Explications!$C$8</f>
        <v>1.2009508314194721</v>
      </c>
      <c r="Q1958" s="7" t="str">
        <f t="shared" si="188"/>
        <v>C40</v>
      </c>
      <c r="R1958" s="7" t="str">
        <f t="shared" si="189"/>
        <v>C27</v>
      </c>
      <c r="S1958" s="18">
        <f t="shared" si="190"/>
        <v>36.028524942584163</v>
      </c>
      <c r="T1958" s="18">
        <f>S1958/Explications!$C$8</f>
        <v>1.2009508314194721</v>
      </c>
    </row>
    <row r="1959" spans="7:20">
      <c r="G1959" s="7" t="s">
        <v>43</v>
      </c>
      <c r="H1959" s="7" t="s">
        <v>57</v>
      </c>
      <c r="I1959" s="7">
        <v>46.603000000000002</v>
      </c>
      <c r="J1959" s="7">
        <v>-71.490600000000001</v>
      </c>
      <c r="K1959" s="7">
        <v>46.762099999999997</v>
      </c>
      <c r="L1959" s="7">
        <v>-71.235399999999998</v>
      </c>
      <c r="M1959" s="10" t="str">
        <f t="shared" si="185"/>
        <v>C27</v>
      </c>
      <c r="N1959" s="10" t="str">
        <f t="shared" si="186"/>
        <v>C41</v>
      </c>
      <c r="O1959" s="5">
        <f t="shared" si="187"/>
        <v>26.305249455048298</v>
      </c>
      <c r="P1959" s="22">
        <f>O1959/Explications!$C$8</f>
        <v>0.87684164850160995</v>
      </c>
      <c r="Q1959" s="7" t="str">
        <f t="shared" si="188"/>
        <v>C41</v>
      </c>
      <c r="R1959" s="7" t="str">
        <f t="shared" si="189"/>
        <v>C27</v>
      </c>
      <c r="S1959" s="18">
        <f t="shared" si="190"/>
        <v>26.305249455048298</v>
      </c>
      <c r="T1959" s="18">
        <f>S1959/Explications!$C$8</f>
        <v>0.87684164850160995</v>
      </c>
    </row>
    <row r="1960" spans="7:20">
      <c r="G1960" s="7" t="s">
        <v>43</v>
      </c>
      <c r="H1960" s="7" t="s">
        <v>58</v>
      </c>
      <c r="I1960" s="7">
        <v>46.603000000000002</v>
      </c>
      <c r="J1960" s="7">
        <v>-71.490600000000001</v>
      </c>
      <c r="K1960" s="7">
        <v>46.8157</v>
      </c>
      <c r="L1960" s="7">
        <v>-71.2042</v>
      </c>
      <c r="M1960" s="10" t="str">
        <f t="shared" si="185"/>
        <v>C27</v>
      </c>
      <c r="N1960" s="10" t="str">
        <f t="shared" si="186"/>
        <v>C42</v>
      </c>
      <c r="O1960" s="5">
        <f t="shared" si="187"/>
        <v>32.190474218972973</v>
      </c>
      <c r="P1960" s="22">
        <f>O1960/Explications!$C$8</f>
        <v>1.0730158072990992</v>
      </c>
      <c r="Q1960" s="7" t="str">
        <f t="shared" si="188"/>
        <v>C42</v>
      </c>
      <c r="R1960" s="7" t="str">
        <f t="shared" si="189"/>
        <v>C27</v>
      </c>
      <c r="S1960" s="18">
        <f t="shared" si="190"/>
        <v>32.190474218972973</v>
      </c>
      <c r="T1960" s="18">
        <f>S1960/Explications!$C$8</f>
        <v>1.0730158072990992</v>
      </c>
    </row>
    <row r="1961" spans="7:20">
      <c r="G1961" s="7" t="s">
        <v>43</v>
      </c>
      <c r="H1961" s="7" t="s">
        <v>59</v>
      </c>
      <c r="I1961" s="7">
        <v>46.603000000000002</v>
      </c>
      <c r="J1961" s="7">
        <v>-71.490600000000001</v>
      </c>
      <c r="K1961" s="7">
        <v>46.707000000000001</v>
      </c>
      <c r="L1961" s="7">
        <v>-71.217100000000002</v>
      </c>
      <c r="M1961" s="10" t="str">
        <f t="shared" si="185"/>
        <v>C27</v>
      </c>
      <c r="N1961" s="10" t="str">
        <f t="shared" si="186"/>
        <v>C43</v>
      </c>
      <c r="O1961" s="5">
        <f t="shared" si="187"/>
        <v>23.863574038021135</v>
      </c>
      <c r="P1961" s="22">
        <f>O1961/Explications!$C$8</f>
        <v>0.79545246793403779</v>
      </c>
      <c r="Q1961" s="7" t="str">
        <f t="shared" si="188"/>
        <v>C43</v>
      </c>
      <c r="R1961" s="7" t="str">
        <f t="shared" si="189"/>
        <v>C27</v>
      </c>
      <c r="S1961" s="18">
        <f t="shared" si="190"/>
        <v>23.863574038021135</v>
      </c>
      <c r="T1961" s="18">
        <f>S1961/Explications!$C$8</f>
        <v>0.79545246793403779</v>
      </c>
    </row>
    <row r="1962" spans="7:20">
      <c r="G1962" s="7" t="s">
        <v>43</v>
      </c>
      <c r="H1962" s="7" t="s">
        <v>60</v>
      </c>
      <c r="I1962" s="7">
        <v>46.603000000000002</v>
      </c>
      <c r="J1962" s="7">
        <v>-71.490600000000001</v>
      </c>
      <c r="K1962" s="7">
        <v>46.802900000000001</v>
      </c>
      <c r="L1962" s="7">
        <v>-71.228899999999996</v>
      </c>
      <c r="M1962" s="10" t="str">
        <f t="shared" si="185"/>
        <v>C27</v>
      </c>
      <c r="N1962" s="10" t="str">
        <f t="shared" si="186"/>
        <v>C44</v>
      </c>
      <c r="O1962" s="5">
        <f t="shared" si="187"/>
        <v>29.871706868410083</v>
      </c>
      <c r="P1962" s="22">
        <f>O1962/Explications!$C$8</f>
        <v>0.99572356228033609</v>
      </c>
      <c r="Q1962" s="7" t="str">
        <f t="shared" si="188"/>
        <v>C44</v>
      </c>
      <c r="R1962" s="7" t="str">
        <f t="shared" si="189"/>
        <v>C27</v>
      </c>
      <c r="S1962" s="18">
        <f t="shared" si="190"/>
        <v>29.871706868410083</v>
      </c>
      <c r="T1962" s="18">
        <f>S1962/Explications!$C$8</f>
        <v>0.99572356228033609</v>
      </c>
    </row>
    <row r="1963" spans="7:20">
      <c r="G1963" s="7" t="s">
        <v>43</v>
      </c>
      <c r="H1963" s="7" t="s">
        <v>61</v>
      </c>
      <c r="I1963" s="7">
        <v>46.603000000000002</v>
      </c>
      <c r="J1963" s="7">
        <v>-71.490600000000001</v>
      </c>
      <c r="K1963" s="7">
        <v>46.796900000000001</v>
      </c>
      <c r="L1963" s="7">
        <v>-71.3078</v>
      </c>
      <c r="M1963" s="10" t="str">
        <f t="shared" si="185"/>
        <v>C27</v>
      </c>
      <c r="N1963" s="10" t="str">
        <f t="shared" si="186"/>
        <v>C45</v>
      </c>
      <c r="O1963" s="5">
        <f t="shared" si="187"/>
        <v>25.674761737190497</v>
      </c>
      <c r="P1963" s="22">
        <f>O1963/Explications!$C$8</f>
        <v>0.85582539123968326</v>
      </c>
      <c r="Q1963" s="7" t="str">
        <f t="shared" si="188"/>
        <v>C45</v>
      </c>
      <c r="R1963" s="7" t="str">
        <f t="shared" si="189"/>
        <v>C27</v>
      </c>
      <c r="S1963" s="18">
        <f t="shared" si="190"/>
        <v>25.674761737190497</v>
      </c>
      <c r="T1963" s="18">
        <f>S1963/Explications!$C$8</f>
        <v>0.85582539123968326</v>
      </c>
    </row>
    <row r="1964" spans="7:20">
      <c r="G1964" s="7" t="s">
        <v>43</v>
      </c>
      <c r="H1964" s="7" t="s">
        <v>62</v>
      </c>
      <c r="I1964" s="7">
        <v>46.603000000000002</v>
      </c>
      <c r="J1964" s="7">
        <v>-71.490600000000001</v>
      </c>
      <c r="K1964" s="7">
        <v>46.803600000000003</v>
      </c>
      <c r="L1964" s="7">
        <v>-71.231099999999998</v>
      </c>
      <c r="M1964" s="10" t="str">
        <f t="shared" si="185"/>
        <v>C27</v>
      </c>
      <c r="N1964" s="10" t="str">
        <f t="shared" si="186"/>
        <v>C46</v>
      </c>
      <c r="O1964" s="5">
        <f t="shared" si="187"/>
        <v>29.817990968898915</v>
      </c>
      <c r="P1964" s="22">
        <f>O1964/Explications!$C$8</f>
        <v>0.99393303229663055</v>
      </c>
      <c r="Q1964" s="7" t="str">
        <f t="shared" si="188"/>
        <v>C46</v>
      </c>
      <c r="R1964" s="7" t="str">
        <f t="shared" si="189"/>
        <v>C27</v>
      </c>
      <c r="S1964" s="18">
        <f t="shared" si="190"/>
        <v>29.817990968898915</v>
      </c>
      <c r="T1964" s="18">
        <f>S1964/Explications!$C$8</f>
        <v>0.99393303229663055</v>
      </c>
    </row>
    <row r="1965" spans="7:20">
      <c r="G1965" s="7" t="s">
        <v>43</v>
      </c>
      <c r="H1965" s="7" t="s">
        <v>63</v>
      </c>
      <c r="I1965" s="7">
        <v>46.603000000000002</v>
      </c>
      <c r="J1965" s="7">
        <v>-71.490600000000001</v>
      </c>
      <c r="K1965" s="7">
        <v>46.802399999999999</v>
      </c>
      <c r="L1965" s="7">
        <v>-71.269800000000004</v>
      </c>
      <c r="M1965" s="10" t="str">
        <f t="shared" si="185"/>
        <v>C27</v>
      </c>
      <c r="N1965" s="10" t="str">
        <f t="shared" si="186"/>
        <v>C47</v>
      </c>
      <c r="O1965" s="5">
        <f t="shared" si="187"/>
        <v>27.840642600164717</v>
      </c>
      <c r="P1965" s="22">
        <f>O1965/Explications!$C$8</f>
        <v>0.92802142000549059</v>
      </c>
      <c r="Q1965" s="7" t="str">
        <f t="shared" si="188"/>
        <v>C47</v>
      </c>
      <c r="R1965" s="7" t="str">
        <f t="shared" si="189"/>
        <v>C27</v>
      </c>
      <c r="S1965" s="18">
        <f t="shared" si="190"/>
        <v>27.840642600164717</v>
      </c>
      <c r="T1965" s="18">
        <f>S1965/Explications!$C$8</f>
        <v>0.92802142000549059</v>
      </c>
    </row>
    <row r="1966" spans="7:20">
      <c r="G1966" s="7" t="s">
        <v>43</v>
      </c>
      <c r="H1966" s="7" t="s">
        <v>64</v>
      </c>
      <c r="I1966" s="7">
        <v>46.603000000000002</v>
      </c>
      <c r="J1966" s="7">
        <v>-71.490600000000001</v>
      </c>
      <c r="K1966" s="7">
        <v>46.826799999999999</v>
      </c>
      <c r="L1966" s="7">
        <v>-71.224199999999996</v>
      </c>
      <c r="M1966" s="10" t="str">
        <f t="shared" si="185"/>
        <v>C27</v>
      </c>
      <c r="N1966" s="10" t="str">
        <f t="shared" si="186"/>
        <v>C48</v>
      </c>
      <c r="O1966" s="5">
        <f t="shared" si="187"/>
        <v>32.121253104030252</v>
      </c>
      <c r="P1966" s="22">
        <f>O1966/Explications!$C$8</f>
        <v>1.0707084368010085</v>
      </c>
      <c r="Q1966" s="7" t="str">
        <f t="shared" si="188"/>
        <v>C48</v>
      </c>
      <c r="R1966" s="7" t="str">
        <f t="shared" si="189"/>
        <v>C27</v>
      </c>
      <c r="S1966" s="18">
        <f t="shared" si="190"/>
        <v>32.121253104030252</v>
      </c>
      <c r="T1966" s="18">
        <f>S1966/Explications!$C$8</f>
        <v>1.0707084368010085</v>
      </c>
    </row>
    <row r="1967" spans="7:20">
      <c r="G1967" s="7" t="s">
        <v>43</v>
      </c>
      <c r="H1967" s="7" t="s">
        <v>65</v>
      </c>
      <c r="I1967" s="7">
        <v>46.603000000000002</v>
      </c>
      <c r="J1967" s="7">
        <v>-71.490600000000001</v>
      </c>
      <c r="K1967" s="7">
        <v>46.864100000000001</v>
      </c>
      <c r="L1967" s="7">
        <v>-71.255499999999998</v>
      </c>
      <c r="M1967" s="10" t="str">
        <f t="shared" si="185"/>
        <v>C27</v>
      </c>
      <c r="N1967" s="10" t="str">
        <f t="shared" si="186"/>
        <v>C49</v>
      </c>
      <c r="O1967" s="5">
        <f t="shared" si="187"/>
        <v>34.11668027061684</v>
      </c>
      <c r="P1967" s="22">
        <f>O1967/Explications!$C$8</f>
        <v>1.1372226756872279</v>
      </c>
      <c r="Q1967" s="7" t="str">
        <f t="shared" si="188"/>
        <v>C49</v>
      </c>
      <c r="R1967" s="7" t="str">
        <f t="shared" si="189"/>
        <v>C27</v>
      </c>
      <c r="S1967" s="18">
        <f t="shared" si="190"/>
        <v>34.11668027061684</v>
      </c>
      <c r="T1967" s="18">
        <f>S1967/Explications!$C$8</f>
        <v>1.1372226756872279</v>
      </c>
    </row>
    <row r="1968" spans="7:20">
      <c r="G1968" s="7" t="s">
        <v>43</v>
      </c>
      <c r="H1968" s="7" t="s">
        <v>66</v>
      </c>
      <c r="I1968" s="7">
        <v>46.603000000000002</v>
      </c>
      <c r="J1968" s="7">
        <v>-71.490600000000001</v>
      </c>
      <c r="K1968" s="7">
        <v>46.843800000000002</v>
      </c>
      <c r="L1968" s="7">
        <v>-71.247299999999996</v>
      </c>
      <c r="M1968" s="10" t="str">
        <f t="shared" si="185"/>
        <v>C27</v>
      </c>
      <c r="N1968" s="10" t="str">
        <f t="shared" si="186"/>
        <v>C50</v>
      </c>
      <c r="O1968" s="5">
        <f t="shared" si="187"/>
        <v>32.571276248027559</v>
      </c>
      <c r="P1968" s="22">
        <f>O1968/Explications!$C$8</f>
        <v>1.0857092082675852</v>
      </c>
      <c r="Q1968" s="7" t="str">
        <f t="shared" si="188"/>
        <v>C50</v>
      </c>
      <c r="R1968" s="7" t="str">
        <f t="shared" si="189"/>
        <v>C27</v>
      </c>
      <c r="S1968" s="18">
        <f t="shared" si="190"/>
        <v>32.571276248027559</v>
      </c>
      <c r="T1968" s="18">
        <f>S1968/Explications!$C$8</f>
        <v>1.0857092082675852</v>
      </c>
    </row>
    <row r="1969" spans="7:20">
      <c r="G1969" s="7" t="s">
        <v>43</v>
      </c>
      <c r="H1969" s="7" t="s">
        <v>67</v>
      </c>
      <c r="I1969" s="7">
        <v>46.603000000000002</v>
      </c>
      <c r="J1969" s="7">
        <v>-71.490600000000001</v>
      </c>
      <c r="K1969" s="7">
        <v>46.765599999999999</v>
      </c>
      <c r="L1969" s="7">
        <v>-71.312100000000001</v>
      </c>
      <c r="M1969" s="10" t="str">
        <f t="shared" si="185"/>
        <v>C27</v>
      </c>
      <c r="N1969" s="10" t="str">
        <f t="shared" si="186"/>
        <v>C51</v>
      </c>
      <c r="O1969" s="5">
        <f t="shared" si="187"/>
        <v>22.634036063578748</v>
      </c>
      <c r="P1969" s="22">
        <f>O1969/Explications!$C$8</f>
        <v>0.75446786878595828</v>
      </c>
      <c r="Q1969" s="7" t="str">
        <f t="shared" si="188"/>
        <v>C51</v>
      </c>
      <c r="R1969" s="7" t="str">
        <f t="shared" si="189"/>
        <v>C27</v>
      </c>
      <c r="S1969" s="18">
        <f t="shared" si="190"/>
        <v>22.634036063578748</v>
      </c>
      <c r="T1969" s="18">
        <f>S1969/Explications!$C$8</f>
        <v>0.75446786878595828</v>
      </c>
    </row>
    <row r="1970" spans="7:20">
      <c r="G1970" s="7" t="s">
        <v>43</v>
      </c>
      <c r="H1970" s="7" t="s">
        <v>68</v>
      </c>
      <c r="I1970" s="7">
        <v>46.603000000000002</v>
      </c>
      <c r="J1970" s="7">
        <v>-71.490600000000001</v>
      </c>
      <c r="K1970" s="7">
        <v>46.787599999999998</v>
      </c>
      <c r="L1970" s="7">
        <v>-71.288600000000002</v>
      </c>
      <c r="M1970" s="10" t="str">
        <f t="shared" si="185"/>
        <v>C27</v>
      </c>
      <c r="N1970" s="10" t="str">
        <f t="shared" si="186"/>
        <v>C52</v>
      </c>
      <c r="O1970" s="5">
        <f t="shared" si="187"/>
        <v>25.664706712882651</v>
      </c>
      <c r="P1970" s="22">
        <f>O1970/Explications!$C$8</f>
        <v>0.85549022376275508</v>
      </c>
      <c r="Q1970" s="7" t="str">
        <f t="shared" si="188"/>
        <v>C52</v>
      </c>
      <c r="R1970" s="7" t="str">
        <f t="shared" si="189"/>
        <v>C27</v>
      </c>
      <c r="S1970" s="18">
        <f t="shared" si="190"/>
        <v>25.664706712882651</v>
      </c>
      <c r="T1970" s="18">
        <f>S1970/Explications!$C$8</f>
        <v>0.85549022376275508</v>
      </c>
    </row>
    <row r="1971" spans="7:20">
      <c r="G1971" s="7" t="s">
        <v>43</v>
      </c>
      <c r="H1971" s="7" t="s">
        <v>69</v>
      </c>
      <c r="I1971" s="7">
        <v>46.603000000000002</v>
      </c>
      <c r="J1971" s="7">
        <v>-71.490600000000001</v>
      </c>
      <c r="K1971" s="7">
        <v>46.764600000000002</v>
      </c>
      <c r="L1971" s="7">
        <v>-71.308300000000003</v>
      </c>
      <c r="M1971" s="10" t="str">
        <f t="shared" si="185"/>
        <v>C27</v>
      </c>
      <c r="N1971" s="10" t="str">
        <f t="shared" si="186"/>
        <v>C53</v>
      </c>
      <c r="O1971" s="5">
        <f t="shared" si="187"/>
        <v>22.721632315108483</v>
      </c>
      <c r="P1971" s="22">
        <f>O1971/Explications!$C$8</f>
        <v>0.7573877438369494</v>
      </c>
      <c r="Q1971" s="7" t="str">
        <f t="shared" si="188"/>
        <v>C53</v>
      </c>
      <c r="R1971" s="7" t="str">
        <f t="shared" si="189"/>
        <v>C27</v>
      </c>
      <c r="S1971" s="18">
        <f t="shared" si="190"/>
        <v>22.721632315108483</v>
      </c>
      <c r="T1971" s="18">
        <f>S1971/Explications!$C$8</f>
        <v>0.7573877438369494</v>
      </c>
    </row>
    <row r="1972" spans="7:20">
      <c r="G1972" s="7" t="s">
        <v>43</v>
      </c>
      <c r="H1972" s="7" t="s">
        <v>70</v>
      </c>
      <c r="I1972" s="7">
        <v>46.603000000000002</v>
      </c>
      <c r="J1972" s="7">
        <v>-71.490600000000001</v>
      </c>
      <c r="K1972" s="7">
        <v>46.849699999999999</v>
      </c>
      <c r="L1972" s="7">
        <v>-71.097399999999993</v>
      </c>
      <c r="M1972" s="10" t="str">
        <f t="shared" si="185"/>
        <v>C27</v>
      </c>
      <c r="N1972" s="10" t="str">
        <f t="shared" si="186"/>
        <v>C54</v>
      </c>
      <c r="O1972" s="5">
        <f t="shared" si="187"/>
        <v>40.629205593969544</v>
      </c>
      <c r="P1972" s="22">
        <f>O1972/Explications!$C$8</f>
        <v>1.3543068531323181</v>
      </c>
      <c r="Q1972" s="7" t="str">
        <f t="shared" si="188"/>
        <v>C54</v>
      </c>
      <c r="R1972" s="7" t="str">
        <f t="shared" si="189"/>
        <v>C27</v>
      </c>
      <c r="S1972" s="18">
        <f t="shared" si="190"/>
        <v>40.629205593969544</v>
      </c>
      <c r="T1972" s="18">
        <f>S1972/Explications!$C$8</f>
        <v>1.3543068531323181</v>
      </c>
    </row>
    <row r="1973" spans="7:20">
      <c r="G1973" s="7" t="s">
        <v>43</v>
      </c>
      <c r="H1973" s="7" t="s">
        <v>71</v>
      </c>
      <c r="I1973" s="7">
        <v>46.603000000000002</v>
      </c>
      <c r="J1973" s="7">
        <v>-71.490600000000001</v>
      </c>
      <c r="K1973" s="7">
        <v>46.788899999999998</v>
      </c>
      <c r="L1973" s="7">
        <v>-71.321399999999997</v>
      </c>
      <c r="M1973" s="10" t="str">
        <f t="shared" si="185"/>
        <v>C27</v>
      </c>
      <c r="N1973" s="10" t="str">
        <f t="shared" si="186"/>
        <v>C55</v>
      </c>
      <c r="O1973" s="5">
        <f t="shared" si="187"/>
        <v>24.368226174113119</v>
      </c>
      <c r="P1973" s="22">
        <f>O1973/Explications!$C$8</f>
        <v>0.81227420580377063</v>
      </c>
      <c r="Q1973" s="7" t="str">
        <f t="shared" si="188"/>
        <v>C55</v>
      </c>
      <c r="R1973" s="7" t="str">
        <f t="shared" si="189"/>
        <v>C27</v>
      </c>
      <c r="S1973" s="18">
        <f t="shared" si="190"/>
        <v>24.368226174113119</v>
      </c>
      <c r="T1973" s="18">
        <f>S1973/Explications!$C$8</f>
        <v>0.81227420580377063</v>
      </c>
    </row>
    <row r="1974" spans="7:20">
      <c r="G1974" s="7" t="s">
        <v>43</v>
      </c>
      <c r="H1974" s="7" t="s">
        <v>72</v>
      </c>
      <c r="I1974" s="7">
        <v>46.603000000000002</v>
      </c>
      <c r="J1974" s="7">
        <v>-71.490600000000001</v>
      </c>
      <c r="K1974" s="7">
        <v>46.795400000000001</v>
      </c>
      <c r="L1974" s="7">
        <v>-71.232600000000005</v>
      </c>
      <c r="M1974" s="10" t="str">
        <f t="shared" si="185"/>
        <v>C27</v>
      </c>
      <c r="N1974" s="10" t="str">
        <f t="shared" si="186"/>
        <v>C56</v>
      </c>
      <c r="O1974" s="5">
        <f t="shared" si="187"/>
        <v>29.065659639906084</v>
      </c>
      <c r="P1974" s="22">
        <f>O1974/Explications!$C$8</f>
        <v>0.9688553213302028</v>
      </c>
      <c r="Q1974" s="7" t="str">
        <f t="shared" si="188"/>
        <v>C56</v>
      </c>
      <c r="R1974" s="7" t="str">
        <f t="shared" si="189"/>
        <v>C27</v>
      </c>
      <c r="S1974" s="18">
        <f t="shared" si="190"/>
        <v>29.065659639906084</v>
      </c>
      <c r="T1974" s="18">
        <f>S1974/Explications!$C$8</f>
        <v>0.9688553213302028</v>
      </c>
    </row>
    <row r="1975" spans="7:20">
      <c r="G1975" s="7" t="s">
        <v>43</v>
      </c>
      <c r="H1975" s="7" t="s">
        <v>73</v>
      </c>
      <c r="I1975" s="7">
        <v>46.603000000000002</v>
      </c>
      <c r="J1975" s="7">
        <v>-71.490600000000001</v>
      </c>
      <c r="K1975" s="7">
        <v>46.801200000000001</v>
      </c>
      <c r="L1975" s="7">
        <v>-71.224999999999994</v>
      </c>
      <c r="M1975" s="10" t="str">
        <f t="shared" si="185"/>
        <v>C27</v>
      </c>
      <c r="N1975" s="10" t="str">
        <f t="shared" si="186"/>
        <v>C57</v>
      </c>
      <c r="O1975" s="5">
        <f t="shared" si="187"/>
        <v>29.931957381631101</v>
      </c>
      <c r="P1975" s="22">
        <f>O1975/Explications!$C$8</f>
        <v>0.99773191272103667</v>
      </c>
      <c r="Q1975" s="7" t="str">
        <f t="shared" si="188"/>
        <v>C57</v>
      </c>
      <c r="R1975" s="7" t="str">
        <f t="shared" si="189"/>
        <v>C27</v>
      </c>
      <c r="S1975" s="18">
        <f t="shared" si="190"/>
        <v>29.931957381631101</v>
      </c>
      <c r="T1975" s="18">
        <f>S1975/Explications!$C$8</f>
        <v>0.99773191272103667</v>
      </c>
    </row>
    <row r="1976" spans="7:20">
      <c r="G1976" s="7" t="s">
        <v>43</v>
      </c>
      <c r="H1976" s="7" t="s">
        <v>74</v>
      </c>
      <c r="I1976" s="7">
        <v>46.603000000000002</v>
      </c>
      <c r="J1976" s="7">
        <v>-71.490600000000001</v>
      </c>
      <c r="K1976" s="7">
        <v>46.773200000000003</v>
      </c>
      <c r="L1976" s="7">
        <v>-71.275899999999993</v>
      </c>
      <c r="M1976" s="10" t="str">
        <f t="shared" si="185"/>
        <v>C27</v>
      </c>
      <c r="N1976" s="10" t="str">
        <f t="shared" si="186"/>
        <v>C58</v>
      </c>
      <c r="O1976" s="5">
        <f t="shared" si="187"/>
        <v>25.027175224887138</v>
      </c>
      <c r="P1976" s="22">
        <f>O1976/Explications!$C$8</f>
        <v>0.83423917416290461</v>
      </c>
      <c r="Q1976" s="7" t="str">
        <f t="shared" si="188"/>
        <v>C58</v>
      </c>
      <c r="R1976" s="7" t="str">
        <f t="shared" si="189"/>
        <v>C27</v>
      </c>
      <c r="S1976" s="18">
        <f t="shared" si="190"/>
        <v>25.027175224887138</v>
      </c>
      <c r="T1976" s="18">
        <f>S1976/Explications!$C$8</f>
        <v>0.83423917416290461</v>
      </c>
    </row>
    <row r="1977" spans="7:20">
      <c r="G1977" s="7" t="s">
        <v>43</v>
      </c>
      <c r="H1977" s="7" t="s">
        <v>75</v>
      </c>
      <c r="I1977" s="7">
        <v>46.603000000000002</v>
      </c>
      <c r="J1977" s="7">
        <v>-71.490600000000001</v>
      </c>
      <c r="K1977" s="7">
        <v>46.814399999999999</v>
      </c>
      <c r="L1977" s="7">
        <v>-71.225700000000003</v>
      </c>
      <c r="M1977" s="10" t="str">
        <f t="shared" si="185"/>
        <v>C27</v>
      </c>
      <c r="N1977" s="10" t="str">
        <f t="shared" si="186"/>
        <v>C59</v>
      </c>
      <c r="O1977" s="5">
        <f t="shared" si="187"/>
        <v>30.992144524340848</v>
      </c>
      <c r="P1977" s="22">
        <f>O1977/Explications!$C$8</f>
        <v>1.0330714841446949</v>
      </c>
      <c r="Q1977" s="7" t="str">
        <f t="shared" si="188"/>
        <v>C59</v>
      </c>
      <c r="R1977" s="7" t="str">
        <f t="shared" si="189"/>
        <v>C27</v>
      </c>
      <c r="S1977" s="18">
        <f t="shared" si="190"/>
        <v>30.992144524340848</v>
      </c>
      <c r="T1977" s="18">
        <f>S1977/Explications!$C$8</f>
        <v>1.0330714841446949</v>
      </c>
    </row>
    <row r="1978" spans="7:20">
      <c r="G1978" s="7" t="s">
        <v>43</v>
      </c>
      <c r="H1978" s="7" t="s">
        <v>76</v>
      </c>
      <c r="I1978" s="7">
        <v>46.603000000000002</v>
      </c>
      <c r="J1978" s="7">
        <v>-71.490600000000001</v>
      </c>
      <c r="K1978" s="7">
        <v>46.772500000000001</v>
      </c>
      <c r="L1978" s="7">
        <v>-71.276300000000006</v>
      </c>
      <c r="M1978" s="10" t="str">
        <f t="shared" si="185"/>
        <v>C27</v>
      </c>
      <c r="N1978" s="10" t="str">
        <f t="shared" si="186"/>
        <v>C60</v>
      </c>
      <c r="O1978" s="5">
        <f t="shared" si="187"/>
        <v>24.948436463658705</v>
      </c>
      <c r="P1978" s="22">
        <f>O1978/Explications!$C$8</f>
        <v>0.83161454878862351</v>
      </c>
      <c r="Q1978" s="7" t="str">
        <f t="shared" si="188"/>
        <v>C60</v>
      </c>
      <c r="R1978" s="7" t="str">
        <f t="shared" si="189"/>
        <v>C27</v>
      </c>
      <c r="S1978" s="18">
        <f t="shared" si="190"/>
        <v>24.948436463658705</v>
      </c>
      <c r="T1978" s="18">
        <f>S1978/Explications!$C$8</f>
        <v>0.83161454878862351</v>
      </c>
    </row>
    <row r="1979" spans="7:20">
      <c r="G1979" s="7" t="s">
        <v>43</v>
      </c>
      <c r="H1979" s="7" t="s">
        <v>77</v>
      </c>
      <c r="I1979" s="7">
        <v>46.603000000000002</v>
      </c>
      <c r="J1979" s="7">
        <v>-71.490600000000001</v>
      </c>
      <c r="K1979" s="7">
        <v>46.810899999999997</v>
      </c>
      <c r="L1979" s="7">
        <v>-71.215599999999995</v>
      </c>
      <c r="M1979" s="10" t="str">
        <f t="shared" si="185"/>
        <v>C27</v>
      </c>
      <c r="N1979" s="10" t="str">
        <f t="shared" si="186"/>
        <v>C61</v>
      </c>
      <c r="O1979" s="5">
        <f t="shared" si="187"/>
        <v>31.210540862006923</v>
      </c>
      <c r="P1979" s="22">
        <f>O1979/Explications!$C$8</f>
        <v>1.0403513620668974</v>
      </c>
      <c r="Q1979" s="7" t="str">
        <f t="shared" si="188"/>
        <v>C61</v>
      </c>
      <c r="R1979" s="7" t="str">
        <f t="shared" si="189"/>
        <v>C27</v>
      </c>
      <c r="S1979" s="18">
        <f t="shared" si="190"/>
        <v>31.210540862006923</v>
      </c>
      <c r="T1979" s="18">
        <f>S1979/Explications!$C$8</f>
        <v>1.0403513620668974</v>
      </c>
    </row>
    <row r="1980" spans="7:20">
      <c r="G1980" s="7" t="s">
        <v>43</v>
      </c>
      <c r="H1980" s="7" t="s">
        <v>78</v>
      </c>
      <c r="I1980" s="7">
        <v>46.603000000000002</v>
      </c>
      <c r="J1980" s="7">
        <v>-71.490600000000001</v>
      </c>
      <c r="K1980" s="7">
        <v>46.795200000000001</v>
      </c>
      <c r="L1980" s="7">
        <v>-71.245099999999994</v>
      </c>
      <c r="M1980" s="10" t="str">
        <f t="shared" si="185"/>
        <v>C27</v>
      </c>
      <c r="N1980" s="10" t="str">
        <f t="shared" si="186"/>
        <v>C62</v>
      </c>
      <c r="O1980" s="5">
        <f t="shared" si="187"/>
        <v>28.412330810215543</v>
      </c>
      <c r="P1980" s="22">
        <f>O1980/Explications!$C$8</f>
        <v>0.94707769367385142</v>
      </c>
      <c r="Q1980" s="7" t="str">
        <f t="shared" si="188"/>
        <v>C62</v>
      </c>
      <c r="R1980" s="7" t="str">
        <f t="shared" si="189"/>
        <v>C27</v>
      </c>
      <c r="S1980" s="18">
        <f t="shared" si="190"/>
        <v>28.412330810215543</v>
      </c>
      <c r="T1980" s="18">
        <f>S1980/Explications!$C$8</f>
        <v>0.94707769367385142</v>
      </c>
    </row>
    <row r="1981" spans="7:20">
      <c r="G1981" s="7" t="s">
        <v>43</v>
      </c>
      <c r="H1981" s="7" t="s">
        <v>79</v>
      </c>
      <c r="I1981" s="7">
        <v>46.603000000000002</v>
      </c>
      <c r="J1981" s="7">
        <v>-71.490600000000001</v>
      </c>
      <c r="K1981" s="7">
        <v>46.822000000000003</v>
      </c>
      <c r="L1981" s="7">
        <v>-71.345699999999994</v>
      </c>
      <c r="M1981" s="10" t="str">
        <f t="shared" si="185"/>
        <v>C27</v>
      </c>
      <c r="N1981" s="10" t="str">
        <f t="shared" si="186"/>
        <v>C63</v>
      </c>
      <c r="O1981" s="5">
        <f t="shared" si="187"/>
        <v>26.740421381717219</v>
      </c>
      <c r="P1981" s="22">
        <f>O1981/Explications!$C$8</f>
        <v>0.89134737939057396</v>
      </c>
      <c r="Q1981" s="7" t="str">
        <f t="shared" si="188"/>
        <v>C63</v>
      </c>
      <c r="R1981" s="7" t="str">
        <f t="shared" si="189"/>
        <v>C27</v>
      </c>
      <c r="S1981" s="18">
        <f t="shared" si="190"/>
        <v>26.740421381717219</v>
      </c>
      <c r="T1981" s="18">
        <f>S1981/Explications!$C$8</f>
        <v>0.89134737939057396</v>
      </c>
    </row>
    <row r="1982" spans="7:20">
      <c r="G1982" s="7" t="s">
        <v>43</v>
      </c>
      <c r="H1982" s="7" t="s">
        <v>80</v>
      </c>
      <c r="I1982" s="7">
        <v>46.603000000000002</v>
      </c>
      <c r="J1982" s="7">
        <v>-71.490600000000001</v>
      </c>
      <c r="K1982" s="7">
        <v>46.779400000000003</v>
      </c>
      <c r="L1982" s="7">
        <v>-71.350399999999993</v>
      </c>
      <c r="M1982" s="10" t="str">
        <f t="shared" si="185"/>
        <v>C27</v>
      </c>
      <c r="N1982" s="10" t="str">
        <f t="shared" si="186"/>
        <v>C64</v>
      </c>
      <c r="O1982" s="5">
        <f t="shared" si="187"/>
        <v>22.340246578198261</v>
      </c>
      <c r="P1982" s="22">
        <f>O1982/Explications!$C$8</f>
        <v>0.74467488593994202</v>
      </c>
      <c r="Q1982" s="7" t="str">
        <f t="shared" si="188"/>
        <v>C64</v>
      </c>
      <c r="R1982" s="7" t="str">
        <f t="shared" si="189"/>
        <v>C27</v>
      </c>
      <c r="S1982" s="18">
        <f t="shared" si="190"/>
        <v>22.340246578198261</v>
      </c>
      <c r="T1982" s="18">
        <f>S1982/Explications!$C$8</f>
        <v>0.74467488593994202</v>
      </c>
    </row>
    <row r="1983" spans="7:20">
      <c r="G1983" s="7" t="s">
        <v>43</v>
      </c>
      <c r="H1983" s="7" t="s">
        <v>81</v>
      </c>
      <c r="I1983" s="7">
        <v>46.603000000000002</v>
      </c>
      <c r="J1983" s="7">
        <v>-71.490600000000001</v>
      </c>
      <c r="K1983" s="7">
        <v>46.772300000000001</v>
      </c>
      <c r="L1983" s="7">
        <v>-71.279799999999994</v>
      </c>
      <c r="M1983" s="10" t="str">
        <f t="shared" si="185"/>
        <v>C27</v>
      </c>
      <c r="N1983" s="10" t="str">
        <f t="shared" si="186"/>
        <v>C65</v>
      </c>
      <c r="O1983" s="5">
        <f t="shared" si="187"/>
        <v>24.757446028689778</v>
      </c>
      <c r="P1983" s="22">
        <f>O1983/Explications!$C$8</f>
        <v>0.82524820095632589</v>
      </c>
      <c r="Q1983" s="7" t="str">
        <f t="shared" si="188"/>
        <v>C65</v>
      </c>
      <c r="R1983" s="7" t="str">
        <f t="shared" si="189"/>
        <v>C27</v>
      </c>
      <c r="S1983" s="18">
        <f t="shared" si="190"/>
        <v>24.757446028689778</v>
      </c>
      <c r="T1983" s="18">
        <f>S1983/Explications!$C$8</f>
        <v>0.82524820095632589</v>
      </c>
    </row>
    <row r="1984" spans="7:20">
      <c r="G1984" s="7" t="s">
        <v>43</v>
      </c>
      <c r="H1984" s="7" t="s">
        <v>82</v>
      </c>
      <c r="I1984" s="7">
        <v>46.603000000000002</v>
      </c>
      <c r="J1984" s="7">
        <v>-71.490600000000001</v>
      </c>
      <c r="K1984" s="7">
        <v>46.814900000000002</v>
      </c>
      <c r="L1984" s="7">
        <v>-71.225200000000001</v>
      </c>
      <c r="M1984" s="10" t="str">
        <f t="shared" si="185"/>
        <v>C27</v>
      </c>
      <c r="N1984" s="10" t="str">
        <f t="shared" si="186"/>
        <v>C66</v>
      </c>
      <c r="O1984" s="5">
        <f t="shared" si="187"/>
        <v>31.059098538940063</v>
      </c>
      <c r="P1984" s="22">
        <f>O1984/Explications!$C$8</f>
        <v>1.0353032846313355</v>
      </c>
      <c r="Q1984" s="7" t="str">
        <f t="shared" si="188"/>
        <v>C66</v>
      </c>
      <c r="R1984" s="7" t="str">
        <f t="shared" si="189"/>
        <v>C27</v>
      </c>
      <c r="S1984" s="18">
        <f t="shared" si="190"/>
        <v>31.059098538940063</v>
      </c>
      <c r="T1984" s="18">
        <f>S1984/Explications!$C$8</f>
        <v>1.0353032846313355</v>
      </c>
    </row>
    <row r="1985" spans="7:20">
      <c r="G1985" s="7" t="s">
        <v>43</v>
      </c>
      <c r="H1985" s="7" t="s">
        <v>83</v>
      </c>
      <c r="I1985" s="7">
        <v>46.603000000000002</v>
      </c>
      <c r="J1985" s="7">
        <v>-71.490600000000001</v>
      </c>
      <c r="K1985" s="7">
        <v>46.814700000000002</v>
      </c>
      <c r="L1985" s="7">
        <v>-71.207300000000004</v>
      </c>
      <c r="M1985" s="10" t="str">
        <f t="shared" si="185"/>
        <v>C27</v>
      </c>
      <c r="N1985" s="10" t="str">
        <f t="shared" si="186"/>
        <v>C67</v>
      </c>
      <c r="O1985" s="5">
        <f t="shared" si="187"/>
        <v>31.948723109418331</v>
      </c>
      <c r="P1985" s="22">
        <f>O1985/Explications!$C$8</f>
        <v>1.064957436980611</v>
      </c>
      <c r="Q1985" s="7" t="str">
        <f t="shared" si="188"/>
        <v>C67</v>
      </c>
      <c r="R1985" s="7" t="str">
        <f t="shared" si="189"/>
        <v>C27</v>
      </c>
      <c r="S1985" s="18">
        <f t="shared" si="190"/>
        <v>31.948723109418331</v>
      </c>
      <c r="T1985" s="18">
        <f>S1985/Explications!$C$8</f>
        <v>1.064957436980611</v>
      </c>
    </row>
    <row r="1986" spans="7:20">
      <c r="G1986" s="7" t="s">
        <v>43</v>
      </c>
      <c r="H1986" s="7" t="s">
        <v>84</v>
      </c>
      <c r="I1986" s="7">
        <v>46.603000000000002</v>
      </c>
      <c r="J1986" s="7">
        <v>-71.490600000000001</v>
      </c>
      <c r="K1986" s="7">
        <v>46.815600000000003</v>
      </c>
      <c r="L1986" s="7">
        <v>-71.2029</v>
      </c>
      <c r="M1986" s="10" t="str">
        <f t="shared" si="185"/>
        <v>C27</v>
      </c>
      <c r="N1986" s="10" t="str">
        <f t="shared" si="186"/>
        <v>C68</v>
      </c>
      <c r="O1986" s="5">
        <f t="shared" si="187"/>
        <v>32.249657803044684</v>
      </c>
      <c r="P1986" s="22">
        <f>O1986/Explications!$C$8</f>
        <v>1.0749885934348229</v>
      </c>
      <c r="Q1986" s="7" t="str">
        <f t="shared" si="188"/>
        <v>C68</v>
      </c>
      <c r="R1986" s="7" t="str">
        <f t="shared" si="189"/>
        <v>C27</v>
      </c>
      <c r="S1986" s="18">
        <f t="shared" si="190"/>
        <v>32.249657803044684</v>
      </c>
      <c r="T1986" s="18">
        <f>S1986/Explications!$C$8</f>
        <v>1.0749885934348229</v>
      </c>
    </row>
    <row r="1987" spans="7:20">
      <c r="G1987" s="7" t="s">
        <v>43</v>
      </c>
      <c r="H1987" s="7" t="s">
        <v>85</v>
      </c>
      <c r="I1987" s="7">
        <v>46.603000000000002</v>
      </c>
      <c r="J1987" s="7">
        <v>-71.490600000000001</v>
      </c>
      <c r="K1987" s="7">
        <v>46.821899999999999</v>
      </c>
      <c r="L1987" s="7">
        <v>-71.249899999999997</v>
      </c>
      <c r="M1987" s="10" t="str">
        <f t="shared" si="185"/>
        <v>C27</v>
      </c>
      <c r="N1987" s="10" t="str">
        <f t="shared" si="186"/>
        <v>C69</v>
      </c>
      <c r="O1987" s="5">
        <f t="shared" si="187"/>
        <v>30.483378858810603</v>
      </c>
      <c r="P1987" s="22">
        <f>O1987/Explications!$C$8</f>
        <v>1.0161126286270201</v>
      </c>
      <c r="Q1987" s="7" t="str">
        <f t="shared" si="188"/>
        <v>C69</v>
      </c>
      <c r="R1987" s="7" t="str">
        <f t="shared" si="189"/>
        <v>C27</v>
      </c>
      <c r="S1987" s="18">
        <f t="shared" si="190"/>
        <v>30.483378858810603</v>
      </c>
      <c r="T1987" s="18">
        <f>S1987/Explications!$C$8</f>
        <v>1.0161126286270201</v>
      </c>
    </row>
    <row r="1988" spans="7:20">
      <c r="G1988" s="7" t="s">
        <v>43</v>
      </c>
      <c r="H1988" s="7" t="s">
        <v>86</v>
      </c>
      <c r="I1988" s="7">
        <v>46.603000000000002</v>
      </c>
      <c r="J1988" s="7">
        <v>-71.490600000000001</v>
      </c>
      <c r="K1988" s="7">
        <v>46.8872</v>
      </c>
      <c r="L1988" s="7">
        <v>-71.27</v>
      </c>
      <c r="M1988" s="10" t="str">
        <f t="shared" ref="M1988:M2051" si="191">G1988</f>
        <v>C27</v>
      </c>
      <c r="N1988" s="10" t="str">
        <f t="shared" ref="N1988:N2051" si="192">H1988</f>
        <v>C70</v>
      </c>
      <c r="O1988" s="5">
        <f t="shared" ref="O1988:O2051" si="193">ACOS(SIN(RADIANS(I1988))*SIN(RADIANS(K1988))+COS(RADIANS(I1988))*COS(RADIANS(K1988))*COS(RADIANS(J1988-L1988)))*6371</f>
        <v>35.793767690549892</v>
      </c>
      <c r="P1988" s="22">
        <f>O1988/Explications!$C$8</f>
        <v>1.1931255896849964</v>
      </c>
      <c r="Q1988" s="7" t="str">
        <f t="shared" ref="Q1988:Q2051" si="194">N1988</f>
        <v>C70</v>
      </c>
      <c r="R1988" s="7" t="str">
        <f t="shared" ref="R1988:R2051" si="195">M1988</f>
        <v>C27</v>
      </c>
      <c r="S1988" s="18">
        <f t="shared" ref="S1988:S2051" si="196">O1988</f>
        <v>35.793767690549892</v>
      </c>
      <c r="T1988" s="18">
        <f>S1988/Explications!$C$8</f>
        <v>1.1931255896849964</v>
      </c>
    </row>
    <row r="1989" spans="7:20">
      <c r="G1989" s="7" t="s">
        <v>43</v>
      </c>
      <c r="H1989" s="7" t="s">
        <v>87</v>
      </c>
      <c r="I1989" s="7">
        <v>46.603000000000002</v>
      </c>
      <c r="J1989" s="7">
        <v>-71.490600000000001</v>
      </c>
      <c r="K1989" s="7">
        <v>46.816299999999998</v>
      </c>
      <c r="L1989" s="7">
        <v>-71.210300000000004</v>
      </c>
      <c r="M1989" s="10" t="str">
        <f t="shared" si="191"/>
        <v>C27</v>
      </c>
      <c r="N1989" s="10" t="str">
        <f t="shared" si="192"/>
        <v>C71</v>
      </c>
      <c r="O1989" s="5">
        <f t="shared" si="193"/>
        <v>31.926250754760037</v>
      </c>
      <c r="P1989" s="22">
        <f>O1989/Explications!$C$8</f>
        <v>1.0642083584920012</v>
      </c>
      <c r="Q1989" s="7" t="str">
        <f t="shared" si="194"/>
        <v>C71</v>
      </c>
      <c r="R1989" s="7" t="str">
        <f t="shared" si="195"/>
        <v>C27</v>
      </c>
      <c r="S1989" s="18">
        <f t="shared" si="196"/>
        <v>31.926250754760037</v>
      </c>
      <c r="T1989" s="18">
        <f>S1989/Explications!$C$8</f>
        <v>1.0642083584920012</v>
      </c>
    </row>
    <row r="1990" spans="7:20">
      <c r="G1990" s="7" t="s">
        <v>43</v>
      </c>
      <c r="H1990" s="7" t="s">
        <v>88</v>
      </c>
      <c r="I1990" s="7">
        <v>46.603000000000002</v>
      </c>
      <c r="J1990" s="7">
        <v>-71.490600000000001</v>
      </c>
      <c r="K1990" s="7">
        <v>46.807000000000002</v>
      </c>
      <c r="L1990" s="7">
        <v>-71.3566</v>
      </c>
      <c r="M1990" s="10" t="str">
        <f t="shared" si="191"/>
        <v>C27</v>
      </c>
      <c r="N1990" s="10" t="str">
        <f t="shared" si="192"/>
        <v>C72</v>
      </c>
      <c r="O1990" s="5">
        <f t="shared" si="193"/>
        <v>24.878840973195018</v>
      </c>
      <c r="P1990" s="22">
        <f>O1990/Explications!$C$8</f>
        <v>0.82929469910650055</v>
      </c>
      <c r="Q1990" s="7" t="str">
        <f t="shared" si="194"/>
        <v>C72</v>
      </c>
      <c r="R1990" s="7" t="str">
        <f t="shared" si="195"/>
        <v>C27</v>
      </c>
      <c r="S1990" s="18">
        <f t="shared" si="196"/>
        <v>24.878840973195018</v>
      </c>
      <c r="T1990" s="18">
        <f>S1990/Explications!$C$8</f>
        <v>0.82929469910650055</v>
      </c>
    </row>
    <row r="1991" spans="7:20">
      <c r="G1991" s="7" t="s">
        <v>43</v>
      </c>
      <c r="H1991" s="7" t="s">
        <v>89</v>
      </c>
      <c r="I1991" s="7">
        <v>46.603000000000002</v>
      </c>
      <c r="J1991" s="7">
        <v>-71.490600000000001</v>
      </c>
      <c r="K1991" s="7">
        <v>46.822899999999997</v>
      </c>
      <c r="L1991" s="7">
        <v>-71.341899999999995</v>
      </c>
      <c r="M1991" s="10" t="str">
        <f t="shared" si="191"/>
        <v>C27</v>
      </c>
      <c r="N1991" s="10" t="str">
        <f t="shared" si="192"/>
        <v>C73</v>
      </c>
      <c r="O1991" s="5">
        <f t="shared" si="193"/>
        <v>26.952128379640371</v>
      </c>
      <c r="P1991" s="22">
        <f>O1991/Explications!$C$8</f>
        <v>0.8984042793213457</v>
      </c>
      <c r="Q1991" s="7" t="str">
        <f t="shared" si="194"/>
        <v>C73</v>
      </c>
      <c r="R1991" s="7" t="str">
        <f t="shared" si="195"/>
        <v>C27</v>
      </c>
      <c r="S1991" s="18">
        <f t="shared" si="196"/>
        <v>26.952128379640371</v>
      </c>
      <c r="T1991" s="18">
        <f>S1991/Explications!$C$8</f>
        <v>0.8984042793213457</v>
      </c>
    </row>
    <row r="1992" spans="7:20">
      <c r="G1992" s="7" t="s">
        <v>43</v>
      </c>
      <c r="H1992" s="7" t="s">
        <v>90</v>
      </c>
      <c r="I1992" s="7">
        <v>46.603000000000002</v>
      </c>
      <c r="J1992" s="7">
        <v>-71.490600000000001</v>
      </c>
      <c r="K1992" s="7">
        <v>46.730699999999999</v>
      </c>
      <c r="L1992" s="7">
        <v>-71.261099999999999</v>
      </c>
      <c r="M1992" s="10" t="str">
        <f t="shared" si="191"/>
        <v>C27</v>
      </c>
      <c r="N1992" s="10" t="str">
        <f t="shared" si="192"/>
        <v>C74</v>
      </c>
      <c r="O1992" s="5">
        <f t="shared" si="193"/>
        <v>22.545695604799693</v>
      </c>
      <c r="P1992" s="22">
        <f>O1992/Explications!$C$8</f>
        <v>0.75152318682665642</v>
      </c>
      <c r="Q1992" s="7" t="str">
        <f t="shared" si="194"/>
        <v>C74</v>
      </c>
      <c r="R1992" s="7" t="str">
        <f t="shared" si="195"/>
        <v>C27</v>
      </c>
      <c r="S1992" s="18">
        <f t="shared" si="196"/>
        <v>22.545695604799693</v>
      </c>
      <c r="T1992" s="18">
        <f>S1992/Explications!$C$8</f>
        <v>0.75152318682665642</v>
      </c>
    </row>
    <row r="1993" spans="7:20">
      <c r="G1993" s="7" t="s">
        <v>43</v>
      </c>
      <c r="H1993" s="7" t="s">
        <v>91</v>
      </c>
      <c r="I1993" s="7">
        <v>46.603000000000002</v>
      </c>
      <c r="J1993" s="7">
        <v>-71.490600000000001</v>
      </c>
      <c r="K1993" s="7">
        <v>46.840600000000002</v>
      </c>
      <c r="L1993" s="7">
        <v>-71.289100000000005</v>
      </c>
      <c r="M1993" s="10" t="str">
        <f t="shared" si="191"/>
        <v>C27</v>
      </c>
      <c r="N1993" s="10" t="str">
        <f t="shared" si="192"/>
        <v>C75</v>
      </c>
      <c r="O1993" s="5">
        <f t="shared" si="193"/>
        <v>30.560474220706286</v>
      </c>
      <c r="P1993" s="22">
        <f>O1993/Explications!$C$8</f>
        <v>1.0186824740235429</v>
      </c>
      <c r="Q1993" s="7" t="str">
        <f t="shared" si="194"/>
        <v>C75</v>
      </c>
      <c r="R1993" s="7" t="str">
        <f t="shared" si="195"/>
        <v>C27</v>
      </c>
      <c r="S1993" s="18">
        <f t="shared" si="196"/>
        <v>30.560474220706286</v>
      </c>
      <c r="T1993" s="18">
        <f>S1993/Explications!$C$8</f>
        <v>1.0186824740235429</v>
      </c>
    </row>
    <row r="1994" spans="7:20">
      <c r="G1994" s="7" t="s">
        <v>43</v>
      </c>
      <c r="H1994" s="7" t="s">
        <v>92</v>
      </c>
      <c r="I1994" s="7">
        <v>46.603000000000002</v>
      </c>
      <c r="J1994" s="7">
        <v>-71.490600000000001</v>
      </c>
      <c r="K1994" s="7">
        <v>46.840600000000002</v>
      </c>
      <c r="L1994" s="7">
        <v>-71.281599999999997</v>
      </c>
      <c r="M1994" s="10" t="str">
        <f t="shared" si="191"/>
        <v>C27</v>
      </c>
      <c r="N1994" s="10" t="str">
        <f t="shared" si="192"/>
        <v>C76</v>
      </c>
      <c r="O1994" s="5">
        <f t="shared" si="193"/>
        <v>30.851782925711419</v>
      </c>
      <c r="P1994" s="22">
        <f>O1994/Explications!$C$8</f>
        <v>1.0283927641903807</v>
      </c>
      <c r="Q1994" s="7" t="str">
        <f t="shared" si="194"/>
        <v>C76</v>
      </c>
      <c r="R1994" s="7" t="str">
        <f t="shared" si="195"/>
        <v>C27</v>
      </c>
      <c r="S1994" s="18">
        <f t="shared" si="196"/>
        <v>30.851782925711419</v>
      </c>
      <c r="T1994" s="18">
        <f>S1994/Explications!$C$8</f>
        <v>1.0283927641903807</v>
      </c>
    </row>
    <row r="1995" spans="7:20">
      <c r="G1995" s="7" t="s">
        <v>43</v>
      </c>
      <c r="H1995" s="7" t="s">
        <v>93</v>
      </c>
      <c r="I1995" s="7">
        <v>46.603000000000002</v>
      </c>
      <c r="J1995" s="7">
        <v>-71.490600000000001</v>
      </c>
      <c r="K1995" s="7">
        <v>46.839399999999998</v>
      </c>
      <c r="L1995" s="7">
        <v>-71.282600000000002</v>
      </c>
      <c r="M1995" s="10" t="str">
        <f t="shared" si="191"/>
        <v>C27</v>
      </c>
      <c r="N1995" s="10" t="str">
        <f t="shared" si="192"/>
        <v>C77</v>
      </c>
      <c r="O1995" s="5">
        <f t="shared" si="193"/>
        <v>30.69824430613594</v>
      </c>
      <c r="P1995" s="22">
        <f>O1995/Explications!$C$8</f>
        <v>1.0232748102045313</v>
      </c>
      <c r="Q1995" s="7" t="str">
        <f t="shared" si="194"/>
        <v>C77</v>
      </c>
      <c r="R1995" s="7" t="str">
        <f t="shared" si="195"/>
        <v>C27</v>
      </c>
      <c r="S1995" s="18">
        <f t="shared" si="196"/>
        <v>30.69824430613594</v>
      </c>
      <c r="T1995" s="18">
        <f>S1995/Explications!$C$8</f>
        <v>1.0232748102045313</v>
      </c>
    </row>
    <row r="1996" spans="7:20">
      <c r="G1996" s="7" t="s">
        <v>43</v>
      </c>
      <c r="H1996" s="7" t="s">
        <v>94</v>
      </c>
      <c r="I1996" s="7">
        <v>46.603000000000002</v>
      </c>
      <c r="J1996" s="7">
        <v>-71.490600000000001</v>
      </c>
      <c r="K1996" s="7">
        <v>46.788499999999999</v>
      </c>
      <c r="L1996" s="7">
        <v>-71.282399999999996</v>
      </c>
      <c r="M1996" s="10" t="str">
        <f t="shared" si="191"/>
        <v>C27</v>
      </c>
      <c r="N1996" s="10" t="str">
        <f t="shared" si="192"/>
        <v>C78</v>
      </c>
      <c r="O1996" s="5">
        <f t="shared" si="193"/>
        <v>26.030446393520435</v>
      </c>
      <c r="P1996" s="22">
        <f>O1996/Explications!$C$8</f>
        <v>0.86768154645068118</v>
      </c>
      <c r="Q1996" s="7" t="str">
        <f t="shared" si="194"/>
        <v>C78</v>
      </c>
      <c r="R1996" s="7" t="str">
        <f t="shared" si="195"/>
        <v>C27</v>
      </c>
      <c r="S1996" s="18">
        <f t="shared" si="196"/>
        <v>26.030446393520435</v>
      </c>
      <c r="T1996" s="18">
        <f>S1996/Explications!$C$8</f>
        <v>0.86768154645068118</v>
      </c>
    </row>
    <row r="1997" spans="7:20">
      <c r="G1997" s="7" t="s">
        <v>43</v>
      </c>
      <c r="H1997" s="7" t="s">
        <v>95</v>
      </c>
      <c r="I1997" s="7">
        <v>46.603000000000002</v>
      </c>
      <c r="J1997" s="7">
        <v>-71.490600000000001</v>
      </c>
      <c r="K1997" s="7">
        <v>46.840699999999998</v>
      </c>
      <c r="L1997" s="7">
        <v>-71.325400000000002</v>
      </c>
      <c r="M1997" s="10" t="str">
        <f t="shared" si="191"/>
        <v>C27</v>
      </c>
      <c r="N1997" s="10" t="str">
        <f t="shared" si="192"/>
        <v>C79</v>
      </c>
      <c r="O1997" s="5">
        <f t="shared" si="193"/>
        <v>29.277662054856798</v>
      </c>
      <c r="P1997" s="22">
        <f>O1997/Explications!$C$8</f>
        <v>0.97592206849522656</v>
      </c>
      <c r="Q1997" s="7" t="str">
        <f t="shared" si="194"/>
        <v>C79</v>
      </c>
      <c r="R1997" s="7" t="str">
        <f t="shared" si="195"/>
        <v>C27</v>
      </c>
      <c r="S1997" s="18">
        <f t="shared" si="196"/>
        <v>29.277662054856798</v>
      </c>
      <c r="T1997" s="18">
        <f>S1997/Explications!$C$8</f>
        <v>0.97592206849522656</v>
      </c>
    </row>
    <row r="1998" spans="7:20">
      <c r="G1998" s="7" t="s">
        <v>43</v>
      </c>
      <c r="H1998" s="7" t="s">
        <v>96</v>
      </c>
      <c r="I1998" s="7">
        <v>46.603000000000002</v>
      </c>
      <c r="J1998" s="7">
        <v>-71.490600000000001</v>
      </c>
      <c r="K1998" s="7">
        <v>46.798400000000001</v>
      </c>
      <c r="L1998" s="7">
        <v>-71.183199999999999</v>
      </c>
      <c r="M1998" s="10" t="str">
        <f t="shared" si="191"/>
        <v>C27</v>
      </c>
      <c r="N1998" s="10" t="str">
        <f t="shared" si="192"/>
        <v>C80</v>
      </c>
      <c r="O1998" s="5">
        <f t="shared" si="193"/>
        <v>31.96251150832579</v>
      </c>
      <c r="P1998" s="22">
        <f>O1998/Explications!$C$8</f>
        <v>1.0654170502775264</v>
      </c>
      <c r="Q1998" s="7" t="str">
        <f t="shared" si="194"/>
        <v>C80</v>
      </c>
      <c r="R1998" s="7" t="str">
        <f t="shared" si="195"/>
        <v>C27</v>
      </c>
      <c r="S1998" s="18">
        <f t="shared" si="196"/>
        <v>31.96251150832579</v>
      </c>
      <c r="T1998" s="18">
        <f>S1998/Explications!$C$8</f>
        <v>1.0654170502775264</v>
      </c>
    </row>
    <row r="1999" spans="7:20">
      <c r="G1999" s="7" t="s">
        <v>43</v>
      </c>
      <c r="H1999" s="7" t="s">
        <v>97</v>
      </c>
      <c r="I1999" s="7">
        <v>46.603000000000002</v>
      </c>
      <c r="J1999" s="7">
        <v>-71.490600000000001</v>
      </c>
      <c r="K1999" s="7">
        <v>46.724800000000002</v>
      </c>
      <c r="L1999" s="7">
        <v>-71.2988</v>
      </c>
      <c r="M1999" s="10" t="str">
        <f t="shared" si="191"/>
        <v>C27</v>
      </c>
      <c r="N1999" s="10" t="str">
        <f t="shared" si="192"/>
        <v>C81</v>
      </c>
      <c r="O1999" s="5">
        <f t="shared" si="193"/>
        <v>19.941160825966797</v>
      </c>
      <c r="P1999" s="22">
        <f>O1999/Explications!$C$8</f>
        <v>0.66470536086555987</v>
      </c>
      <c r="Q1999" s="7" t="str">
        <f t="shared" si="194"/>
        <v>C81</v>
      </c>
      <c r="R1999" s="7" t="str">
        <f t="shared" si="195"/>
        <v>C27</v>
      </c>
      <c r="S1999" s="18">
        <f t="shared" si="196"/>
        <v>19.941160825966797</v>
      </c>
      <c r="T1999" s="18">
        <f>S1999/Explications!$C$8</f>
        <v>0.66470536086555987</v>
      </c>
    </row>
    <row r="2000" spans="7:20">
      <c r="G2000" s="7" t="s">
        <v>43</v>
      </c>
      <c r="H2000" s="7" t="s">
        <v>98</v>
      </c>
      <c r="I2000" s="7">
        <v>46.603000000000002</v>
      </c>
      <c r="J2000" s="7">
        <v>-71.490600000000001</v>
      </c>
      <c r="K2000" s="7">
        <v>46.795499999999997</v>
      </c>
      <c r="L2000" s="7">
        <v>-71.242900000000006</v>
      </c>
      <c r="M2000" s="10" t="str">
        <f t="shared" si="191"/>
        <v>C27</v>
      </c>
      <c r="N2000" s="10" t="str">
        <f t="shared" si="192"/>
        <v>C82</v>
      </c>
      <c r="O2000" s="5">
        <f t="shared" si="193"/>
        <v>28.548130591163659</v>
      </c>
      <c r="P2000" s="22">
        <f>O2000/Explications!$C$8</f>
        <v>0.95160435303878865</v>
      </c>
      <c r="Q2000" s="7" t="str">
        <f t="shared" si="194"/>
        <v>C82</v>
      </c>
      <c r="R2000" s="7" t="str">
        <f t="shared" si="195"/>
        <v>C27</v>
      </c>
      <c r="S2000" s="18">
        <f t="shared" si="196"/>
        <v>28.548130591163659</v>
      </c>
      <c r="T2000" s="18">
        <f>S2000/Explications!$C$8</f>
        <v>0.95160435303878865</v>
      </c>
    </row>
    <row r="2001" spans="7:20">
      <c r="G2001" s="7" t="s">
        <v>43</v>
      </c>
      <c r="H2001" s="7" t="s">
        <v>99</v>
      </c>
      <c r="I2001" s="7">
        <v>46.603000000000002</v>
      </c>
      <c r="J2001" s="7">
        <v>-71.490600000000001</v>
      </c>
      <c r="K2001" s="7">
        <v>46.8157</v>
      </c>
      <c r="L2001" s="7">
        <v>-71.201899999999995</v>
      </c>
      <c r="M2001" s="10" t="str">
        <f t="shared" si="191"/>
        <v>C27</v>
      </c>
      <c r="N2001" s="10" t="str">
        <f t="shared" si="192"/>
        <v>C83</v>
      </c>
      <c r="O2001" s="5">
        <f t="shared" si="193"/>
        <v>32.309693067692564</v>
      </c>
      <c r="P2001" s="22">
        <f>O2001/Explications!$C$8</f>
        <v>1.0769897689230854</v>
      </c>
      <c r="Q2001" s="7" t="str">
        <f t="shared" si="194"/>
        <v>C83</v>
      </c>
      <c r="R2001" s="7" t="str">
        <f t="shared" si="195"/>
        <v>C27</v>
      </c>
      <c r="S2001" s="18">
        <f t="shared" si="196"/>
        <v>32.309693067692564</v>
      </c>
      <c r="T2001" s="18">
        <f>S2001/Explications!$C$8</f>
        <v>1.0769897689230854</v>
      </c>
    </row>
    <row r="2002" spans="7:20">
      <c r="G2002" s="7" t="s">
        <v>43</v>
      </c>
      <c r="H2002" s="7" t="s">
        <v>100</v>
      </c>
      <c r="I2002" s="7">
        <v>46.603000000000002</v>
      </c>
      <c r="J2002" s="7">
        <v>-71.490600000000001</v>
      </c>
      <c r="K2002" s="7">
        <v>46.837600000000002</v>
      </c>
      <c r="L2002" s="7">
        <v>-71.196299999999994</v>
      </c>
      <c r="M2002" s="10" t="str">
        <f t="shared" si="191"/>
        <v>C27</v>
      </c>
      <c r="N2002" s="10" t="str">
        <f t="shared" si="192"/>
        <v>C84</v>
      </c>
      <c r="O2002" s="5">
        <f t="shared" si="193"/>
        <v>34.406545700898455</v>
      </c>
      <c r="P2002" s="22">
        <f>O2002/Explications!$C$8</f>
        <v>1.1468848566966152</v>
      </c>
      <c r="Q2002" s="7" t="str">
        <f t="shared" si="194"/>
        <v>C84</v>
      </c>
      <c r="R2002" s="7" t="str">
        <f t="shared" si="195"/>
        <v>C27</v>
      </c>
      <c r="S2002" s="18">
        <f t="shared" si="196"/>
        <v>34.406545700898455</v>
      </c>
      <c r="T2002" s="18">
        <f>S2002/Explications!$C$8</f>
        <v>1.1468848566966152</v>
      </c>
    </row>
    <row r="2003" spans="7:20">
      <c r="G2003" s="7" t="s">
        <v>43</v>
      </c>
      <c r="H2003" s="7" t="s">
        <v>101</v>
      </c>
      <c r="I2003" s="7">
        <v>46.603000000000002</v>
      </c>
      <c r="J2003" s="7">
        <v>-71.490600000000001</v>
      </c>
      <c r="K2003" s="7">
        <v>46.7988</v>
      </c>
      <c r="L2003" s="7">
        <v>-71.318200000000004</v>
      </c>
      <c r="M2003" s="10" t="str">
        <f t="shared" si="191"/>
        <v>C27</v>
      </c>
      <c r="N2003" s="10" t="str">
        <f t="shared" si="192"/>
        <v>C85</v>
      </c>
      <c r="O2003" s="5">
        <f t="shared" si="193"/>
        <v>25.433428649630034</v>
      </c>
      <c r="P2003" s="22">
        <f>O2003/Explications!$C$8</f>
        <v>0.84778095498766781</v>
      </c>
      <c r="Q2003" s="7" t="str">
        <f t="shared" si="194"/>
        <v>C85</v>
      </c>
      <c r="R2003" s="7" t="str">
        <f t="shared" si="195"/>
        <v>C27</v>
      </c>
      <c r="S2003" s="18">
        <f t="shared" si="196"/>
        <v>25.433428649630034</v>
      </c>
      <c r="T2003" s="18">
        <f>S2003/Explications!$C$8</f>
        <v>0.84778095498766781</v>
      </c>
    </row>
    <row r="2004" spans="7:20">
      <c r="G2004" s="7" t="s">
        <v>44</v>
      </c>
      <c r="H2004" s="7" t="s">
        <v>45</v>
      </c>
      <c r="I2004" s="7">
        <v>47.000500000000002</v>
      </c>
      <c r="J2004" s="7">
        <v>-71.388400000000004</v>
      </c>
      <c r="K2004" s="7">
        <v>46.839100000000002</v>
      </c>
      <c r="L2004" s="7">
        <v>-71.245699999999999</v>
      </c>
      <c r="M2004" s="10" t="str">
        <f t="shared" si="191"/>
        <v>C28</v>
      </c>
      <c r="N2004" s="10" t="str">
        <f t="shared" si="192"/>
        <v>C29</v>
      </c>
      <c r="O2004" s="5">
        <f t="shared" si="193"/>
        <v>20.965412214568492</v>
      </c>
      <c r="P2004" s="22">
        <f>O2004/Explications!$C$8</f>
        <v>0.69884707381894973</v>
      </c>
      <c r="Q2004" s="7" t="str">
        <f t="shared" si="194"/>
        <v>C29</v>
      </c>
      <c r="R2004" s="7" t="str">
        <f t="shared" si="195"/>
        <v>C28</v>
      </c>
      <c r="S2004" s="18">
        <f t="shared" si="196"/>
        <v>20.965412214568492</v>
      </c>
      <c r="T2004" s="18">
        <f>S2004/Explications!$C$8</f>
        <v>0.69884707381894973</v>
      </c>
    </row>
    <row r="2005" spans="7:20">
      <c r="G2005" s="7" t="s">
        <v>44</v>
      </c>
      <c r="H2005" s="7" t="s">
        <v>46</v>
      </c>
      <c r="I2005" s="7">
        <v>47.000500000000002</v>
      </c>
      <c r="J2005" s="7">
        <v>-71.388400000000004</v>
      </c>
      <c r="K2005" s="7">
        <v>46.865699999999997</v>
      </c>
      <c r="L2005" s="7">
        <v>-71.27</v>
      </c>
      <c r="M2005" s="10" t="str">
        <f t="shared" si="191"/>
        <v>C28</v>
      </c>
      <c r="N2005" s="10" t="str">
        <f t="shared" si="192"/>
        <v>C30</v>
      </c>
      <c r="O2005" s="5">
        <f t="shared" si="193"/>
        <v>17.47837558334508</v>
      </c>
      <c r="P2005" s="22">
        <f>O2005/Explications!$C$8</f>
        <v>0.58261251944483605</v>
      </c>
      <c r="Q2005" s="7" t="str">
        <f t="shared" si="194"/>
        <v>C30</v>
      </c>
      <c r="R2005" s="7" t="str">
        <f t="shared" si="195"/>
        <v>C28</v>
      </c>
      <c r="S2005" s="18">
        <f t="shared" si="196"/>
        <v>17.47837558334508</v>
      </c>
      <c r="T2005" s="18">
        <f>S2005/Explications!$C$8</f>
        <v>0.58261251944483605</v>
      </c>
    </row>
    <row r="2006" spans="7:20">
      <c r="G2006" s="7" t="s">
        <v>44</v>
      </c>
      <c r="H2006" s="7" t="s">
        <v>47</v>
      </c>
      <c r="I2006" s="7">
        <v>47.000500000000002</v>
      </c>
      <c r="J2006" s="7">
        <v>-71.388400000000004</v>
      </c>
      <c r="K2006" s="7">
        <v>46.805500000000002</v>
      </c>
      <c r="L2006" s="7">
        <v>-71.217299999999994</v>
      </c>
      <c r="M2006" s="10" t="str">
        <f t="shared" si="191"/>
        <v>C28</v>
      </c>
      <c r="N2006" s="10" t="str">
        <f t="shared" si="192"/>
        <v>C31</v>
      </c>
      <c r="O2006" s="5">
        <f t="shared" si="193"/>
        <v>25.280875267357999</v>
      </c>
      <c r="P2006" s="22">
        <f>O2006/Explications!$C$8</f>
        <v>0.84269584224526661</v>
      </c>
      <c r="Q2006" s="7" t="str">
        <f t="shared" si="194"/>
        <v>C31</v>
      </c>
      <c r="R2006" s="7" t="str">
        <f t="shared" si="195"/>
        <v>C28</v>
      </c>
      <c r="S2006" s="18">
        <f t="shared" si="196"/>
        <v>25.280875267357999</v>
      </c>
      <c r="T2006" s="18">
        <f>S2006/Explications!$C$8</f>
        <v>0.84269584224526661</v>
      </c>
    </row>
    <row r="2007" spans="7:20">
      <c r="G2007" s="7" t="s">
        <v>44</v>
      </c>
      <c r="H2007" s="7" t="s">
        <v>48</v>
      </c>
      <c r="I2007" s="7">
        <v>47.000500000000002</v>
      </c>
      <c r="J2007" s="7">
        <v>-71.388400000000004</v>
      </c>
      <c r="K2007" s="7">
        <v>46.792299999999997</v>
      </c>
      <c r="L2007" s="7">
        <v>-71.172899999999998</v>
      </c>
      <c r="M2007" s="10" t="str">
        <f t="shared" si="191"/>
        <v>C28</v>
      </c>
      <c r="N2007" s="10" t="str">
        <f t="shared" si="192"/>
        <v>C32</v>
      </c>
      <c r="O2007" s="5">
        <f t="shared" si="193"/>
        <v>28.356073100908496</v>
      </c>
      <c r="P2007" s="22">
        <f>O2007/Explications!$C$8</f>
        <v>0.94520243669694992</v>
      </c>
      <c r="Q2007" s="7" t="str">
        <f t="shared" si="194"/>
        <v>C32</v>
      </c>
      <c r="R2007" s="7" t="str">
        <f t="shared" si="195"/>
        <v>C28</v>
      </c>
      <c r="S2007" s="18">
        <f t="shared" si="196"/>
        <v>28.356073100908496</v>
      </c>
      <c r="T2007" s="18">
        <f>S2007/Explications!$C$8</f>
        <v>0.94520243669694992</v>
      </c>
    </row>
    <row r="2008" spans="7:20">
      <c r="G2008" s="7" t="s">
        <v>44</v>
      </c>
      <c r="H2008" s="7" t="s">
        <v>49</v>
      </c>
      <c r="I2008" s="7">
        <v>47.000500000000002</v>
      </c>
      <c r="J2008" s="7">
        <v>-71.388400000000004</v>
      </c>
      <c r="K2008" s="7">
        <v>46.7883</v>
      </c>
      <c r="L2008" s="7">
        <v>-71.131200000000007</v>
      </c>
      <c r="M2008" s="10" t="str">
        <f t="shared" si="191"/>
        <v>C28</v>
      </c>
      <c r="N2008" s="10" t="str">
        <f t="shared" si="192"/>
        <v>C33</v>
      </c>
      <c r="O2008" s="5">
        <f t="shared" si="193"/>
        <v>30.637977297314333</v>
      </c>
      <c r="P2008" s="22">
        <f>O2008/Explications!$C$8</f>
        <v>1.0212659099104777</v>
      </c>
      <c r="Q2008" s="7" t="str">
        <f t="shared" si="194"/>
        <v>C33</v>
      </c>
      <c r="R2008" s="7" t="str">
        <f t="shared" si="195"/>
        <v>C28</v>
      </c>
      <c r="S2008" s="18">
        <f t="shared" si="196"/>
        <v>30.637977297314333</v>
      </c>
      <c r="T2008" s="18">
        <f>S2008/Explications!$C$8</f>
        <v>1.0212659099104777</v>
      </c>
    </row>
    <row r="2009" spans="7:20">
      <c r="G2009" s="7" t="s">
        <v>44</v>
      </c>
      <c r="H2009" s="7" t="s">
        <v>50</v>
      </c>
      <c r="I2009" s="7">
        <v>47.000500000000002</v>
      </c>
      <c r="J2009" s="7">
        <v>-71.388400000000004</v>
      </c>
      <c r="K2009" s="7">
        <v>46.8611</v>
      </c>
      <c r="L2009" s="7">
        <v>-71.268799999999999</v>
      </c>
      <c r="M2009" s="10" t="str">
        <f t="shared" si="191"/>
        <v>C28</v>
      </c>
      <c r="N2009" s="10" t="str">
        <f t="shared" si="192"/>
        <v>C34</v>
      </c>
      <c r="O2009" s="5">
        <f t="shared" si="193"/>
        <v>17.965038491118371</v>
      </c>
      <c r="P2009" s="22">
        <f>O2009/Explications!$C$8</f>
        <v>0.5988346163706123</v>
      </c>
      <c r="Q2009" s="7" t="str">
        <f t="shared" si="194"/>
        <v>C34</v>
      </c>
      <c r="R2009" s="7" t="str">
        <f t="shared" si="195"/>
        <v>C28</v>
      </c>
      <c r="S2009" s="18">
        <f t="shared" si="196"/>
        <v>17.965038491118371</v>
      </c>
      <c r="T2009" s="18">
        <f>S2009/Explications!$C$8</f>
        <v>0.5988346163706123</v>
      </c>
    </row>
    <row r="2010" spans="7:20">
      <c r="G2010" s="7" t="s">
        <v>44</v>
      </c>
      <c r="H2010" s="7" t="s">
        <v>51</v>
      </c>
      <c r="I2010" s="7">
        <v>47.000500000000002</v>
      </c>
      <c r="J2010" s="7">
        <v>-71.388400000000004</v>
      </c>
      <c r="K2010" s="7">
        <v>46.869700000000002</v>
      </c>
      <c r="L2010" s="7">
        <v>-71.205200000000005</v>
      </c>
      <c r="M2010" s="10" t="str">
        <f t="shared" si="191"/>
        <v>C28</v>
      </c>
      <c r="N2010" s="10" t="str">
        <f t="shared" si="192"/>
        <v>C35</v>
      </c>
      <c r="O2010" s="5">
        <f t="shared" si="193"/>
        <v>20.125070808032365</v>
      </c>
      <c r="P2010" s="22">
        <f>O2010/Explications!$C$8</f>
        <v>0.67083569360107886</v>
      </c>
      <c r="Q2010" s="7" t="str">
        <f t="shared" si="194"/>
        <v>C35</v>
      </c>
      <c r="R2010" s="7" t="str">
        <f t="shared" si="195"/>
        <v>C28</v>
      </c>
      <c r="S2010" s="18">
        <f t="shared" si="196"/>
        <v>20.125070808032365</v>
      </c>
      <c r="T2010" s="18">
        <f>S2010/Explications!$C$8</f>
        <v>0.67083569360107886</v>
      </c>
    </row>
    <row r="2011" spans="7:20">
      <c r="G2011" s="7" t="s">
        <v>44</v>
      </c>
      <c r="H2011" s="7" t="s">
        <v>52</v>
      </c>
      <c r="I2011" s="7">
        <v>47.000500000000002</v>
      </c>
      <c r="J2011" s="7">
        <v>-71.388400000000004</v>
      </c>
      <c r="K2011" s="7">
        <v>46.774099999999997</v>
      </c>
      <c r="L2011" s="7">
        <v>-71.174000000000007</v>
      </c>
      <c r="M2011" s="10" t="str">
        <f t="shared" si="191"/>
        <v>C28</v>
      </c>
      <c r="N2011" s="10" t="str">
        <f t="shared" si="192"/>
        <v>C36</v>
      </c>
      <c r="O2011" s="5">
        <f t="shared" si="193"/>
        <v>29.987078596923773</v>
      </c>
      <c r="P2011" s="22">
        <f>O2011/Explications!$C$8</f>
        <v>0.9995692865641258</v>
      </c>
      <c r="Q2011" s="7" t="str">
        <f t="shared" si="194"/>
        <v>C36</v>
      </c>
      <c r="R2011" s="7" t="str">
        <f t="shared" si="195"/>
        <v>C28</v>
      </c>
      <c r="S2011" s="18">
        <f t="shared" si="196"/>
        <v>29.987078596923773</v>
      </c>
      <c r="T2011" s="18">
        <f>S2011/Explications!$C$8</f>
        <v>0.9995692865641258</v>
      </c>
    </row>
    <row r="2012" spans="7:20">
      <c r="G2012" s="7" t="s">
        <v>44</v>
      </c>
      <c r="H2012" s="7" t="s">
        <v>53</v>
      </c>
      <c r="I2012" s="7">
        <v>47.000500000000002</v>
      </c>
      <c r="J2012" s="7">
        <v>-71.388400000000004</v>
      </c>
      <c r="K2012" s="7">
        <v>46.808500000000002</v>
      </c>
      <c r="L2012" s="7">
        <v>-71.326599999999999</v>
      </c>
      <c r="M2012" s="10" t="str">
        <f t="shared" si="191"/>
        <v>C28</v>
      </c>
      <c r="N2012" s="10" t="str">
        <f t="shared" si="192"/>
        <v>C37</v>
      </c>
      <c r="O2012" s="5">
        <f t="shared" si="193"/>
        <v>21.859563778929164</v>
      </c>
      <c r="P2012" s="22">
        <f>O2012/Explications!$C$8</f>
        <v>0.72865212596430551</v>
      </c>
      <c r="Q2012" s="7" t="str">
        <f t="shared" si="194"/>
        <v>C37</v>
      </c>
      <c r="R2012" s="7" t="str">
        <f t="shared" si="195"/>
        <v>C28</v>
      </c>
      <c r="S2012" s="18">
        <f t="shared" si="196"/>
        <v>21.859563778929164</v>
      </c>
      <c r="T2012" s="18">
        <f>S2012/Explications!$C$8</f>
        <v>0.72865212596430551</v>
      </c>
    </row>
    <row r="2013" spans="7:20">
      <c r="G2013" s="7" t="s">
        <v>44</v>
      </c>
      <c r="H2013" s="7" t="s">
        <v>54</v>
      </c>
      <c r="I2013" s="7">
        <v>47.000500000000002</v>
      </c>
      <c r="J2013" s="7">
        <v>-71.388400000000004</v>
      </c>
      <c r="K2013" s="7">
        <v>46.797499999999999</v>
      </c>
      <c r="L2013" s="7">
        <v>-71.306100000000001</v>
      </c>
      <c r="M2013" s="10" t="str">
        <f t="shared" si="191"/>
        <v>C28</v>
      </c>
      <c r="N2013" s="10" t="str">
        <f t="shared" si="192"/>
        <v>C38</v>
      </c>
      <c r="O2013" s="5">
        <f t="shared" si="193"/>
        <v>23.422651582289145</v>
      </c>
      <c r="P2013" s="22">
        <f>O2013/Explications!$C$8</f>
        <v>0.78075505274297152</v>
      </c>
      <c r="Q2013" s="7" t="str">
        <f t="shared" si="194"/>
        <v>C38</v>
      </c>
      <c r="R2013" s="7" t="str">
        <f t="shared" si="195"/>
        <v>C28</v>
      </c>
      <c r="S2013" s="18">
        <f t="shared" si="196"/>
        <v>23.422651582289145</v>
      </c>
      <c r="T2013" s="18">
        <f>S2013/Explications!$C$8</f>
        <v>0.78075505274297152</v>
      </c>
    </row>
    <row r="2014" spans="7:20">
      <c r="G2014" s="7" t="s">
        <v>44</v>
      </c>
      <c r="H2014" s="7" t="s">
        <v>55</v>
      </c>
      <c r="I2014" s="7">
        <v>47.000500000000002</v>
      </c>
      <c r="J2014" s="7">
        <v>-71.388400000000004</v>
      </c>
      <c r="K2014" s="7">
        <v>46.8155</v>
      </c>
      <c r="L2014" s="7">
        <v>-71.268199999999993</v>
      </c>
      <c r="M2014" s="10" t="str">
        <f t="shared" si="191"/>
        <v>C28</v>
      </c>
      <c r="N2014" s="10" t="str">
        <f t="shared" si="192"/>
        <v>C39</v>
      </c>
      <c r="O2014" s="5">
        <f t="shared" si="193"/>
        <v>22.506527752567216</v>
      </c>
      <c r="P2014" s="22">
        <f>O2014/Explications!$C$8</f>
        <v>0.75021759175224056</v>
      </c>
      <c r="Q2014" s="7" t="str">
        <f t="shared" si="194"/>
        <v>C39</v>
      </c>
      <c r="R2014" s="7" t="str">
        <f t="shared" si="195"/>
        <v>C28</v>
      </c>
      <c r="S2014" s="18">
        <f t="shared" si="196"/>
        <v>22.506527752567216</v>
      </c>
      <c r="T2014" s="18">
        <f>S2014/Explications!$C$8</f>
        <v>0.75021759175224056</v>
      </c>
    </row>
    <row r="2015" spans="7:20">
      <c r="G2015" s="7" t="s">
        <v>44</v>
      </c>
      <c r="H2015" s="7" t="s">
        <v>56</v>
      </c>
      <c r="I2015" s="7">
        <v>47.000500000000002</v>
      </c>
      <c r="J2015" s="7">
        <v>-71.388400000000004</v>
      </c>
      <c r="K2015" s="7">
        <v>46.866700000000002</v>
      </c>
      <c r="L2015" s="7">
        <v>-71.215900000000005</v>
      </c>
      <c r="M2015" s="10" t="str">
        <f t="shared" si="191"/>
        <v>C28</v>
      </c>
      <c r="N2015" s="10" t="str">
        <f t="shared" si="192"/>
        <v>C40</v>
      </c>
      <c r="O2015" s="5">
        <f t="shared" si="193"/>
        <v>19.821751574331238</v>
      </c>
      <c r="P2015" s="22">
        <f>O2015/Explications!$C$8</f>
        <v>0.66072505247770796</v>
      </c>
      <c r="Q2015" s="7" t="str">
        <f t="shared" si="194"/>
        <v>C40</v>
      </c>
      <c r="R2015" s="7" t="str">
        <f t="shared" si="195"/>
        <v>C28</v>
      </c>
      <c r="S2015" s="18">
        <f t="shared" si="196"/>
        <v>19.821751574331238</v>
      </c>
      <c r="T2015" s="18">
        <f>S2015/Explications!$C$8</f>
        <v>0.66072505247770796</v>
      </c>
    </row>
    <row r="2016" spans="7:20">
      <c r="G2016" s="7" t="s">
        <v>44</v>
      </c>
      <c r="H2016" s="7" t="s">
        <v>57</v>
      </c>
      <c r="I2016" s="7">
        <v>47.000500000000002</v>
      </c>
      <c r="J2016" s="7">
        <v>-71.388400000000004</v>
      </c>
      <c r="K2016" s="7">
        <v>46.762099999999997</v>
      </c>
      <c r="L2016" s="7">
        <v>-71.235399999999998</v>
      </c>
      <c r="M2016" s="10" t="str">
        <f t="shared" si="191"/>
        <v>C28</v>
      </c>
      <c r="N2016" s="10" t="str">
        <f t="shared" si="192"/>
        <v>C41</v>
      </c>
      <c r="O2016" s="5">
        <f t="shared" si="193"/>
        <v>28.947204085424886</v>
      </c>
      <c r="P2016" s="22">
        <f>O2016/Explications!$C$8</f>
        <v>0.96490680284749619</v>
      </c>
      <c r="Q2016" s="7" t="str">
        <f t="shared" si="194"/>
        <v>C41</v>
      </c>
      <c r="R2016" s="7" t="str">
        <f t="shared" si="195"/>
        <v>C28</v>
      </c>
      <c r="S2016" s="18">
        <f t="shared" si="196"/>
        <v>28.947204085424886</v>
      </c>
      <c r="T2016" s="18">
        <f>S2016/Explications!$C$8</f>
        <v>0.96490680284749619</v>
      </c>
    </row>
    <row r="2017" spans="7:20">
      <c r="G2017" s="7" t="s">
        <v>44</v>
      </c>
      <c r="H2017" s="7" t="s">
        <v>58</v>
      </c>
      <c r="I2017" s="7">
        <v>47.000500000000002</v>
      </c>
      <c r="J2017" s="7">
        <v>-71.388400000000004</v>
      </c>
      <c r="K2017" s="7">
        <v>46.8157</v>
      </c>
      <c r="L2017" s="7">
        <v>-71.2042</v>
      </c>
      <c r="M2017" s="10" t="str">
        <f t="shared" si="191"/>
        <v>C28</v>
      </c>
      <c r="N2017" s="10" t="str">
        <f t="shared" si="192"/>
        <v>C42</v>
      </c>
      <c r="O2017" s="5">
        <f t="shared" si="193"/>
        <v>24.860629636630115</v>
      </c>
      <c r="P2017" s="22">
        <f>O2017/Explications!$C$8</f>
        <v>0.82868765455433713</v>
      </c>
      <c r="Q2017" s="7" t="str">
        <f t="shared" si="194"/>
        <v>C42</v>
      </c>
      <c r="R2017" s="7" t="str">
        <f t="shared" si="195"/>
        <v>C28</v>
      </c>
      <c r="S2017" s="18">
        <f t="shared" si="196"/>
        <v>24.860629636630115</v>
      </c>
      <c r="T2017" s="18">
        <f>S2017/Explications!$C$8</f>
        <v>0.82868765455433713</v>
      </c>
    </row>
    <row r="2018" spans="7:20">
      <c r="G2018" s="7" t="s">
        <v>44</v>
      </c>
      <c r="H2018" s="7" t="s">
        <v>59</v>
      </c>
      <c r="I2018" s="7">
        <v>47.000500000000002</v>
      </c>
      <c r="J2018" s="7">
        <v>-71.388400000000004</v>
      </c>
      <c r="K2018" s="7">
        <v>46.707000000000001</v>
      </c>
      <c r="L2018" s="7">
        <v>-71.217100000000002</v>
      </c>
      <c r="M2018" s="10" t="str">
        <f t="shared" si="191"/>
        <v>C28</v>
      </c>
      <c r="N2018" s="10" t="str">
        <f t="shared" si="192"/>
        <v>C43</v>
      </c>
      <c r="O2018" s="5">
        <f t="shared" si="193"/>
        <v>35.139221164820349</v>
      </c>
      <c r="P2018" s="22">
        <f>O2018/Explications!$C$8</f>
        <v>1.1713073721606784</v>
      </c>
      <c r="Q2018" s="7" t="str">
        <f t="shared" si="194"/>
        <v>C43</v>
      </c>
      <c r="R2018" s="7" t="str">
        <f t="shared" si="195"/>
        <v>C28</v>
      </c>
      <c r="S2018" s="18">
        <f t="shared" si="196"/>
        <v>35.139221164820349</v>
      </c>
      <c r="T2018" s="18">
        <f>S2018/Explications!$C$8</f>
        <v>1.1713073721606784</v>
      </c>
    </row>
    <row r="2019" spans="7:20">
      <c r="G2019" s="7" t="s">
        <v>44</v>
      </c>
      <c r="H2019" s="7" t="s">
        <v>60</v>
      </c>
      <c r="I2019" s="7">
        <v>47.000500000000002</v>
      </c>
      <c r="J2019" s="7">
        <v>-71.388400000000004</v>
      </c>
      <c r="K2019" s="7">
        <v>46.802900000000001</v>
      </c>
      <c r="L2019" s="7">
        <v>-71.228899999999996</v>
      </c>
      <c r="M2019" s="10" t="str">
        <f t="shared" si="191"/>
        <v>C28</v>
      </c>
      <c r="N2019" s="10" t="str">
        <f t="shared" si="192"/>
        <v>C44</v>
      </c>
      <c r="O2019" s="5">
        <f t="shared" si="193"/>
        <v>25.092155430750818</v>
      </c>
      <c r="P2019" s="22">
        <f>O2019/Explications!$C$8</f>
        <v>0.83640518102502726</v>
      </c>
      <c r="Q2019" s="7" t="str">
        <f t="shared" si="194"/>
        <v>C44</v>
      </c>
      <c r="R2019" s="7" t="str">
        <f t="shared" si="195"/>
        <v>C28</v>
      </c>
      <c r="S2019" s="18">
        <f t="shared" si="196"/>
        <v>25.092155430750818</v>
      </c>
      <c r="T2019" s="18">
        <f>S2019/Explications!$C$8</f>
        <v>0.83640518102502726</v>
      </c>
    </row>
    <row r="2020" spans="7:20">
      <c r="G2020" s="7" t="s">
        <v>44</v>
      </c>
      <c r="H2020" s="7" t="s">
        <v>61</v>
      </c>
      <c r="I2020" s="7">
        <v>47.000500000000002</v>
      </c>
      <c r="J2020" s="7">
        <v>-71.388400000000004</v>
      </c>
      <c r="K2020" s="7">
        <v>46.796900000000001</v>
      </c>
      <c r="L2020" s="7">
        <v>-71.3078</v>
      </c>
      <c r="M2020" s="10" t="str">
        <f t="shared" si="191"/>
        <v>C28</v>
      </c>
      <c r="N2020" s="10" t="str">
        <f t="shared" si="192"/>
        <v>C45</v>
      </c>
      <c r="O2020" s="5">
        <f t="shared" si="193"/>
        <v>23.45290620447167</v>
      </c>
      <c r="P2020" s="22">
        <f>O2020/Explications!$C$8</f>
        <v>0.78176354014905569</v>
      </c>
      <c r="Q2020" s="7" t="str">
        <f t="shared" si="194"/>
        <v>C45</v>
      </c>
      <c r="R2020" s="7" t="str">
        <f t="shared" si="195"/>
        <v>C28</v>
      </c>
      <c r="S2020" s="18">
        <f t="shared" si="196"/>
        <v>23.45290620447167</v>
      </c>
      <c r="T2020" s="18">
        <f>S2020/Explications!$C$8</f>
        <v>0.78176354014905569</v>
      </c>
    </row>
    <row r="2021" spans="7:20">
      <c r="G2021" s="7" t="s">
        <v>44</v>
      </c>
      <c r="H2021" s="7" t="s">
        <v>62</v>
      </c>
      <c r="I2021" s="7">
        <v>47.000500000000002</v>
      </c>
      <c r="J2021" s="7">
        <v>-71.388400000000004</v>
      </c>
      <c r="K2021" s="7">
        <v>46.803600000000003</v>
      </c>
      <c r="L2021" s="7">
        <v>-71.231099999999998</v>
      </c>
      <c r="M2021" s="10" t="str">
        <f t="shared" si="191"/>
        <v>C28</v>
      </c>
      <c r="N2021" s="10" t="str">
        <f t="shared" si="192"/>
        <v>C46</v>
      </c>
      <c r="O2021" s="5">
        <f t="shared" si="193"/>
        <v>24.943478400599449</v>
      </c>
      <c r="P2021" s="22">
        <f>O2021/Explications!$C$8</f>
        <v>0.83144928001998164</v>
      </c>
      <c r="Q2021" s="7" t="str">
        <f t="shared" si="194"/>
        <v>C46</v>
      </c>
      <c r="R2021" s="7" t="str">
        <f t="shared" si="195"/>
        <v>C28</v>
      </c>
      <c r="S2021" s="18">
        <f t="shared" si="196"/>
        <v>24.943478400599449</v>
      </c>
      <c r="T2021" s="18">
        <f>S2021/Explications!$C$8</f>
        <v>0.83144928001998164</v>
      </c>
    </row>
    <row r="2022" spans="7:20">
      <c r="G2022" s="7" t="s">
        <v>44</v>
      </c>
      <c r="H2022" s="7" t="s">
        <v>63</v>
      </c>
      <c r="I2022" s="7">
        <v>47.000500000000002</v>
      </c>
      <c r="J2022" s="7">
        <v>-71.388400000000004</v>
      </c>
      <c r="K2022" s="7">
        <v>46.802399999999999</v>
      </c>
      <c r="L2022" s="7">
        <v>-71.269800000000004</v>
      </c>
      <c r="M2022" s="10" t="str">
        <f t="shared" si="191"/>
        <v>C28</v>
      </c>
      <c r="N2022" s="10" t="str">
        <f t="shared" si="192"/>
        <v>C47</v>
      </c>
      <c r="O2022" s="5">
        <f t="shared" si="193"/>
        <v>23.799377630905653</v>
      </c>
      <c r="P2022" s="22">
        <f>O2022/Explications!$C$8</f>
        <v>0.79331258769685509</v>
      </c>
      <c r="Q2022" s="7" t="str">
        <f t="shared" si="194"/>
        <v>C47</v>
      </c>
      <c r="R2022" s="7" t="str">
        <f t="shared" si="195"/>
        <v>C28</v>
      </c>
      <c r="S2022" s="18">
        <f t="shared" si="196"/>
        <v>23.799377630905653</v>
      </c>
      <c r="T2022" s="18">
        <f>S2022/Explications!$C$8</f>
        <v>0.79331258769685509</v>
      </c>
    </row>
    <row r="2023" spans="7:20">
      <c r="G2023" s="7" t="s">
        <v>44</v>
      </c>
      <c r="H2023" s="7" t="s">
        <v>64</v>
      </c>
      <c r="I2023" s="7">
        <v>47.000500000000002</v>
      </c>
      <c r="J2023" s="7">
        <v>-71.388400000000004</v>
      </c>
      <c r="K2023" s="7">
        <v>46.826799999999999</v>
      </c>
      <c r="L2023" s="7">
        <v>-71.224199999999996</v>
      </c>
      <c r="M2023" s="10" t="str">
        <f t="shared" si="191"/>
        <v>C28</v>
      </c>
      <c r="N2023" s="10" t="str">
        <f t="shared" si="192"/>
        <v>C48</v>
      </c>
      <c r="O2023" s="5">
        <f t="shared" si="193"/>
        <v>22.991450773466635</v>
      </c>
      <c r="P2023" s="22">
        <f>O2023/Explications!$C$8</f>
        <v>0.76638169244888787</v>
      </c>
      <c r="Q2023" s="7" t="str">
        <f t="shared" si="194"/>
        <v>C48</v>
      </c>
      <c r="R2023" s="7" t="str">
        <f t="shared" si="195"/>
        <v>C28</v>
      </c>
      <c r="S2023" s="18">
        <f t="shared" si="196"/>
        <v>22.991450773466635</v>
      </c>
      <c r="T2023" s="18">
        <f>S2023/Explications!$C$8</f>
        <v>0.76638169244888787</v>
      </c>
    </row>
    <row r="2024" spans="7:20">
      <c r="G2024" s="7" t="s">
        <v>44</v>
      </c>
      <c r="H2024" s="7" t="s">
        <v>65</v>
      </c>
      <c r="I2024" s="7">
        <v>47.000500000000002</v>
      </c>
      <c r="J2024" s="7">
        <v>-71.388400000000004</v>
      </c>
      <c r="K2024" s="7">
        <v>46.864100000000001</v>
      </c>
      <c r="L2024" s="7">
        <v>-71.255499999999998</v>
      </c>
      <c r="M2024" s="10" t="str">
        <f t="shared" si="191"/>
        <v>C28</v>
      </c>
      <c r="N2024" s="10" t="str">
        <f t="shared" si="192"/>
        <v>C49</v>
      </c>
      <c r="O2024" s="5">
        <f t="shared" si="193"/>
        <v>18.217290070328321</v>
      </c>
      <c r="P2024" s="22">
        <f>O2024/Explications!$C$8</f>
        <v>0.60724300234427742</v>
      </c>
      <c r="Q2024" s="7" t="str">
        <f t="shared" si="194"/>
        <v>C49</v>
      </c>
      <c r="R2024" s="7" t="str">
        <f t="shared" si="195"/>
        <v>C28</v>
      </c>
      <c r="S2024" s="18">
        <f t="shared" si="196"/>
        <v>18.217290070328321</v>
      </c>
      <c r="T2024" s="18">
        <f>S2024/Explications!$C$8</f>
        <v>0.60724300234427742</v>
      </c>
    </row>
    <row r="2025" spans="7:20">
      <c r="G2025" s="7" t="s">
        <v>44</v>
      </c>
      <c r="H2025" s="7" t="s">
        <v>66</v>
      </c>
      <c r="I2025" s="7">
        <v>47.000500000000002</v>
      </c>
      <c r="J2025" s="7">
        <v>-71.388400000000004</v>
      </c>
      <c r="K2025" s="7">
        <v>46.843800000000002</v>
      </c>
      <c r="L2025" s="7">
        <v>-71.247299999999996</v>
      </c>
      <c r="M2025" s="10" t="str">
        <f t="shared" si="191"/>
        <v>C28</v>
      </c>
      <c r="N2025" s="10" t="str">
        <f t="shared" si="192"/>
        <v>C50</v>
      </c>
      <c r="O2025" s="5">
        <f t="shared" si="193"/>
        <v>20.455652975431413</v>
      </c>
      <c r="P2025" s="22">
        <f>O2025/Explications!$C$8</f>
        <v>0.68185509918104714</v>
      </c>
      <c r="Q2025" s="7" t="str">
        <f t="shared" si="194"/>
        <v>C50</v>
      </c>
      <c r="R2025" s="7" t="str">
        <f t="shared" si="195"/>
        <v>C28</v>
      </c>
      <c r="S2025" s="18">
        <f t="shared" si="196"/>
        <v>20.455652975431413</v>
      </c>
      <c r="T2025" s="18">
        <f>S2025/Explications!$C$8</f>
        <v>0.68185509918104714</v>
      </c>
    </row>
    <row r="2026" spans="7:20">
      <c r="G2026" s="7" t="s">
        <v>44</v>
      </c>
      <c r="H2026" s="7" t="s">
        <v>67</v>
      </c>
      <c r="I2026" s="7">
        <v>47.000500000000002</v>
      </c>
      <c r="J2026" s="7">
        <v>-71.388400000000004</v>
      </c>
      <c r="K2026" s="7">
        <v>46.765599999999999</v>
      </c>
      <c r="L2026" s="7">
        <v>-71.312100000000001</v>
      </c>
      <c r="M2026" s="10" t="str">
        <f t="shared" si="191"/>
        <v>C28</v>
      </c>
      <c r="N2026" s="10" t="str">
        <f t="shared" si="192"/>
        <v>C51</v>
      </c>
      <c r="O2026" s="5">
        <f t="shared" si="193"/>
        <v>26.755644454954407</v>
      </c>
      <c r="P2026" s="22">
        <f>O2026/Explications!$C$8</f>
        <v>0.89185481516514686</v>
      </c>
      <c r="Q2026" s="7" t="str">
        <f t="shared" si="194"/>
        <v>C51</v>
      </c>
      <c r="R2026" s="7" t="str">
        <f t="shared" si="195"/>
        <v>C28</v>
      </c>
      <c r="S2026" s="18">
        <f t="shared" si="196"/>
        <v>26.755644454954407</v>
      </c>
      <c r="T2026" s="18">
        <f>S2026/Explications!$C$8</f>
        <v>0.89185481516514686</v>
      </c>
    </row>
    <row r="2027" spans="7:20">
      <c r="G2027" s="7" t="s">
        <v>44</v>
      </c>
      <c r="H2027" s="7" t="s">
        <v>68</v>
      </c>
      <c r="I2027" s="7">
        <v>47.000500000000002</v>
      </c>
      <c r="J2027" s="7">
        <v>-71.388400000000004</v>
      </c>
      <c r="K2027" s="7">
        <v>46.787599999999998</v>
      </c>
      <c r="L2027" s="7">
        <v>-71.288600000000002</v>
      </c>
      <c r="M2027" s="10" t="str">
        <f t="shared" si="191"/>
        <v>C28</v>
      </c>
      <c r="N2027" s="10" t="str">
        <f t="shared" si="192"/>
        <v>C52</v>
      </c>
      <c r="O2027" s="5">
        <f t="shared" si="193"/>
        <v>24.858319697410845</v>
      </c>
      <c r="P2027" s="22">
        <f>O2027/Explications!$C$8</f>
        <v>0.82861065658036148</v>
      </c>
      <c r="Q2027" s="7" t="str">
        <f t="shared" si="194"/>
        <v>C52</v>
      </c>
      <c r="R2027" s="7" t="str">
        <f t="shared" si="195"/>
        <v>C28</v>
      </c>
      <c r="S2027" s="18">
        <f t="shared" si="196"/>
        <v>24.858319697410845</v>
      </c>
      <c r="T2027" s="18">
        <f>S2027/Explications!$C$8</f>
        <v>0.82861065658036148</v>
      </c>
    </row>
    <row r="2028" spans="7:20">
      <c r="G2028" s="7" t="s">
        <v>44</v>
      </c>
      <c r="H2028" s="7" t="s">
        <v>69</v>
      </c>
      <c r="I2028" s="7">
        <v>47.000500000000002</v>
      </c>
      <c r="J2028" s="7">
        <v>-71.388400000000004</v>
      </c>
      <c r="K2028" s="7">
        <v>46.764600000000002</v>
      </c>
      <c r="L2028" s="7">
        <v>-71.308300000000003</v>
      </c>
      <c r="M2028" s="10" t="str">
        <f t="shared" si="191"/>
        <v>C28</v>
      </c>
      <c r="N2028" s="10" t="str">
        <f t="shared" si="192"/>
        <v>C53</v>
      </c>
      <c r="O2028" s="5">
        <f t="shared" si="193"/>
        <v>26.928036337651481</v>
      </c>
      <c r="P2028" s="22">
        <f>O2028/Explications!$C$8</f>
        <v>0.89760121125504932</v>
      </c>
      <c r="Q2028" s="7" t="str">
        <f t="shared" si="194"/>
        <v>C53</v>
      </c>
      <c r="R2028" s="7" t="str">
        <f t="shared" si="195"/>
        <v>C28</v>
      </c>
      <c r="S2028" s="18">
        <f t="shared" si="196"/>
        <v>26.928036337651481</v>
      </c>
      <c r="T2028" s="18">
        <f>S2028/Explications!$C$8</f>
        <v>0.89760121125504932</v>
      </c>
    </row>
    <row r="2029" spans="7:20">
      <c r="G2029" s="7" t="s">
        <v>44</v>
      </c>
      <c r="H2029" s="7" t="s">
        <v>70</v>
      </c>
      <c r="I2029" s="7">
        <v>47.000500000000002</v>
      </c>
      <c r="J2029" s="7">
        <v>-71.388400000000004</v>
      </c>
      <c r="K2029" s="7">
        <v>46.849699999999999</v>
      </c>
      <c r="L2029" s="7">
        <v>-71.097399999999993</v>
      </c>
      <c r="M2029" s="10" t="str">
        <f t="shared" si="191"/>
        <v>C28</v>
      </c>
      <c r="N2029" s="10" t="str">
        <f t="shared" si="192"/>
        <v>C54</v>
      </c>
      <c r="O2029" s="5">
        <f t="shared" si="193"/>
        <v>27.740384127642606</v>
      </c>
      <c r="P2029" s="22">
        <f>O2029/Explications!$C$8</f>
        <v>0.92467947092142022</v>
      </c>
      <c r="Q2029" s="7" t="str">
        <f t="shared" si="194"/>
        <v>C54</v>
      </c>
      <c r="R2029" s="7" t="str">
        <f t="shared" si="195"/>
        <v>C28</v>
      </c>
      <c r="S2029" s="18">
        <f t="shared" si="196"/>
        <v>27.740384127642606</v>
      </c>
      <c r="T2029" s="18">
        <f>S2029/Explications!$C$8</f>
        <v>0.92467947092142022</v>
      </c>
    </row>
    <row r="2030" spans="7:20">
      <c r="G2030" s="7" t="s">
        <v>44</v>
      </c>
      <c r="H2030" s="7" t="s">
        <v>71</v>
      </c>
      <c r="I2030" s="7">
        <v>47.000500000000002</v>
      </c>
      <c r="J2030" s="7">
        <v>-71.388400000000004</v>
      </c>
      <c r="K2030" s="7">
        <v>46.788899999999998</v>
      </c>
      <c r="L2030" s="7">
        <v>-71.321399999999997</v>
      </c>
      <c r="M2030" s="10" t="str">
        <f t="shared" si="191"/>
        <v>C28</v>
      </c>
      <c r="N2030" s="10" t="str">
        <f t="shared" si="192"/>
        <v>C55</v>
      </c>
      <c r="O2030" s="5">
        <f t="shared" si="193"/>
        <v>24.073306628016972</v>
      </c>
      <c r="P2030" s="22">
        <f>O2030/Explications!$C$8</f>
        <v>0.80244355426723246</v>
      </c>
      <c r="Q2030" s="7" t="str">
        <f t="shared" si="194"/>
        <v>C55</v>
      </c>
      <c r="R2030" s="7" t="str">
        <f t="shared" si="195"/>
        <v>C28</v>
      </c>
      <c r="S2030" s="18">
        <f t="shared" si="196"/>
        <v>24.073306628016972</v>
      </c>
      <c r="T2030" s="18">
        <f>S2030/Explications!$C$8</f>
        <v>0.80244355426723246</v>
      </c>
    </row>
    <row r="2031" spans="7:20">
      <c r="G2031" s="7" t="s">
        <v>44</v>
      </c>
      <c r="H2031" s="7" t="s">
        <v>72</v>
      </c>
      <c r="I2031" s="7">
        <v>47.000500000000002</v>
      </c>
      <c r="J2031" s="7">
        <v>-71.388400000000004</v>
      </c>
      <c r="K2031" s="7">
        <v>46.795400000000001</v>
      </c>
      <c r="L2031" s="7">
        <v>-71.232600000000005</v>
      </c>
      <c r="M2031" s="10" t="str">
        <f t="shared" si="191"/>
        <v>C28</v>
      </c>
      <c r="N2031" s="10" t="str">
        <f t="shared" si="192"/>
        <v>C56</v>
      </c>
      <c r="O2031" s="5">
        <f t="shared" si="193"/>
        <v>25.695240877333674</v>
      </c>
      <c r="P2031" s="22">
        <f>O2031/Explications!$C$8</f>
        <v>0.85650802924445579</v>
      </c>
      <c r="Q2031" s="7" t="str">
        <f t="shared" si="194"/>
        <v>C56</v>
      </c>
      <c r="R2031" s="7" t="str">
        <f t="shared" si="195"/>
        <v>C28</v>
      </c>
      <c r="S2031" s="18">
        <f t="shared" si="196"/>
        <v>25.695240877333674</v>
      </c>
      <c r="T2031" s="18">
        <f>S2031/Explications!$C$8</f>
        <v>0.85650802924445579</v>
      </c>
    </row>
    <row r="2032" spans="7:20">
      <c r="G2032" s="7" t="s">
        <v>44</v>
      </c>
      <c r="H2032" s="7" t="s">
        <v>73</v>
      </c>
      <c r="I2032" s="7">
        <v>47.000500000000002</v>
      </c>
      <c r="J2032" s="7">
        <v>-71.388400000000004</v>
      </c>
      <c r="K2032" s="7">
        <v>46.801200000000001</v>
      </c>
      <c r="L2032" s="7">
        <v>-71.224999999999994</v>
      </c>
      <c r="M2032" s="10" t="str">
        <f t="shared" si="191"/>
        <v>C28</v>
      </c>
      <c r="N2032" s="10" t="str">
        <f t="shared" si="192"/>
        <v>C57</v>
      </c>
      <c r="O2032" s="5">
        <f t="shared" si="193"/>
        <v>25.401427223231096</v>
      </c>
      <c r="P2032" s="22">
        <f>O2032/Explications!$C$8</f>
        <v>0.84671424077436985</v>
      </c>
      <c r="Q2032" s="7" t="str">
        <f t="shared" si="194"/>
        <v>C57</v>
      </c>
      <c r="R2032" s="7" t="str">
        <f t="shared" si="195"/>
        <v>C28</v>
      </c>
      <c r="S2032" s="18">
        <f t="shared" si="196"/>
        <v>25.401427223231096</v>
      </c>
      <c r="T2032" s="18">
        <f>S2032/Explications!$C$8</f>
        <v>0.84671424077436985</v>
      </c>
    </row>
    <row r="2033" spans="7:20">
      <c r="G2033" s="7" t="s">
        <v>44</v>
      </c>
      <c r="H2033" s="7" t="s">
        <v>74</v>
      </c>
      <c r="I2033" s="7">
        <v>47.000500000000002</v>
      </c>
      <c r="J2033" s="7">
        <v>-71.388400000000004</v>
      </c>
      <c r="K2033" s="7">
        <v>46.773200000000003</v>
      </c>
      <c r="L2033" s="7">
        <v>-71.275899999999993</v>
      </c>
      <c r="M2033" s="10" t="str">
        <f t="shared" si="191"/>
        <v>C28</v>
      </c>
      <c r="N2033" s="10" t="str">
        <f t="shared" si="192"/>
        <v>C58</v>
      </c>
      <c r="O2033" s="5">
        <f t="shared" si="193"/>
        <v>26.681427955268909</v>
      </c>
      <c r="P2033" s="22">
        <f>O2033/Explications!$C$8</f>
        <v>0.88938093184229694</v>
      </c>
      <c r="Q2033" s="7" t="str">
        <f t="shared" si="194"/>
        <v>C58</v>
      </c>
      <c r="R2033" s="7" t="str">
        <f t="shared" si="195"/>
        <v>C28</v>
      </c>
      <c r="S2033" s="18">
        <f t="shared" si="196"/>
        <v>26.681427955268909</v>
      </c>
      <c r="T2033" s="18">
        <f>S2033/Explications!$C$8</f>
        <v>0.88938093184229694</v>
      </c>
    </row>
    <row r="2034" spans="7:20">
      <c r="G2034" s="7" t="s">
        <v>44</v>
      </c>
      <c r="H2034" s="7" t="s">
        <v>75</v>
      </c>
      <c r="I2034" s="7">
        <v>47.000500000000002</v>
      </c>
      <c r="J2034" s="7">
        <v>-71.388400000000004</v>
      </c>
      <c r="K2034" s="7">
        <v>46.814399999999999</v>
      </c>
      <c r="L2034" s="7">
        <v>-71.225700000000003</v>
      </c>
      <c r="M2034" s="10" t="str">
        <f t="shared" si="191"/>
        <v>C28</v>
      </c>
      <c r="N2034" s="10" t="str">
        <f t="shared" si="192"/>
        <v>C59</v>
      </c>
      <c r="O2034" s="5">
        <f t="shared" si="193"/>
        <v>24.103456833214302</v>
      </c>
      <c r="P2034" s="22">
        <f>O2034/Explications!$C$8</f>
        <v>0.80344856110714347</v>
      </c>
      <c r="Q2034" s="7" t="str">
        <f t="shared" si="194"/>
        <v>C59</v>
      </c>
      <c r="R2034" s="7" t="str">
        <f t="shared" si="195"/>
        <v>C28</v>
      </c>
      <c r="S2034" s="18">
        <f t="shared" si="196"/>
        <v>24.103456833214302</v>
      </c>
      <c r="T2034" s="18">
        <f>S2034/Explications!$C$8</f>
        <v>0.80344856110714347</v>
      </c>
    </row>
    <row r="2035" spans="7:20">
      <c r="G2035" s="7" t="s">
        <v>44</v>
      </c>
      <c r="H2035" s="7" t="s">
        <v>76</v>
      </c>
      <c r="I2035" s="7">
        <v>47.000500000000002</v>
      </c>
      <c r="J2035" s="7">
        <v>-71.388400000000004</v>
      </c>
      <c r="K2035" s="7">
        <v>46.772500000000001</v>
      </c>
      <c r="L2035" s="7">
        <v>-71.276300000000006</v>
      </c>
      <c r="M2035" s="10" t="str">
        <f t="shared" si="191"/>
        <v>C28</v>
      </c>
      <c r="N2035" s="10" t="str">
        <f t="shared" si="192"/>
        <v>C60</v>
      </c>
      <c r="O2035" s="5">
        <f t="shared" si="193"/>
        <v>26.745491671573358</v>
      </c>
      <c r="P2035" s="22">
        <f>O2035/Explications!$C$8</f>
        <v>0.89151638905244524</v>
      </c>
      <c r="Q2035" s="7" t="str">
        <f t="shared" si="194"/>
        <v>C60</v>
      </c>
      <c r="R2035" s="7" t="str">
        <f t="shared" si="195"/>
        <v>C28</v>
      </c>
      <c r="S2035" s="18">
        <f t="shared" si="196"/>
        <v>26.745491671573358</v>
      </c>
      <c r="T2035" s="18">
        <f>S2035/Explications!$C$8</f>
        <v>0.89151638905244524</v>
      </c>
    </row>
    <row r="2036" spans="7:20">
      <c r="G2036" s="7" t="s">
        <v>44</v>
      </c>
      <c r="H2036" s="7" t="s">
        <v>77</v>
      </c>
      <c r="I2036" s="7">
        <v>47.000500000000002</v>
      </c>
      <c r="J2036" s="7">
        <v>-71.388400000000004</v>
      </c>
      <c r="K2036" s="7">
        <v>46.810899999999997</v>
      </c>
      <c r="L2036" s="7">
        <v>-71.215599999999995</v>
      </c>
      <c r="M2036" s="10" t="str">
        <f t="shared" si="191"/>
        <v>C28</v>
      </c>
      <c r="N2036" s="10" t="str">
        <f t="shared" si="192"/>
        <v>C61</v>
      </c>
      <c r="O2036" s="5">
        <f t="shared" si="193"/>
        <v>24.835478348271209</v>
      </c>
      <c r="P2036" s="22">
        <f>O2036/Explications!$C$8</f>
        <v>0.82784927827570698</v>
      </c>
      <c r="Q2036" s="7" t="str">
        <f t="shared" si="194"/>
        <v>C61</v>
      </c>
      <c r="R2036" s="7" t="str">
        <f t="shared" si="195"/>
        <v>C28</v>
      </c>
      <c r="S2036" s="18">
        <f t="shared" si="196"/>
        <v>24.835478348271209</v>
      </c>
      <c r="T2036" s="18">
        <f>S2036/Explications!$C$8</f>
        <v>0.82784927827570698</v>
      </c>
    </row>
    <row r="2037" spans="7:20">
      <c r="G2037" s="7" t="s">
        <v>44</v>
      </c>
      <c r="H2037" s="7" t="s">
        <v>78</v>
      </c>
      <c r="I2037" s="7">
        <v>47.000500000000002</v>
      </c>
      <c r="J2037" s="7">
        <v>-71.388400000000004</v>
      </c>
      <c r="K2037" s="7">
        <v>46.795200000000001</v>
      </c>
      <c r="L2037" s="7">
        <v>-71.245099999999994</v>
      </c>
      <c r="M2037" s="10" t="str">
        <f t="shared" si="191"/>
        <v>C28</v>
      </c>
      <c r="N2037" s="10" t="str">
        <f t="shared" si="192"/>
        <v>C62</v>
      </c>
      <c r="O2037" s="5">
        <f t="shared" si="193"/>
        <v>25.291845745242895</v>
      </c>
      <c r="P2037" s="22">
        <f>O2037/Explications!$C$8</f>
        <v>0.84306152484142982</v>
      </c>
      <c r="Q2037" s="7" t="str">
        <f t="shared" si="194"/>
        <v>C62</v>
      </c>
      <c r="R2037" s="7" t="str">
        <f t="shared" si="195"/>
        <v>C28</v>
      </c>
      <c r="S2037" s="18">
        <f t="shared" si="196"/>
        <v>25.291845745242895</v>
      </c>
      <c r="T2037" s="18">
        <f>S2037/Explications!$C$8</f>
        <v>0.84306152484142982</v>
      </c>
    </row>
    <row r="2038" spans="7:20">
      <c r="G2038" s="7" t="s">
        <v>44</v>
      </c>
      <c r="H2038" s="7" t="s">
        <v>79</v>
      </c>
      <c r="I2038" s="7">
        <v>47.000500000000002</v>
      </c>
      <c r="J2038" s="7">
        <v>-71.388400000000004</v>
      </c>
      <c r="K2038" s="7">
        <v>46.822000000000003</v>
      </c>
      <c r="L2038" s="7">
        <v>-71.345699999999994</v>
      </c>
      <c r="M2038" s="10" t="str">
        <f t="shared" si="191"/>
        <v>C28</v>
      </c>
      <c r="N2038" s="10" t="str">
        <f t="shared" si="192"/>
        <v>C63</v>
      </c>
      <c r="O2038" s="5">
        <f t="shared" si="193"/>
        <v>20.11156803552208</v>
      </c>
      <c r="P2038" s="22">
        <f>O2038/Explications!$C$8</f>
        <v>0.67038560118406931</v>
      </c>
      <c r="Q2038" s="7" t="str">
        <f t="shared" si="194"/>
        <v>C63</v>
      </c>
      <c r="R2038" s="7" t="str">
        <f t="shared" si="195"/>
        <v>C28</v>
      </c>
      <c r="S2038" s="18">
        <f t="shared" si="196"/>
        <v>20.11156803552208</v>
      </c>
      <c r="T2038" s="18">
        <f>S2038/Explications!$C$8</f>
        <v>0.67038560118406931</v>
      </c>
    </row>
    <row r="2039" spans="7:20">
      <c r="G2039" s="7" t="s">
        <v>44</v>
      </c>
      <c r="H2039" s="7" t="s">
        <v>80</v>
      </c>
      <c r="I2039" s="7">
        <v>47.000500000000002</v>
      </c>
      <c r="J2039" s="7">
        <v>-71.388400000000004</v>
      </c>
      <c r="K2039" s="7">
        <v>46.779400000000003</v>
      </c>
      <c r="L2039" s="7">
        <v>-71.350399999999993</v>
      </c>
      <c r="M2039" s="10" t="str">
        <f t="shared" si="191"/>
        <v>C28</v>
      </c>
      <c r="N2039" s="10" t="str">
        <f t="shared" si="192"/>
        <v>C64</v>
      </c>
      <c r="O2039" s="5">
        <f t="shared" si="193"/>
        <v>24.754200798942449</v>
      </c>
      <c r="P2039" s="22">
        <f>O2039/Explications!$C$8</f>
        <v>0.82514002663141495</v>
      </c>
      <c r="Q2039" s="7" t="str">
        <f t="shared" si="194"/>
        <v>C64</v>
      </c>
      <c r="R2039" s="7" t="str">
        <f t="shared" si="195"/>
        <v>C28</v>
      </c>
      <c r="S2039" s="18">
        <f t="shared" si="196"/>
        <v>24.754200798942449</v>
      </c>
      <c r="T2039" s="18">
        <f>S2039/Explications!$C$8</f>
        <v>0.82514002663141495</v>
      </c>
    </row>
    <row r="2040" spans="7:20">
      <c r="G2040" s="7" t="s">
        <v>44</v>
      </c>
      <c r="H2040" s="7" t="s">
        <v>81</v>
      </c>
      <c r="I2040" s="7">
        <v>47.000500000000002</v>
      </c>
      <c r="J2040" s="7">
        <v>-71.388400000000004</v>
      </c>
      <c r="K2040" s="7">
        <v>46.772300000000001</v>
      </c>
      <c r="L2040" s="7">
        <v>-71.279799999999994</v>
      </c>
      <c r="M2040" s="10" t="str">
        <f t="shared" si="191"/>
        <v>C28</v>
      </c>
      <c r="N2040" s="10" t="str">
        <f t="shared" si="192"/>
        <v>C65</v>
      </c>
      <c r="O2040" s="5">
        <f t="shared" si="193"/>
        <v>26.683113731254515</v>
      </c>
      <c r="P2040" s="22">
        <f>O2040/Explications!$C$8</f>
        <v>0.88943712437515055</v>
      </c>
      <c r="Q2040" s="7" t="str">
        <f t="shared" si="194"/>
        <v>C65</v>
      </c>
      <c r="R2040" s="7" t="str">
        <f t="shared" si="195"/>
        <v>C28</v>
      </c>
      <c r="S2040" s="18">
        <f t="shared" si="196"/>
        <v>26.683113731254515</v>
      </c>
      <c r="T2040" s="18">
        <f>S2040/Explications!$C$8</f>
        <v>0.88943712437515055</v>
      </c>
    </row>
    <row r="2041" spans="7:20">
      <c r="G2041" s="7" t="s">
        <v>44</v>
      </c>
      <c r="H2041" s="7" t="s">
        <v>82</v>
      </c>
      <c r="I2041" s="7">
        <v>47.000500000000002</v>
      </c>
      <c r="J2041" s="7">
        <v>-71.388400000000004</v>
      </c>
      <c r="K2041" s="7">
        <v>46.814900000000002</v>
      </c>
      <c r="L2041" s="7">
        <v>-71.225200000000001</v>
      </c>
      <c r="M2041" s="10" t="str">
        <f t="shared" si="191"/>
        <v>C28</v>
      </c>
      <c r="N2041" s="10" t="str">
        <f t="shared" si="192"/>
        <v>C66</v>
      </c>
      <c r="O2041" s="5">
        <f t="shared" si="193"/>
        <v>24.075249674490482</v>
      </c>
      <c r="P2041" s="22">
        <f>O2041/Explications!$C$8</f>
        <v>0.80250832248301607</v>
      </c>
      <c r="Q2041" s="7" t="str">
        <f t="shared" si="194"/>
        <v>C66</v>
      </c>
      <c r="R2041" s="7" t="str">
        <f t="shared" si="195"/>
        <v>C28</v>
      </c>
      <c r="S2041" s="18">
        <f t="shared" si="196"/>
        <v>24.075249674490482</v>
      </c>
      <c r="T2041" s="18">
        <f>S2041/Explications!$C$8</f>
        <v>0.80250832248301607</v>
      </c>
    </row>
    <row r="2042" spans="7:20">
      <c r="G2042" s="7" t="s">
        <v>44</v>
      </c>
      <c r="H2042" s="7" t="s">
        <v>83</v>
      </c>
      <c r="I2042" s="7">
        <v>47.000500000000002</v>
      </c>
      <c r="J2042" s="7">
        <v>-71.388400000000004</v>
      </c>
      <c r="K2042" s="7">
        <v>46.814700000000002</v>
      </c>
      <c r="L2042" s="7">
        <v>-71.207300000000004</v>
      </c>
      <c r="M2042" s="10" t="str">
        <f t="shared" si="191"/>
        <v>C28</v>
      </c>
      <c r="N2042" s="10" t="str">
        <f t="shared" si="192"/>
        <v>C67</v>
      </c>
      <c r="O2042" s="5">
        <f t="shared" si="193"/>
        <v>24.821397310387233</v>
      </c>
      <c r="P2042" s="22">
        <f>O2042/Explications!$C$8</f>
        <v>0.82737991034624114</v>
      </c>
      <c r="Q2042" s="7" t="str">
        <f t="shared" si="194"/>
        <v>C67</v>
      </c>
      <c r="R2042" s="7" t="str">
        <f t="shared" si="195"/>
        <v>C28</v>
      </c>
      <c r="S2042" s="18">
        <f t="shared" si="196"/>
        <v>24.821397310387233</v>
      </c>
      <c r="T2042" s="18">
        <f>S2042/Explications!$C$8</f>
        <v>0.82737991034624114</v>
      </c>
    </row>
    <row r="2043" spans="7:20">
      <c r="G2043" s="7" t="s">
        <v>44</v>
      </c>
      <c r="H2043" s="7" t="s">
        <v>84</v>
      </c>
      <c r="I2043" s="7">
        <v>47.000500000000002</v>
      </c>
      <c r="J2043" s="7">
        <v>-71.388400000000004</v>
      </c>
      <c r="K2043" s="7">
        <v>46.815600000000003</v>
      </c>
      <c r="L2043" s="7">
        <v>-71.2029</v>
      </c>
      <c r="M2043" s="10" t="str">
        <f t="shared" si="191"/>
        <v>C28</v>
      </c>
      <c r="N2043" s="10" t="str">
        <f t="shared" si="192"/>
        <v>C68</v>
      </c>
      <c r="O2043" s="5">
        <f t="shared" si="193"/>
        <v>24.925525575939542</v>
      </c>
      <c r="P2043" s="22">
        <f>O2043/Explications!$C$8</f>
        <v>0.83085085253131807</v>
      </c>
      <c r="Q2043" s="7" t="str">
        <f t="shared" si="194"/>
        <v>C68</v>
      </c>
      <c r="R2043" s="7" t="str">
        <f t="shared" si="195"/>
        <v>C28</v>
      </c>
      <c r="S2043" s="18">
        <f t="shared" si="196"/>
        <v>24.925525575939542</v>
      </c>
      <c r="T2043" s="18">
        <f>S2043/Explications!$C$8</f>
        <v>0.83085085253131807</v>
      </c>
    </row>
    <row r="2044" spans="7:20">
      <c r="G2044" s="7" t="s">
        <v>44</v>
      </c>
      <c r="H2044" s="7" t="s">
        <v>85</v>
      </c>
      <c r="I2044" s="7">
        <v>47.000500000000002</v>
      </c>
      <c r="J2044" s="7">
        <v>-71.388400000000004</v>
      </c>
      <c r="K2044" s="7">
        <v>46.821899999999999</v>
      </c>
      <c r="L2044" s="7">
        <v>-71.249899999999997</v>
      </c>
      <c r="M2044" s="10" t="str">
        <f t="shared" si="191"/>
        <v>C28</v>
      </c>
      <c r="N2044" s="10" t="str">
        <f t="shared" si="192"/>
        <v>C69</v>
      </c>
      <c r="O2044" s="5">
        <f t="shared" si="193"/>
        <v>22.473941075472641</v>
      </c>
      <c r="P2044" s="22">
        <f>O2044/Explications!$C$8</f>
        <v>0.7491313691824214</v>
      </c>
      <c r="Q2044" s="7" t="str">
        <f t="shared" si="194"/>
        <v>C69</v>
      </c>
      <c r="R2044" s="7" t="str">
        <f t="shared" si="195"/>
        <v>C28</v>
      </c>
      <c r="S2044" s="18">
        <f t="shared" si="196"/>
        <v>22.473941075472641</v>
      </c>
      <c r="T2044" s="18">
        <f>S2044/Explications!$C$8</f>
        <v>0.7491313691824214</v>
      </c>
    </row>
    <row r="2045" spans="7:20">
      <c r="G2045" s="7" t="s">
        <v>44</v>
      </c>
      <c r="H2045" s="7" t="s">
        <v>86</v>
      </c>
      <c r="I2045" s="7">
        <v>47.000500000000002</v>
      </c>
      <c r="J2045" s="7">
        <v>-71.388400000000004</v>
      </c>
      <c r="K2045" s="7">
        <v>46.8872</v>
      </c>
      <c r="L2045" s="7">
        <v>-71.27</v>
      </c>
      <c r="M2045" s="10" t="str">
        <f t="shared" si="191"/>
        <v>C28</v>
      </c>
      <c r="N2045" s="10" t="str">
        <f t="shared" si="192"/>
        <v>C70</v>
      </c>
      <c r="O2045" s="5">
        <f t="shared" si="193"/>
        <v>15.476049947900478</v>
      </c>
      <c r="P2045" s="22">
        <f>O2045/Explications!$C$8</f>
        <v>0.51586833159668255</v>
      </c>
      <c r="Q2045" s="7" t="str">
        <f t="shared" si="194"/>
        <v>C70</v>
      </c>
      <c r="R2045" s="7" t="str">
        <f t="shared" si="195"/>
        <v>C28</v>
      </c>
      <c r="S2045" s="18">
        <f t="shared" si="196"/>
        <v>15.476049947900478</v>
      </c>
      <c r="T2045" s="18">
        <f>S2045/Explications!$C$8</f>
        <v>0.51586833159668255</v>
      </c>
    </row>
    <row r="2046" spans="7:20">
      <c r="G2046" s="7" t="s">
        <v>44</v>
      </c>
      <c r="H2046" s="7" t="s">
        <v>87</v>
      </c>
      <c r="I2046" s="7">
        <v>47.000500000000002</v>
      </c>
      <c r="J2046" s="7">
        <v>-71.388400000000004</v>
      </c>
      <c r="K2046" s="7">
        <v>46.816299999999998</v>
      </c>
      <c r="L2046" s="7">
        <v>-71.210300000000004</v>
      </c>
      <c r="M2046" s="10" t="str">
        <f t="shared" si="191"/>
        <v>C28</v>
      </c>
      <c r="N2046" s="10" t="str">
        <f t="shared" si="192"/>
        <v>C71</v>
      </c>
      <c r="O2046" s="5">
        <f t="shared" si="193"/>
        <v>24.547057899922258</v>
      </c>
      <c r="P2046" s="22">
        <f>O2046/Explications!$C$8</f>
        <v>0.81823526333074192</v>
      </c>
      <c r="Q2046" s="7" t="str">
        <f t="shared" si="194"/>
        <v>C71</v>
      </c>
      <c r="R2046" s="7" t="str">
        <f t="shared" si="195"/>
        <v>C28</v>
      </c>
      <c r="S2046" s="18">
        <f t="shared" si="196"/>
        <v>24.547057899922258</v>
      </c>
      <c r="T2046" s="18">
        <f>S2046/Explications!$C$8</f>
        <v>0.81823526333074192</v>
      </c>
    </row>
    <row r="2047" spans="7:20">
      <c r="G2047" s="7" t="s">
        <v>44</v>
      </c>
      <c r="H2047" s="7" t="s">
        <v>88</v>
      </c>
      <c r="I2047" s="7">
        <v>47.000500000000002</v>
      </c>
      <c r="J2047" s="7">
        <v>-71.388400000000004</v>
      </c>
      <c r="K2047" s="7">
        <v>46.807000000000002</v>
      </c>
      <c r="L2047" s="7">
        <v>-71.3566</v>
      </c>
      <c r="M2047" s="10" t="str">
        <f t="shared" si="191"/>
        <v>C28</v>
      </c>
      <c r="N2047" s="10" t="str">
        <f t="shared" si="192"/>
        <v>C72</v>
      </c>
      <c r="O2047" s="5">
        <f t="shared" si="193"/>
        <v>21.651423313754719</v>
      </c>
      <c r="P2047" s="22">
        <f>O2047/Explications!$C$8</f>
        <v>0.72171411045849065</v>
      </c>
      <c r="Q2047" s="7" t="str">
        <f t="shared" si="194"/>
        <v>C72</v>
      </c>
      <c r="R2047" s="7" t="str">
        <f t="shared" si="195"/>
        <v>C28</v>
      </c>
      <c r="S2047" s="18">
        <f t="shared" si="196"/>
        <v>21.651423313754719</v>
      </c>
      <c r="T2047" s="18">
        <f>S2047/Explications!$C$8</f>
        <v>0.72171411045849065</v>
      </c>
    </row>
    <row r="2048" spans="7:20">
      <c r="G2048" s="7" t="s">
        <v>44</v>
      </c>
      <c r="H2048" s="7" t="s">
        <v>89</v>
      </c>
      <c r="I2048" s="7">
        <v>47.000500000000002</v>
      </c>
      <c r="J2048" s="7">
        <v>-71.388400000000004</v>
      </c>
      <c r="K2048" s="7">
        <v>46.822899999999997</v>
      </c>
      <c r="L2048" s="7">
        <v>-71.341899999999995</v>
      </c>
      <c r="M2048" s="10" t="str">
        <f t="shared" si="191"/>
        <v>C28</v>
      </c>
      <c r="N2048" s="10" t="str">
        <f t="shared" si="192"/>
        <v>C73</v>
      </c>
      <c r="O2048" s="5">
        <f t="shared" si="193"/>
        <v>20.061608103537015</v>
      </c>
      <c r="P2048" s="22">
        <f>O2048/Explications!$C$8</f>
        <v>0.66872027011790047</v>
      </c>
      <c r="Q2048" s="7" t="str">
        <f t="shared" si="194"/>
        <v>C73</v>
      </c>
      <c r="R2048" s="7" t="str">
        <f t="shared" si="195"/>
        <v>C28</v>
      </c>
      <c r="S2048" s="18">
        <f t="shared" si="196"/>
        <v>20.061608103537015</v>
      </c>
      <c r="T2048" s="18">
        <f>S2048/Explications!$C$8</f>
        <v>0.66872027011790047</v>
      </c>
    </row>
    <row r="2049" spans="7:20">
      <c r="G2049" s="7" t="s">
        <v>44</v>
      </c>
      <c r="H2049" s="7" t="s">
        <v>90</v>
      </c>
      <c r="I2049" s="7">
        <v>47.000500000000002</v>
      </c>
      <c r="J2049" s="7">
        <v>-71.388400000000004</v>
      </c>
      <c r="K2049" s="7">
        <v>46.730699999999999</v>
      </c>
      <c r="L2049" s="7">
        <v>-71.261099999999999</v>
      </c>
      <c r="M2049" s="10" t="str">
        <f t="shared" si="191"/>
        <v>C28</v>
      </c>
      <c r="N2049" s="10" t="str">
        <f t="shared" si="192"/>
        <v>C74</v>
      </c>
      <c r="O2049" s="5">
        <f t="shared" si="193"/>
        <v>31.522798030331092</v>
      </c>
      <c r="P2049" s="22">
        <f>O2049/Explications!$C$8</f>
        <v>1.0507599343443697</v>
      </c>
      <c r="Q2049" s="7" t="str">
        <f t="shared" si="194"/>
        <v>C74</v>
      </c>
      <c r="R2049" s="7" t="str">
        <f t="shared" si="195"/>
        <v>C28</v>
      </c>
      <c r="S2049" s="18">
        <f t="shared" si="196"/>
        <v>31.522798030331092</v>
      </c>
      <c r="T2049" s="18">
        <f>S2049/Explications!$C$8</f>
        <v>1.0507599343443697</v>
      </c>
    </row>
    <row r="2050" spans="7:20">
      <c r="G2050" s="7" t="s">
        <v>44</v>
      </c>
      <c r="H2050" s="7" t="s">
        <v>91</v>
      </c>
      <c r="I2050" s="7">
        <v>47.000500000000002</v>
      </c>
      <c r="J2050" s="7">
        <v>-71.388400000000004</v>
      </c>
      <c r="K2050" s="7">
        <v>46.840600000000002</v>
      </c>
      <c r="L2050" s="7">
        <v>-71.289100000000005</v>
      </c>
      <c r="M2050" s="10" t="str">
        <f t="shared" si="191"/>
        <v>C28</v>
      </c>
      <c r="N2050" s="10" t="str">
        <f t="shared" si="192"/>
        <v>C75</v>
      </c>
      <c r="O2050" s="5">
        <f t="shared" si="193"/>
        <v>19.313366700418573</v>
      </c>
      <c r="P2050" s="22">
        <f>O2050/Explications!$C$8</f>
        <v>0.64377889001395239</v>
      </c>
      <c r="Q2050" s="7" t="str">
        <f t="shared" si="194"/>
        <v>C75</v>
      </c>
      <c r="R2050" s="7" t="str">
        <f t="shared" si="195"/>
        <v>C28</v>
      </c>
      <c r="S2050" s="18">
        <f t="shared" si="196"/>
        <v>19.313366700418573</v>
      </c>
      <c r="T2050" s="18">
        <f>S2050/Explications!$C$8</f>
        <v>0.64377889001395239</v>
      </c>
    </row>
    <row r="2051" spans="7:20">
      <c r="G2051" s="7" t="s">
        <v>44</v>
      </c>
      <c r="H2051" s="7" t="s">
        <v>92</v>
      </c>
      <c r="I2051" s="7">
        <v>47.000500000000002</v>
      </c>
      <c r="J2051" s="7">
        <v>-71.388400000000004</v>
      </c>
      <c r="K2051" s="7">
        <v>46.840600000000002</v>
      </c>
      <c r="L2051" s="7">
        <v>-71.281599999999997</v>
      </c>
      <c r="M2051" s="10" t="str">
        <f t="shared" si="191"/>
        <v>C28</v>
      </c>
      <c r="N2051" s="10" t="str">
        <f t="shared" si="192"/>
        <v>C76</v>
      </c>
      <c r="O2051" s="5">
        <f t="shared" si="193"/>
        <v>19.542825154778352</v>
      </c>
      <c r="P2051" s="22">
        <f>O2051/Explications!$C$8</f>
        <v>0.65142750515927839</v>
      </c>
      <c r="Q2051" s="7" t="str">
        <f t="shared" si="194"/>
        <v>C76</v>
      </c>
      <c r="R2051" s="7" t="str">
        <f t="shared" si="195"/>
        <v>C28</v>
      </c>
      <c r="S2051" s="18">
        <f t="shared" si="196"/>
        <v>19.542825154778352</v>
      </c>
      <c r="T2051" s="18">
        <f>S2051/Explications!$C$8</f>
        <v>0.65142750515927839</v>
      </c>
    </row>
    <row r="2052" spans="7:20">
      <c r="G2052" s="7" t="s">
        <v>44</v>
      </c>
      <c r="H2052" s="7" t="s">
        <v>93</v>
      </c>
      <c r="I2052" s="7">
        <v>47.000500000000002</v>
      </c>
      <c r="J2052" s="7">
        <v>-71.388400000000004</v>
      </c>
      <c r="K2052" s="7">
        <v>46.839399999999998</v>
      </c>
      <c r="L2052" s="7">
        <v>-71.282600000000002</v>
      </c>
      <c r="M2052" s="10" t="str">
        <f t="shared" ref="M2052:M2115" si="197">G2052</f>
        <v>C28</v>
      </c>
      <c r="N2052" s="10" t="str">
        <f t="shared" ref="N2052:N2115" si="198">H2052</f>
        <v>C77</v>
      </c>
      <c r="O2052" s="5">
        <f t="shared" ref="O2052:O2115" si="199">ACOS(SIN(RADIANS(I2052))*SIN(RADIANS(K2052))+COS(RADIANS(I2052))*COS(RADIANS(K2052))*COS(RADIANS(J2052-L2052)))*6371</f>
        <v>19.633133091864469</v>
      </c>
      <c r="P2052" s="22">
        <f>O2052/Explications!$C$8</f>
        <v>0.65443776972881562</v>
      </c>
      <c r="Q2052" s="7" t="str">
        <f t="shared" ref="Q2052:Q2115" si="200">N2052</f>
        <v>C77</v>
      </c>
      <c r="R2052" s="7" t="str">
        <f t="shared" ref="R2052:R2115" si="201">M2052</f>
        <v>C28</v>
      </c>
      <c r="S2052" s="18">
        <f t="shared" ref="S2052:S2115" si="202">O2052</f>
        <v>19.633133091864469</v>
      </c>
      <c r="T2052" s="18">
        <f>S2052/Explications!$C$8</f>
        <v>0.65443776972881562</v>
      </c>
    </row>
    <row r="2053" spans="7:20">
      <c r="G2053" s="7" t="s">
        <v>44</v>
      </c>
      <c r="H2053" s="7" t="s">
        <v>94</v>
      </c>
      <c r="I2053" s="7">
        <v>47.000500000000002</v>
      </c>
      <c r="J2053" s="7">
        <v>-71.388400000000004</v>
      </c>
      <c r="K2053" s="7">
        <v>46.788499999999999</v>
      </c>
      <c r="L2053" s="7">
        <v>-71.282399999999996</v>
      </c>
      <c r="M2053" s="10" t="str">
        <f t="shared" si="197"/>
        <v>C28</v>
      </c>
      <c r="N2053" s="10" t="str">
        <f t="shared" si="198"/>
        <v>C78</v>
      </c>
      <c r="O2053" s="5">
        <f t="shared" si="199"/>
        <v>24.911317383610893</v>
      </c>
      <c r="P2053" s="22">
        <f>O2053/Explications!$C$8</f>
        <v>0.83037724612036312</v>
      </c>
      <c r="Q2053" s="7" t="str">
        <f t="shared" si="200"/>
        <v>C78</v>
      </c>
      <c r="R2053" s="7" t="str">
        <f t="shared" si="201"/>
        <v>C28</v>
      </c>
      <c r="S2053" s="18">
        <f t="shared" si="202"/>
        <v>24.911317383610893</v>
      </c>
      <c r="T2053" s="18">
        <f>S2053/Explications!$C$8</f>
        <v>0.83037724612036312</v>
      </c>
    </row>
    <row r="2054" spans="7:20">
      <c r="G2054" s="7" t="s">
        <v>44</v>
      </c>
      <c r="H2054" s="7" t="s">
        <v>95</v>
      </c>
      <c r="I2054" s="7">
        <v>47.000500000000002</v>
      </c>
      <c r="J2054" s="7">
        <v>-71.388400000000004</v>
      </c>
      <c r="K2054" s="7">
        <v>46.840699999999998</v>
      </c>
      <c r="L2054" s="7">
        <v>-71.325400000000002</v>
      </c>
      <c r="M2054" s="10" t="str">
        <f t="shared" si="197"/>
        <v>C28</v>
      </c>
      <c r="N2054" s="10" t="str">
        <f t="shared" si="198"/>
        <v>C79</v>
      </c>
      <c r="O2054" s="5">
        <f t="shared" si="199"/>
        <v>18.401866812223933</v>
      </c>
      <c r="P2054" s="22">
        <f>O2054/Explications!$C$8</f>
        <v>0.61339556040746446</v>
      </c>
      <c r="Q2054" s="7" t="str">
        <f t="shared" si="200"/>
        <v>C79</v>
      </c>
      <c r="R2054" s="7" t="str">
        <f t="shared" si="201"/>
        <v>C28</v>
      </c>
      <c r="S2054" s="18">
        <f t="shared" si="202"/>
        <v>18.401866812223933</v>
      </c>
      <c r="T2054" s="18">
        <f>S2054/Explications!$C$8</f>
        <v>0.61339556040746446</v>
      </c>
    </row>
    <row r="2055" spans="7:20">
      <c r="G2055" s="7" t="s">
        <v>44</v>
      </c>
      <c r="H2055" s="7" t="s">
        <v>96</v>
      </c>
      <c r="I2055" s="7">
        <v>47.000500000000002</v>
      </c>
      <c r="J2055" s="7">
        <v>-71.388400000000004</v>
      </c>
      <c r="K2055" s="7">
        <v>46.798400000000001</v>
      </c>
      <c r="L2055" s="7">
        <v>-71.183199999999999</v>
      </c>
      <c r="M2055" s="10" t="str">
        <f t="shared" si="197"/>
        <v>C28</v>
      </c>
      <c r="N2055" s="10" t="str">
        <f t="shared" si="198"/>
        <v>C80</v>
      </c>
      <c r="O2055" s="5">
        <f t="shared" si="199"/>
        <v>27.350998578171975</v>
      </c>
      <c r="P2055" s="22">
        <f>O2055/Explications!$C$8</f>
        <v>0.91169995260573244</v>
      </c>
      <c r="Q2055" s="7" t="str">
        <f t="shared" si="200"/>
        <v>C80</v>
      </c>
      <c r="R2055" s="7" t="str">
        <f t="shared" si="201"/>
        <v>C28</v>
      </c>
      <c r="S2055" s="18">
        <f t="shared" si="202"/>
        <v>27.350998578171975</v>
      </c>
      <c r="T2055" s="18">
        <f>S2055/Explications!$C$8</f>
        <v>0.91169995260573244</v>
      </c>
    </row>
    <row r="2056" spans="7:20">
      <c r="G2056" s="7" t="s">
        <v>44</v>
      </c>
      <c r="H2056" s="7" t="s">
        <v>97</v>
      </c>
      <c r="I2056" s="7">
        <v>47.000500000000002</v>
      </c>
      <c r="J2056" s="7">
        <v>-71.388400000000004</v>
      </c>
      <c r="K2056" s="7">
        <v>46.724800000000002</v>
      </c>
      <c r="L2056" s="7">
        <v>-71.2988</v>
      </c>
      <c r="M2056" s="10" t="str">
        <f t="shared" si="197"/>
        <v>C28</v>
      </c>
      <c r="N2056" s="10" t="str">
        <f t="shared" si="198"/>
        <v>C81</v>
      </c>
      <c r="O2056" s="5">
        <f t="shared" si="199"/>
        <v>31.404197700290915</v>
      </c>
      <c r="P2056" s="22">
        <f>O2056/Explications!$C$8</f>
        <v>1.0468065900096972</v>
      </c>
      <c r="Q2056" s="7" t="str">
        <f t="shared" si="200"/>
        <v>C81</v>
      </c>
      <c r="R2056" s="7" t="str">
        <f t="shared" si="201"/>
        <v>C28</v>
      </c>
      <c r="S2056" s="18">
        <f t="shared" si="202"/>
        <v>31.404197700290915</v>
      </c>
      <c r="T2056" s="18">
        <f>S2056/Explications!$C$8</f>
        <v>1.0468065900096972</v>
      </c>
    </row>
    <row r="2057" spans="7:20">
      <c r="G2057" s="7" t="s">
        <v>44</v>
      </c>
      <c r="H2057" s="7" t="s">
        <v>98</v>
      </c>
      <c r="I2057" s="7">
        <v>47.000500000000002</v>
      </c>
      <c r="J2057" s="7">
        <v>-71.388400000000004</v>
      </c>
      <c r="K2057" s="7">
        <v>46.795499999999997</v>
      </c>
      <c r="L2057" s="7">
        <v>-71.242900000000006</v>
      </c>
      <c r="M2057" s="10" t="str">
        <f t="shared" si="197"/>
        <v>C28</v>
      </c>
      <c r="N2057" s="10" t="str">
        <f t="shared" si="198"/>
        <v>C82</v>
      </c>
      <c r="O2057" s="5">
        <f t="shared" si="199"/>
        <v>25.334220105200735</v>
      </c>
      <c r="P2057" s="22">
        <f>O2057/Explications!$C$8</f>
        <v>0.84447400350669122</v>
      </c>
      <c r="Q2057" s="7" t="str">
        <f t="shared" si="200"/>
        <v>C82</v>
      </c>
      <c r="R2057" s="7" t="str">
        <f t="shared" si="201"/>
        <v>C28</v>
      </c>
      <c r="S2057" s="18">
        <f t="shared" si="202"/>
        <v>25.334220105200735</v>
      </c>
      <c r="T2057" s="18">
        <f>S2057/Explications!$C$8</f>
        <v>0.84447400350669122</v>
      </c>
    </row>
    <row r="2058" spans="7:20">
      <c r="G2058" s="7" t="s">
        <v>44</v>
      </c>
      <c r="H2058" s="7" t="s">
        <v>99</v>
      </c>
      <c r="I2058" s="7">
        <v>47.000500000000002</v>
      </c>
      <c r="J2058" s="7">
        <v>-71.388400000000004</v>
      </c>
      <c r="K2058" s="7">
        <v>46.8157</v>
      </c>
      <c r="L2058" s="7">
        <v>-71.201899999999995</v>
      </c>
      <c r="M2058" s="10" t="str">
        <f t="shared" si="197"/>
        <v>C28</v>
      </c>
      <c r="N2058" s="10" t="str">
        <f t="shared" si="198"/>
        <v>C83</v>
      </c>
      <c r="O2058" s="5">
        <f t="shared" si="199"/>
        <v>24.959387727266087</v>
      </c>
      <c r="P2058" s="22">
        <f>O2058/Explications!$C$8</f>
        <v>0.83197959090886953</v>
      </c>
      <c r="Q2058" s="7" t="str">
        <f t="shared" si="200"/>
        <v>C83</v>
      </c>
      <c r="R2058" s="7" t="str">
        <f t="shared" si="201"/>
        <v>C28</v>
      </c>
      <c r="S2058" s="18">
        <f t="shared" si="202"/>
        <v>24.959387727266087</v>
      </c>
      <c r="T2058" s="18">
        <f>S2058/Explications!$C$8</f>
        <v>0.83197959090886953</v>
      </c>
    </row>
    <row r="2059" spans="7:20">
      <c r="G2059" s="7" t="s">
        <v>44</v>
      </c>
      <c r="H2059" s="7" t="s">
        <v>100</v>
      </c>
      <c r="I2059" s="7">
        <v>47.000500000000002</v>
      </c>
      <c r="J2059" s="7">
        <v>-71.388400000000004</v>
      </c>
      <c r="K2059" s="7">
        <v>46.837600000000002</v>
      </c>
      <c r="L2059" s="7">
        <v>-71.196299999999994</v>
      </c>
      <c r="M2059" s="10" t="str">
        <f t="shared" si="197"/>
        <v>C28</v>
      </c>
      <c r="N2059" s="10" t="str">
        <f t="shared" si="198"/>
        <v>C84</v>
      </c>
      <c r="O2059" s="5">
        <f t="shared" si="199"/>
        <v>23.258746610076056</v>
      </c>
      <c r="P2059" s="22">
        <f>O2059/Explications!$C$8</f>
        <v>0.77529155366920188</v>
      </c>
      <c r="Q2059" s="7" t="str">
        <f t="shared" si="200"/>
        <v>C84</v>
      </c>
      <c r="R2059" s="7" t="str">
        <f t="shared" si="201"/>
        <v>C28</v>
      </c>
      <c r="S2059" s="18">
        <f t="shared" si="202"/>
        <v>23.258746610076056</v>
      </c>
      <c r="T2059" s="18">
        <f>S2059/Explications!$C$8</f>
        <v>0.77529155366920188</v>
      </c>
    </row>
    <row r="2060" spans="7:20">
      <c r="G2060" s="7" t="s">
        <v>44</v>
      </c>
      <c r="H2060" s="7" t="s">
        <v>101</v>
      </c>
      <c r="I2060" s="7">
        <v>47.000500000000002</v>
      </c>
      <c r="J2060" s="7">
        <v>-71.388400000000004</v>
      </c>
      <c r="K2060" s="7">
        <v>46.7988</v>
      </c>
      <c r="L2060" s="7">
        <v>-71.318200000000004</v>
      </c>
      <c r="M2060" s="10" t="str">
        <f t="shared" si="197"/>
        <v>C28</v>
      </c>
      <c r="N2060" s="10" t="str">
        <f t="shared" si="198"/>
        <v>C85</v>
      </c>
      <c r="O2060" s="5">
        <f t="shared" si="199"/>
        <v>23.053481067418385</v>
      </c>
      <c r="P2060" s="22">
        <f>O2060/Explications!$C$8</f>
        <v>0.76844936891394622</v>
      </c>
      <c r="Q2060" s="7" t="str">
        <f t="shared" si="200"/>
        <v>C85</v>
      </c>
      <c r="R2060" s="7" t="str">
        <f t="shared" si="201"/>
        <v>C28</v>
      </c>
      <c r="S2060" s="18">
        <f t="shared" si="202"/>
        <v>23.053481067418385</v>
      </c>
      <c r="T2060" s="18">
        <f>S2060/Explications!$C$8</f>
        <v>0.76844936891394622</v>
      </c>
    </row>
    <row r="2061" spans="7:20">
      <c r="G2061" s="7" t="s">
        <v>45</v>
      </c>
      <c r="H2061" s="7" t="s">
        <v>46</v>
      </c>
      <c r="I2061" s="7">
        <v>46.839100000000002</v>
      </c>
      <c r="J2061" s="7">
        <v>-71.245699999999999</v>
      </c>
      <c r="K2061" s="7">
        <v>46.865699999999997</v>
      </c>
      <c r="L2061" s="7">
        <v>-71.27</v>
      </c>
      <c r="M2061" s="10" t="str">
        <f t="shared" si="197"/>
        <v>C29</v>
      </c>
      <c r="N2061" s="10" t="str">
        <f t="shared" si="198"/>
        <v>C30</v>
      </c>
      <c r="O2061" s="5">
        <f t="shared" si="199"/>
        <v>3.4875654620353864</v>
      </c>
      <c r="P2061" s="22">
        <f>O2061/Explications!$C$8</f>
        <v>0.11625218206784621</v>
      </c>
      <c r="Q2061" s="7" t="str">
        <f t="shared" si="200"/>
        <v>C30</v>
      </c>
      <c r="R2061" s="7" t="str">
        <f t="shared" si="201"/>
        <v>C29</v>
      </c>
      <c r="S2061" s="18">
        <f t="shared" si="202"/>
        <v>3.4875654620353864</v>
      </c>
      <c r="T2061" s="18">
        <f>S2061/Explications!$C$8</f>
        <v>0.11625218206784621</v>
      </c>
    </row>
    <row r="2062" spans="7:20">
      <c r="G2062" s="7" t="s">
        <v>45</v>
      </c>
      <c r="H2062" s="7" t="s">
        <v>47</v>
      </c>
      <c r="I2062" s="7">
        <v>46.839100000000002</v>
      </c>
      <c r="J2062" s="7">
        <v>-71.245699999999999</v>
      </c>
      <c r="K2062" s="7">
        <v>46.805500000000002</v>
      </c>
      <c r="L2062" s="7">
        <v>-71.217299999999994</v>
      </c>
      <c r="M2062" s="10" t="str">
        <f t="shared" si="197"/>
        <v>C29</v>
      </c>
      <c r="N2062" s="10" t="str">
        <f t="shared" si="198"/>
        <v>C31</v>
      </c>
      <c r="O2062" s="5">
        <f t="shared" si="199"/>
        <v>4.3160314631720622</v>
      </c>
      <c r="P2062" s="22">
        <f>O2062/Explications!$C$8</f>
        <v>0.14386771543906873</v>
      </c>
      <c r="Q2062" s="7" t="str">
        <f t="shared" si="200"/>
        <v>C31</v>
      </c>
      <c r="R2062" s="7" t="str">
        <f t="shared" si="201"/>
        <v>C29</v>
      </c>
      <c r="S2062" s="18">
        <f t="shared" si="202"/>
        <v>4.3160314631720622</v>
      </c>
      <c r="T2062" s="18">
        <f>S2062/Explications!$C$8</f>
        <v>0.14386771543906873</v>
      </c>
    </row>
    <row r="2063" spans="7:20">
      <c r="G2063" s="7" t="s">
        <v>45</v>
      </c>
      <c r="H2063" s="7" t="s">
        <v>48</v>
      </c>
      <c r="I2063" s="7">
        <v>46.839100000000002</v>
      </c>
      <c r="J2063" s="7">
        <v>-71.245699999999999</v>
      </c>
      <c r="K2063" s="7">
        <v>46.792299999999997</v>
      </c>
      <c r="L2063" s="7">
        <v>-71.172899999999998</v>
      </c>
      <c r="M2063" s="10" t="str">
        <f t="shared" si="197"/>
        <v>C29</v>
      </c>
      <c r="N2063" s="10" t="str">
        <f t="shared" si="198"/>
        <v>C32</v>
      </c>
      <c r="O2063" s="5">
        <f t="shared" si="199"/>
        <v>7.6006592466149634</v>
      </c>
      <c r="P2063" s="22">
        <f>O2063/Explications!$C$8</f>
        <v>0.25335530822049879</v>
      </c>
      <c r="Q2063" s="7" t="str">
        <f t="shared" si="200"/>
        <v>C32</v>
      </c>
      <c r="R2063" s="7" t="str">
        <f t="shared" si="201"/>
        <v>C29</v>
      </c>
      <c r="S2063" s="18">
        <f t="shared" si="202"/>
        <v>7.6006592466149634</v>
      </c>
      <c r="T2063" s="18">
        <f>S2063/Explications!$C$8</f>
        <v>0.25335530822049879</v>
      </c>
    </row>
    <row r="2064" spans="7:20">
      <c r="G2064" s="7" t="s">
        <v>45</v>
      </c>
      <c r="H2064" s="7" t="s">
        <v>49</v>
      </c>
      <c r="I2064" s="7">
        <v>46.839100000000002</v>
      </c>
      <c r="J2064" s="7">
        <v>-71.245699999999999</v>
      </c>
      <c r="K2064" s="7">
        <v>46.7883</v>
      </c>
      <c r="L2064" s="7">
        <v>-71.131200000000007</v>
      </c>
      <c r="M2064" s="10" t="str">
        <f t="shared" si="197"/>
        <v>C29</v>
      </c>
      <c r="N2064" s="10" t="str">
        <f t="shared" si="198"/>
        <v>C33</v>
      </c>
      <c r="O2064" s="5">
        <f t="shared" si="199"/>
        <v>10.384102334931514</v>
      </c>
      <c r="P2064" s="22">
        <f>O2064/Explications!$C$8</f>
        <v>0.34613674449771714</v>
      </c>
      <c r="Q2064" s="7" t="str">
        <f t="shared" si="200"/>
        <v>C33</v>
      </c>
      <c r="R2064" s="7" t="str">
        <f t="shared" si="201"/>
        <v>C29</v>
      </c>
      <c r="S2064" s="18">
        <f t="shared" si="202"/>
        <v>10.384102334931514</v>
      </c>
      <c r="T2064" s="18">
        <f>S2064/Explications!$C$8</f>
        <v>0.34613674449771714</v>
      </c>
    </row>
    <row r="2065" spans="7:20">
      <c r="G2065" s="7" t="s">
        <v>45</v>
      </c>
      <c r="H2065" s="7" t="s">
        <v>50</v>
      </c>
      <c r="I2065" s="7">
        <v>46.839100000000002</v>
      </c>
      <c r="J2065" s="7">
        <v>-71.245699999999999</v>
      </c>
      <c r="K2065" s="7">
        <v>46.8611</v>
      </c>
      <c r="L2065" s="7">
        <v>-71.268799999999999</v>
      </c>
      <c r="M2065" s="10" t="str">
        <f t="shared" si="197"/>
        <v>C29</v>
      </c>
      <c r="N2065" s="10" t="str">
        <f t="shared" si="198"/>
        <v>C34</v>
      </c>
      <c r="O2065" s="5">
        <f t="shared" si="199"/>
        <v>3.0116925993333297</v>
      </c>
      <c r="P2065" s="22">
        <f>O2065/Explications!$C$8</f>
        <v>0.10038975331111098</v>
      </c>
      <c r="Q2065" s="7" t="str">
        <f t="shared" si="200"/>
        <v>C34</v>
      </c>
      <c r="R2065" s="7" t="str">
        <f t="shared" si="201"/>
        <v>C29</v>
      </c>
      <c r="S2065" s="18">
        <f t="shared" si="202"/>
        <v>3.0116925993333297</v>
      </c>
      <c r="T2065" s="18">
        <f>S2065/Explications!$C$8</f>
        <v>0.10038975331111098</v>
      </c>
    </row>
    <row r="2066" spans="7:20">
      <c r="G2066" s="7" t="s">
        <v>45</v>
      </c>
      <c r="H2066" s="7" t="s">
        <v>51</v>
      </c>
      <c r="I2066" s="7">
        <v>46.839100000000002</v>
      </c>
      <c r="J2066" s="7">
        <v>-71.245699999999999</v>
      </c>
      <c r="K2066" s="7">
        <v>46.869700000000002</v>
      </c>
      <c r="L2066" s="7">
        <v>-71.205200000000005</v>
      </c>
      <c r="M2066" s="10" t="str">
        <f t="shared" si="197"/>
        <v>C29</v>
      </c>
      <c r="N2066" s="10" t="str">
        <f t="shared" si="198"/>
        <v>C35</v>
      </c>
      <c r="O2066" s="5">
        <f t="shared" si="199"/>
        <v>4.589313338608358</v>
      </c>
      <c r="P2066" s="22">
        <f>O2066/Explications!$C$8</f>
        <v>0.15297711128694527</v>
      </c>
      <c r="Q2066" s="7" t="str">
        <f t="shared" si="200"/>
        <v>C35</v>
      </c>
      <c r="R2066" s="7" t="str">
        <f t="shared" si="201"/>
        <v>C29</v>
      </c>
      <c r="S2066" s="18">
        <f t="shared" si="202"/>
        <v>4.589313338608358</v>
      </c>
      <c r="T2066" s="18">
        <f>S2066/Explications!$C$8</f>
        <v>0.15297711128694527</v>
      </c>
    </row>
    <row r="2067" spans="7:20">
      <c r="G2067" s="7" t="s">
        <v>45</v>
      </c>
      <c r="H2067" s="7" t="s">
        <v>52</v>
      </c>
      <c r="I2067" s="7">
        <v>46.839100000000002</v>
      </c>
      <c r="J2067" s="7">
        <v>-71.245699999999999</v>
      </c>
      <c r="K2067" s="7">
        <v>46.774099999999997</v>
      </c>
      <c r="L2067" s="7">
        <v>-71.174000000000007</v>
      </c>
      <c r="M2067" s="10" t="str">
        <f t="shared" si="197"/>
        <v>C29</v>
      </c>
      <c r="N2067" s="10" t="str">
        <f t="shared" si="198"/>
        <v>C36</v>
      </c>
      <c r="O2067" s="5">
        <f t="shared" si="199"/>
        <v>9.0563834882599412</v>
      </c>
      <c r="P2067" s="22">
        <f>O2067/Explications!$C$8</f>
        <v>0.3018794496086647</v>
      </c>
      <c r="Q2067" s="7" t="str">
        <f t="shared" si="200"/>
        <v>C36</v>
      </c>
      <c r="R2067" s="7" t="str">
        <f t="shared" si="201"/>
        <v>C29</v>
      </c>
      <c r="S2067" s="18">
        <f t="shared" si="202"/>
        <v>9.0563834882599412</v>
      </c>
      <c r="T2067" s="18">
        <f>S2067/Explications!$C$8</f>
        <v>0.3018794496086647</v>
      </c>
    </row>
    <row r="2068" spans="7:20">
      <c r="G2068" s="7" t="s">
        <v>45</v>
      </c>
      <c r="H2068" s="7" t="s">
        <v>53</v>
      </c>
      <c r="I2068" s="7">
        <v>46.839100000000002</v>
      </c>
      <c r="J2068" s="7">
        <v>-71.245699999999999</v>
      </c>
      <c r="K2068" s="7">
        <v>46.808500000000002</v>
      </c>
      <c r="L2068" s="7">
        <v>-71.326599999999999</v>
      </c>
      <c r="M2068" s="10" t="str">
        <f t="shared" si="197"/>
        <v>C29</v>
      </c>
      <c r="N2068" s="10" t="str">
        <f t="shared" si="198"/>
        <v>C37</v>
      </c>
      <c r="O2068" s="5">
        <f t="shared" si="199"/>
        <v>7.0330902691824146</v>
      </c>
      <c r="P2068" s="22">
        <f>O2068/Explications!$C$8</f>
        <v>0.23443634230608049</v>
      </c>
      <c r="Q2068" s="7" t="str">
        <f t="shared" si="200"/>
        <v>C37</v>
      </c>
      <c r="R2068" s="7" t="str">
        <f t="shared" si="201"/>
        <v>C29</v>
      </c>
      <c r="S2068" s="18">
        <f t="shared" si="202"/>
        <v>7.0330902691824146</v>
      </c>
      <c r="T2068" s="18">
        <f>S2068/Explications!$C$8</f>
        <v>0.23443634230608049</v>
      </c>
    </row>
    <row r="2069" spans="7:20">
      <c r="G2069" s="7" t="s">
        <v>45</v>
      </c>
      <c r="H2069" s="7" t="s">
        <v>54</v>
      </c>
      <c r="I2069" s="7">
        <v>46.839100000000002</v>
      </c>
      <c r="J2069" s="7">
        <v>-71.245699999999999</v>
      </c>
      <c r="K2069" s="7">
        <v>46.797499999999999</v>
      </c>
      <c r="L2069" s="7">
        <v>-71.306100000000001</v>
      </c>
      <c r="M2069" s="10" t="str">
        <f t="shared" si="197"/>
        <v>C29</v>
      </c>
      <c r="N2069" s="10" t="str">
        <f t="shared" si="198"/>
        <v>C38</v>
      </c>
      <c r="O2069" s="5">
        <f t="shared" si="199"/>
        <v>6.5207475047413999</v>
      </c>
      <c r="P2069" s="22">
        <f>O2069/Explications!$C$8</f>
        <v>0.21735825015804666</v>
      </c>
      <c r="Q2069" s="7" t="str">
        <f t="shared" si="200"/>
        <v>C38</v>
      </c>
      <c r="R2069" s="7" t="str">
        <f t="shared" si="201"/>
        <v>C29</v>
      </c>
      <c r="S2069" s="18">
        <f t="shared" si="202"/>
        <v>6.5207475047413999</v>
      </c>
      <c r="T2069" s="18">
        <f>S2069/Explications!$C$8</f>
        <v>0.21735825015804666</v>
      </c>
    </row>
    <row r="2070" spans="7:20">
      <c r="G2070" s="7" t="s">
        <v>45</v>
      </c>
      <c r="H2070" s="7" t="s">
        <v>55</v>
      </c>
      <c r="I2070" s="7">
        <v>46.839100000000002</v>
      </c>
      <c r="J2070" s="7">
        <v>-71.245699999999999</v>
      </c>
      <c r="K2070" s="7">
        <v>46.8155</v>
      </c>
      <c r="L2070" s="7">
        <v>-71.268199999999993</v>
      </c>
      <c r="M2070" s="10" t="str">
        <f t="shared" si="197"/>
        <v>C29</v>
      </c>
      <c r="N2070" s="10" t="str">
        <f t="shared" si="198"/>
        <v>C39</v>
      </c>
      <c r="O2070" s="5">
        <f t="shared" si="199"/>
        <v>3.1331533998097547</v>
      </c>
      <c r="P2070" s="22">
        <f>O2070/Explications!$C$8</f>
        <v>0.10443844666032516</v>
      </c>
      <c r="Q2070" s="7" t="str">
        <f t="shared" si="200"/>
        <v>C39</v>
      </c>
      <c r="R2070" s="7" t="str">
        <f t="shared" si="201"/>
        <v>C29</v>
      </c>
      <c r="S2070" s="18">
        <f t="shared" si="202"/>
        <v>3.1331533998097547</v>
      </c>
      <c r="T2070" s="18">
        <f>S2070/Explications!$C$8</f>
        <v>0.10443844666032516</v>
      </c>
    </row>
    <row r="2071" spans="7:20">
      <c r="G2071" s="7" t="s">
        <v>45</v>
      </c>
      <c r="H2071" s="7" t="s">
        <v>56</v>
      </c>
      <c r="I2071" s="7">
        <v>46.839100000000002</v>
      </c>
      <c r="J2071" s="7">
        <v>-71.245699999999999</v>
      </c>
      <c r="K2071" s="7">
        <v>46.866700000000002</v>
      </c>
      <c r="L2071" s="7">
        <v>-71.215900000000005</v>
      </c>
      <c r="M2071" s="10" t="str">
        <f t="shared" si="197"/>
        <v>C29</v>
      </c>
      <c r="N2071" s="10" t="str">
        <f t="shared" si="198"/>
        <v>C40</v>
      </c>
      <c r="O2071" s="5">
        <f t="shared" si="199"/>
        <v>3.8149445866528842</v>
      </c>
      <c r="P2071" s="22">
        <f>O2071/Explications!$C$8</f>
        <v>0.12716481955509615</v>
      </c>
      <c r="Q2071" s="7" t="str">
        <f t="shared" si="200"/>
        <v>C40</v>
      </c>
      <c r="R2071" s="7" t="str">
        <f t="shared" si="201"/>
        <v>C29</v>
      </c>
      <c r="S2071" s="18">
        <f t="shared" si="202"/>
        <v>3.8149445866528842</v>
      </c>
      <c r="T2071" s="18">
        <f>S2071/Explications!$C$8</f>
        <v>0.12716481955509615</v>
      </c>
    </row>
    <row r="2072" spans="7:20">
      <c r="G2072" s="7" t="s">
        <v>45</v>
      </c>
      <c r="H2072" s="7" t="s">
        <v>57</v>
      </c>
      <c r="I2072" s="7">
        <v>46.839100000000002</v>
      </c>
      <c r="J2072" s="7">
        <v>-71.245699999999999</v>
      </c>
      <c r="K2072" s="7">
        <v>46.762099999999997</v>
      </c>
      <c r="L2072" s="7">
        <v>-71.235399999999998</v>
      </c>
      <c r="M2072" s="10" t="str">
        <f t="shared" si="197"/>
        <v>C29</v>
      </c>
      <c r="N2072" s="10" t="str">
        <f t="shared" si="198"/>
        <v>C41</v>
      </c>
      <c r="O2072" s="5">
        <f t="shared" si="199"/>
        <v>8.5978295421430069</v>
      </c>
      <c r="P2072" s="22">
        <f>O2072/Explications!$C$8</f>
        <v>0.28659431807143354</v>
      </c>
      <c r="Q2072" s="7" t="str">
        <f t="shared" si="200"/>
        <v>C41</v>
      </c>
      <c r="R2072" s="7" t="str">
        <f t="shared" si="201"/>
        <v>C29</v>
      </c>
      <c r="S2072" s="18">
        <f t="shared" si="202"/>
        <v>8.5978295421430069</v>
      </c>
      <c r="T2072" s="18">
        <f>S2072/Explications!$C$8</f>
        <v>0.28659431807143354</v>
      </c>
    </row>
    <row r="2073" spans="7:20">
      <c r="G2073" s="7" t="s">
        <v>45</v>
      </c>
      <c r="H2073" s="7" t="s">
        <v>58</v>
      </c>
      <c r="I2073" s="7">
        <v>46.839100000000002</v>
      </c>
      <c r="J2073" s="7">
        <v>-71.245699999999999</v>
      </c>
      <c r="K2073" s="7">
        <v>46.8157</v>
      </c>
      <c r="L2073" s="7">
        <v>-71.2042</v>
      </c>
      <c r="M2073" s="10" t="str">
        <f t="shared" si="197"/>
        <v>C29</v>
      </c>
      <c r="N2073" s="10" t="str">
        <f t="shared" si="198"/>
        <v>C42</v>
      </c>
      <c r="O2073" s="5">
        <f t="shared" si="199"/>
        <v>4.091297132348017</v>
      </c>
      <c r="P2073" s="22">
        <f>O2073/Explications!$C$8</f>
        <v>0.13637657107826723</v>
      </c>
      <c r="Q2073" s="7" t="str">
        <f t="shared" si="200"/>
        <v>C42</v>
      </c>
      <c r="R2073" s="7" t="str">
        <f t="shared" si="201"/>
        <v>C29</v>
      </c>
      <c r="S2073" s="18">
        <f t="shared" si="202"/>
        <v>4.091297132348017</v>
      </c>
      <c r="T2073" s="18">
        <f>S2073/Explications!$C$8</f>
        <v>0.13637657107826723</v>
      </c>
    </row>
    <row r="2074" spans="7:20">
      <c r="G2074" s="7" t="s">
        <v>45</v>
      </c>
      <c r="H2074" s="7" t="s">
        <v>59</v>
      </c>
      <c r="I2074" s="7">
        <v>46.839100000000002</v>
      </c>
      <c r="J2074" s="7">
        <v>-71.245699999999999</v>
      </c>
      <c r="K2074" s="7">
        <v>46.707000000000001</v>
      </c>
      <c r="L2074" s="7">
        <v>-71.217100000000002</v>
      </c>
      <c r="M2074" s="10" t="str">
        <f t="shared" si="197"/>
        <v>C29</v>
      </c>
      <c r="N2074" s="10" t="str">
        <f t="shared" si="198"/>
        <v>C43</v>
      </c>
      <c r="O2074" s="5">
        <f t="shared" si="199"/>
        <v>14.849454101171428</v>
      </c>
      <c r="P2074" s="22">
        <f>O2074/Explications!$C$8</f>
        <v>0.49498180337238096</v>
      </c>
      <c r="Q2074" s="7" t="str">
        <f t="shared" si="200"/>
        <v>C43</v>
      </c>
      <c r="R2074" s="7" t="str">
        <f t="shared" si="201"/>
        <v>C29</v>
      </c>
      <c r="S2074" s="18">
        <f t="shared" si="202"/>
        <v>14.849454101171428</v>
      </c>
      <c r="T2074" s="18">
        <f>S2074/Explications!$C$8</f>
        <v>0.49498180337238096</v>
      </c>
    </row>
    <row r="2075" spans="7:20">
      <c r="G2075" s="7" t="s">
        <v>45</v>
      </c>
      <c r="H2075" s="7" t="s">
        <v>60</v>
      </c>
      <c r="I2075" s="7">
        <v>46.839100000000002</v>
      </c>
      <c r="J2075" s="7">
        <v>-71.245699999999999</v>
      </c>
      <c r="K2075" s="7">
        <v>46.802900000000001</v>
      </c>
      <c r="L2075" s="7">
        <v>-71.228899999999996</v>
      </c>
      <c r="M2075" s="10" t="str">
        <f t="shared" si="197"/>
        <v>C29</v>
      </c>
      <c r="N2075" s="10" t="str">
        <f t="shared" si="198"/>
        <v>C44</v>
      </c>
      <c r="O2075" s="5">
        <f t="shared" si="199"/>
        <v>4.2233521550019493</v>
      </c>
      <c r="P2075" s="22">
        <f>O2075/Explications!$C$8</f>
        <v>0.14077840516673165</v>
      </c>
      <c r="Q2075" s="7" t="str">
        <f t="shared" si="200"/>
        <v>C44</v>
      </c>
      <c r="R2075" s="7" t="str">
        <f t="shared" si="201"/>
        <v>C29</v>
      </c>
      <c r="S2075" s="18">
        <f t="shared" si="202"/>
        <v>4.2233521550019493</v>
      </c>
      <c r="T2075" s="18">
        <f>S2075/Explications!$C$8</f>
        <v>0.14077840516673165</v>
      </c>
    </row>
    <row r="2076" spans="7:20">
      <c r="G2076" s="7" t="s">
        <v>45</v>
      </c>
      <c r="H2076" s="7" t="s">
        <v>61</v>
      </c>
      <c r="I2076" s="7">
        <v>46.839100000000002</v>
      </c>
      <c r="J2076" s="7">
        <v>-71.245699999999999</v>
      </c>
      <c r="K2076" s="7">
        <v>46.796900000000001</v>
      </c>
      <c r="L2076" s="7">
        <v>-71.3078</v>
      </c>
      <c r="M2076" s="10" t="str">
        <f t="shared" si="197"/>
        <v>C29</v>
      </c>
      <c r="N2076" s="10" t="str">
        <f t="shared" si="198"/>
        <v>C45</v>
      </c>
      <c r="O2076" s="5">
        <f t="shared" si="199"/>
        <v>6.659418056318783</v>
      </c>
      <c r="P2076" s="22">
        <f>O2076/Explications!$C$8</f>
        <v>0.22198060187729277</v>
      </c>
      <c r="Q2076" s="7" t="str">
        <f t="shared" si="200"/>
        <v>C45</v>
      </c>
      <c r="R2076" s="7" t="str">
        <f t="shared" si="201"/>
        <v>C29</v>
      </c>
      <c r="S2076" s="18">
        <f t="shared" si="202"/>
        <v>6.659418056318783</v>
      </c>
      <c r="T2076" s="18">
        <f>S2076/Explications!$C$8</f>
        <v>0.22198060187729277</v>
      </c>
    </row>
    <row r="2077" spans="7:20">
      <c r="G2077" s="7" t="s">
        <v>45</v>
      </c>
      <c r="H2077" s="7" t="s">
        <v>62</v>
      </c>
      <c r="I2077" s="7">
        <v>46.839100000000002</v>
      </c>
      <c r="J2077" s="7">
        <v>-71.245699999999999</v>
      </c>
      <c r="K2077" s="7">
        <v>46.803600000000003</v>
      </c>
      <c r="L2077" s="7">
        <v>-71.231099999999998</v>
      </c>
      <c r="M2077" s="10" t="str">
        <f t="shared" si="197"/>
        <v>C29</v>
      </c>
      <c r="N2077" s="10" t="str">
        <f t="shared" si="198"/>
        <v>C46</v>
      </c>
      <c r="O2077" s="5">
        <f t="shared" si="199"/>
        <v>4.1007544743650826</v>
      </c>
      <c r="P2077" s="22">
        <f>O2077/Explications!$C$8</f>
        <v>0.13669181581216941</v>
      </c>
      <c r="Q2077" s="7" t="str">
        <f t="shared" si="200"/>
        <v>C46</v>
      </c>
      <c r="R2077" s="7" t="str">
        <f t="shared" si="201"/>
        <v>C29</v>
      </c>
      <c r="S2077" s="18">
        <f t="shared" si="202"/>
        <v>4.1007544743650826</v>
      </c>
      <c r="T2077" s="18">
        <f>S2077/Explications!$C$8</f>
        <v>0.13669181581216941</v>
      </c>
    </row>
    <row r="2078" spans="7:20">
      <c r="G2078" s="7" t="s">
        <v>45</v>
      </c>
      <c r="H2078" s="7" t="s">
        <v>63</v>
      </c>
      <c r="I2078" s="7">
        <v>46.839100000000002</v>
      </c>
      <c r="J2078" s="7">
        <v>-71.245699999999999</v>
      </c>
      <c r="K2078" s="7">
        <v>46.802399999999999</v>
      </c>
      <c r="L2078" s="7">
        <v>-71.269800000000004</v>
      </c>
      <c r="M2078" s="10" t="str">
        <f t="shared" si="197"/>
        <v>C29</v>
      </c>
      <c r="N2078" s="10" t="str">
        <f t="shared" si="198"/>
        <v>C47</v>
      </c>
      <c r="O2078" s="5">
        <f t="shared" si="199"/>
        <v>4.4739211392774916</v>
      </c>
      <c r="P2078" s="22">
        <f>O2078/Explications!$C$8</f>
        <v>0.14913070464258305</v>
      </c>
      <c r="Q2078" s="7" t="str">
        <f t="shared" si="200"/>
        <v>C47</v>
      </c>
      <c r="R2078" s="7" t="str">
        <f t="shared" si="201"/>
        <v>C29</v>
      </c>
      <c r="S2078" s="18">
        <f t="shared" si="202"/>
        <v>4.4739211392774916</v>
      </c>
      <c r="T2078" s="18">
        <f>S2078/Explications!$C$8</f>
        <v>0.14913070464258305</v>
      </c>
    </row>
    <row r="2079" spans="7:20">
      <c r="G2079" s="7" t="s">
        <v>45</v>
      </c>
      <c r="H2079" s="7" t="s">
        <v>64</v>
      </c>
      <c r="I2079" s="7">
        <v>46.839100000000002</v>
      </c>
      <c r="J2079" s="7">
        <v>-71.245699999999999</v>
      </c>
      <c r="K2079" s="7">
        <v>46.826799999999999</v>
      </c>
      <c r="L2079" s="7">
        <v>-71.224199999999996</v>
      </c>
      <c r="M2079" s="10" t="str">
        <f t="shared" si="197"/>
        <v>C29</v>
      </c>
      <c r="N2079" s="10" t="str">
        <f t="shared" si="198"/>
        <v>C48</v>
      </c>
      <c r="O2079" s="5">
        <f t="shared" si="199"/>
        <v>2.132036909264249</v>
      </c>
      <c r="P2079" s="22">
        <f>O2079/Explications!$C$8</f>
        <v>7.106789697547497E-2</v>
      </c>
      <c r="Q2079" s="7" t="str">
        <f t="shared" si="200"/>
        <v>C48</v>
      </c>
      <c r="R2079" s="7" t="str">
        <f t="shared" si="201"/>
        <v>C29</v>
      </c>
      <c r="S2079" s="18">
        <f t="shared" si="202"/>
        <v>2.132036909264249</v>
      </c>
      <c r="T2079" s="18">
        <f>S2079/Explications!$C$8</f>
        <v>7.106789697547497E-2</v>
      </c>
    </row>
    <row r="2080" spans="7:20">
      <c r="G2080" s="7" t="s">
        <v>45</v>
      </c>
      <c r="H2080" s="7" t="s">
        <v>65</v>
      </c>
      <c r="I2080" s="7">
        <v>46.839100000000002</v>
      </c>
      <c r="J2080" s="7">
        <v>-71.245699999999999</v>
      </c>
      <c r="K2080" s="7">
        <v>46.864100000000001</v>
      </c>
      <c r="L2080" s="7">
        <v>-71.255499999999998</v>
      </c>
      <c r="M2080" s="10" t="str">
        <f t="shared" si="197"/>
        <v>C29</v>
      </c>
      <c r="N2080" s="10" t="str">
        <f t="shared" si="198"/>
        <v>C49</v>
      </c>
      <c r="O2080" s="5">
        <f t="shared" si="199"/>
        <v>2.8780342059146005</v>
      </c>
      <c r="P2080" s="22">
        <f>O2080/Explications!$C$8</f>
        <v>9.5934473530486689E-2</v>
      </c>
      <c r="Q2080" s="7" t="str">
        <f t="shared" si="200"/>
        <v>C49</v>
      </c>
      <c r="R2080" s="7" t="str">
        <f t="shared" si="201"/>
        <v>C29</v>
      </c>
      <c r="S2080" s="18">
        <f t="shared" si="202"/>
        <v>2.8780342059146005</v>
      </c>
      <c r="T2080" s="18">
        <f>S2080/Explications!$C$8</f>
        <v>9.5934473530486689E-2</v>
      </c>
    </row>
    <row r="2081" spans="7:20">
      <c r="G2081" s="7" t="s">
        <v>45</v>
      </c>
      <c r="H2081" s="7" t="s">
        <v>66</v>
      </c>
      <c r="I2081" s="7">
        <v>46.839100000000002</v>
      </c>
      <c r="J2081" s="7">
        <v>-71.245699999999999</v>
      </c>
      <c r="K2081" s="7">
        <v>46.843800000000002</v>
      </c>
      <c r="L2081" s="7">
        <v>-71.247299999999996</v>
      </c>
      <c r="M2081" s="10" t="str">
        <f t="shared" si="197"/>
        <v>C29</v>
      </c>
      <c r="N2081" s="10" t="str">
        <f t="shared" si="198"/>
        <v>C50</v>
      </c>
      <c r="O2081" s="5">
        <f t="shared" si="199"/>
        <v>0.5365979535814791</v>
      </c>
      <c r="P2081" s="22">
        <f>O2081/Explications!$C$8</f>
        <v>1.7886598452715969E-2</v>
      </c>
      <c r="Q2081" s="7" t="str">
        <f t="shared" si="200"/>
        <v>C50</v>
      </c>
      <c r="R2081" s="7" t="str">
        <f t="shared" si="201"/>
        <v>C29</v>
      </c>
      <c r="S2081" s="18">
        <f t="shared" si="202"/>
        <v>0.5365979535814791</v>
      </c>
      <c r="T2081" s="18">
        <f>S2081/Explications!$C$8</f>
        <v>1.7886598452715969E-2</v>
      </c>
    </row>
    <row r="2082" spans="7:20">
      <c r="G2082" s="7" t="s">
        <v>45</v>
      </c>
      <c r="H2082" s="7" t="s">
        <v>67</v>
      </c>
      <c r="I2082" s="7">
        <v>46.839100000000002</v>
      </c>
      <c r="J2082" s="7">
        <v>-71.245699999999999</v>
      </c>
      <c r="K2082" s="7">
        <v>46.765599999999999</v>
      </c>
      <c r="L2082" s="7">
        <v>-71.312100000000001</v>
      </c>
      <c r="M2082" s="10" t="str">
        <f t="shared" si="197"/>
        <v>C29</v>
      </c>
      <c r="N2082" s="10" t="str">
        <f t="shared" si="198"/>
        <v>C51</v>
      </c>
      <c r="O2082" s="5">
        <f t="shared" si="199"/>
        <v>9.609279832025841</v>
      </c>
      <c r="P2082" s="22">
        <f>O2082/Explications!$C$8</f>
        <v>0.32030932773419468</v>
      </c>
      <c r="Q2082" s="7" t="str">
        <f t="shared" si="200"/>
        <v>C51</v>
      </c>
      <c r="R2082" s="7" t="str">
        <f t="shared" si="201"/>
        <v>C29</v>
      </c>
      <c r="S2082" s="18">
        <f t="shared" si="202"/>
        <v>9.609279832025841</v>
      </c>
      <c r="T2082" s="18">
        <f>S2082/Explications!$C$8</f>
        <v>0.32030932773419468</v>
      </c>
    </row>
    <row r="2083" spans="7:20">
      <c r="G2083" s="7" t="s">
        <v>45</v>
      </c>
      <c r="H2083" s="7" t="s">
        <v>68</v>
      </c>
      <c r="I2083" s="7">
        <v>46.839100000000002</v>
      </c>
      <c r="J2083" s="7">
        <v>-71.245699999999999</v>
      </c>
      <c r="K2083" s="7">
        <v>46.787599999999998</v>
      </c>
      <c r="L2083" s="7">
        <v>-71.288600000000002</v>
      </c>
      <c r="M2083" s="10" t="str">
        <f t="shared" si="197"/>
        <v>C29</v>
      </c>
      <c r="N2083" s="10" t="str">
        <f t="shared" si="198"/>
        <v>C52</v>
      </c>
      <c r="O2083" s="5">
        <f t="shared" si="199"/>
        <v>6.5917554942047989</v>
      </c>
      <c r="P2083" s="22">
        <f>O2083/Explications!$C$8</f>
        <v>0.21972518314015996</v>
      </c>
      <c r="Q2083" s="7" t="str">
        <f t="shared" si="200"/>
        <v>C52</v>
      </c>
      <c r="R2083" s="7" t="str">
        <f t="shared" si="201"/>
        <v>C29</v>
      </c>
      <c r="S2083" s="18">
        <f t="shared" si="202"/>
        <v>6.5917554942047989</v>
      </c>
      <c r="T2083" s="18">
        <f>S2083/Explications!$C$8</f>
        <v>0.21972518314015996</v>
      </c>
    </row>
    <row r="2084" spans="7:20">
      <c r="G2084" s="7" t="s">
        <v>45</v>
      </c>
      <c r="H2084" s="7" t="s">
        <v>69</v>
      </c>
      <c r="I2084" s="7">
        <v>46.839100000000002</v>
      </c>
      <c r="J2084" s="7">
        <v>-71.245699999999999</v>
      </c>
      <c r="K2084" s="7">
        <v>46.764600000000002</v>
      </c>
      <c r="L2084" s="7">
        <v>-71.308300000000003</v>
      </c>
      <c r="M2084" s="10" t="str">
        <f t="shared" si="197"/>
        <v>C29</v>
      </c>
      <c r="N2084" s="10" t="str">
        <f t="shared" si="198"/>
        <v>C53</v>
      </c>
      <c r="O2084" s="5">
        <f t="shared" si="199"/>
        <v>9.5566020211223979</v>
      </c>
      <c r="P2084" s="22">
        <f>O2084/Explications!$C$8</f>
        <v>0.31855340070407995</v>
      </c>
      <c r="Q2084" s="7" t="str">
        <f t="shared" si="200"/>
        <v>C53</v>
      </c>
      <c r="R2084" s="7" t="str">
        <f t="shared" si="201"/>
        <v>C29</v>
      </c>
      <c r="S2084" s="18">
        <f t="shared" si="202"/>
        <v>9.5566020211223979</v>
      </c>
      <c r="T2084" s="18">
        <f>S2084/Explications!$C$8</f>
        <v>0.31855340070407995</v>
      </c>
    </row>
    <row r="2085" spans="7:20">
      <c r="G2085" s="7" t="s">
        <v>45</v>
      </c>
      <c r="H2085" s="7" t="s">
        <v>70</v>
      </c>
      <c r="I2085" s="7">
        <v>46.839100000000002</v>
      </c>
      <c r="J2085" s="7">
        <v>-71.245699999999999</v>
      </c>
      <c r="K2085" s="7">
        <v>46.849699999999999</v>
      </c>
      <c r="L2085" s="7">
        <v>-71.097399999999993</v>
      </c>
      <c r="M2085" s="10" t="str">
        <f t="shared" si="197"/>
        <v>C29</v>
      </c>
      <c r="N2085" s="10" t="str">
        <f t="shared" si="198"/>
        <v>C54</v>
      </c>
      <c r="O2085" s="5">
        <f t="shared" si="199"/>
        <v>11.340422128657623</v>
      </c>
      <c r="P2085" s="22">
        <f>O2085/Explications!$C$8</f>
        <v>0.37801407095525413</v>
      </c>
      <c r="Q2085" s="7" t="str">
        <f t="shared" si="200"/>
        <v>C54</v>
      </c>
      <c r="R2085" s="7" t="str">
        <f t="shared" si="201"/>
        <v>C29</v>
      </c>
      <c r="S2085" s="18">
        <f t="shared" si="202"/>
        <v>11.340422128657623</v>
      </c>
      <c r="T2085" s="18">
        <f>S2085/Explications!$C$8</f>
        <v>0.37801407095525413</v>
      </c>
    </row>
    <row r="2086" spans="7:20">
      <c r="G2086" s="7" t="s">
        <v>45</v>
      </c>
      <c r="H2086" s="7" t="s">
        <v>71</v>
      </c>
      <c r="I2086" s="7">
        <v>46.839100000000002</v>
      </c>
      <c r="J2086" s="7">
        <v>-71.245699999999999</v>
      </c>
      <c r="K2086" s="7">
        <v>46.788899999999998</v>
      </c>
      <c r="L2086" s="7">
        <v>-71.321399999999997</v>
      </c>
      <c r="M2086" s="10" t="str">
        <f t="shared" si="197"/>
        <v>C29</v>
      </c>
      <c r="N2086" s="10" t="str">
        <f t="shared" si="198"/>
        <v>C55</v>
      </c>
      <c r="O2086" s="5">
        <f t="shared" si="199"/>
        <v>8.0214453841237869</v>
      </c>
      <c r="P2086" s="22">
        <f>O2086/Explications!$C$8</f>
        <v>0.26738151280412625</v>
      </c>
      <c r="Q2086" s="7" t="str">
        <f t="shared" si="200"/>
        <v>C55</v>
      </c>
      <c r="R2086" s="7" t="str">
        <f t="shared" si="201"/>
        <v>C29</v>
      </c>
      <c r="S2086" s="18">
        <f t="shared" si="202"/>
        <v>8.0214453841237869</v>
      </c>
      <c r="T2086" s="18">
        <f>S2086/Explications!$C$8</f>
        <v>0.26738151280412625</v>
      </c>
    </row>
    <row r="2087" spans="7:20">
      <c r="G2087" s="7" t="s">
        <v>45</v>
      </c>
      <c r="H2087" s="7" t="s">
        <v>72</v>
      </c>
      <c r="I2087" s="7">
        <v>46.839100000000002</v>
      </c>
      <c r="J2087" s="7">
        <v>-71.245699999999999</v>
      </c>
      <c r="K2087" s="7">
        <v>46.795400000000001</v>
      </c>
      <c r="L2087" s="7">
        <v>-71.232600000000005</v>
      </c>
      <c r="M2087" s="10" t="str">
        <f t="shared" si="197"/>
        <v>C29</v>
      </c>
      <c r="N2087" s="10" t="str">
        <f t="shared" si="198"/>
        <v>C56</v>
      </c>
      <c r="O2087" s="5">
        <f t="shared" si="199"/>
        <v>4.9604101370249376</v>
      </c>
      <c r="P2087" s="22">
        <f>O2087/Explications!$C$8</f>
        <v>0.16534700456749793</v>
      </c>
      <c r="Q2087" s="7" t="str">
        <f t="shared" si="200"/>
        <v>C56</v>
      </c>
      <c r="R2087" s="7" t="str">
        <f t="shared" si="201"/>
        <v>C29</v>
      </c>
      <c r="S2087" s="18">
        <f t="shared" si="202"/>
        <v>4.9604101370249376</v>
      </c>
      <c r="T2087" s="18">
        <f>S2087/Explications!$C$8</f>
        <v>0.16534700456749793</v>
      </c>
    </row>
    <row r="2088" spans="7:20">
      <c r="G2088" s="7" t="s">
        <v>45</v>
      </c>
      <c r="H2088" s="7" t="s">
        <v>73</v>
      </c>
      <c r="I2088" s="7">
        <v>46.839100000000002</v>
      </c>
      <c r="J2088" s="7">
        <v>-71.245699999999999</v>
      </c>
      <c r="K2088" s="7">
        <v>46.801200000000001</v>
      </c>
      <c r="L2088" s="7">
        <v>-71.224999999999994</v>
      </c>
      <c r="M2088" s="10" t="str">
        <f t="shared" si="197"/>
        <v>C29</v>
      </c>
      <c r="N2088" s="10" t="str">
        <f t="shared" si="198"/>
        <v>C57</v>
      </c>
      <c r="O2088" s="5">
        <f t="shared" si="199"/>
        <v>4.4990022731651944</v>
      </c>
      <c r="P2088" s="22">
        <f>O2088/Explications!$C$8</f>
        <v>0.14996674243883981</v>
      </c>
      <c r="Q2088" s="7" t="str">
        <f t="shared" si="200"/>
        <v>C57</v>
      </c>
      <c r="R2088" s="7" t="str">
        <f t="shared" si="201"/>
        <v>C29</v>
      </c>
      <c r="S2088" s="18">
        <f t="shared" si="202"/>
        <v>4.4990022731651944</v>
      </c>
      <c r="T2088" s="18">
        <f>S2088/Explications!$C$8</f>
        <v>0.14996674243883981</v>
      </c>
    </row>
    <row r="2089" spans="7:20">
      <c r="G2089" s="7" t="s">
        <v>45</v>
      </c>
      <c r="H2089" s="7" t="s">
        <v>74</v>
      </c>
      <c r="I2089" s="7">
        <v>46.839100000000002</v>
      </c>
      <c r="J2089" s="7">
        <v>-71.245699999999999</v>
      </c>
      <c r="K2089" s="7">
        <v>46.773200000000003</v>
      </c>
      <c r="L2089" s="7">
        <v>-71.275899999999993</v>
      </c>
      <c r="M2089" s="10" t="str">
        <f t="shared" si="197"/>
        <v>C29</v>
      </c>
      <c r="N2089" s="10" t="str">
        <f t="shared" si="198"/>
        <v>C58</v>
      </c>
      <c r="O2089" s="5">
        <f t="shared" si="199"/>
        <v>7.6797775300367173</v>
      </c>
      <c r="P2089" s="22">
        <f>O2089/Explications!$C$8</f>
        <v>0.25599258433455724</v>
      </c>
      <c r="Q2089" s="7" t="str">
        <f t="shared" si="200"/>
        <v>C58</v>
      </c>
      <c r="R2089" s="7" t="str">
        <f t="shared" si="201"/>
        <v>C29</v>
      </c>
      <c r="S2089" s="18">
        <f t="shared" si="202"/>
        <v>7.6797775300367173</v>
      </c>
      <c r="T2089" s="18">
        <f>S2089/Explications!$C$8</f>
        <v>0.25599258433455724</v>
      </c>
    </row>
    <row r="2090" spans="7:20">
      <c r="G2090" s="7" t="s">
        <v>45</v>
      </c>
      <c r="H2090" s="7" t="s">
        <v>75</v>
      </c>
      <c r="I2090" s="7">
        <v>46.839100000000002</v>
      </c>
      <c r="J2090" s="7">
        <v>-71.245699999999999</v>
      </c>
      <c r="K2090" s="7">
        <v>46.814399999999999</v>
      </c>
      <c r="L2090" s="7">
        <v>-71.225700000000003</v>
      </c>
      <c r="M2090" s="10" t="str">
        <f t="shared" si="197"/>
        <v>C29</v>
      </c>
      <c r="N2090" s="10" t="str">
        <f t="shared" si="198"/>
        <v>C59</v>
      </c>
      <c r="O2090" s="5">
        <f t="shared" si="199"/>
        <v>3.1398452781974879</v>
      </c>
      <c r="P2090" s="22">
        <f>O2090/Explications!$C$8</f>
        <v>0.1046615092732496</v>
      </c>
      <c r="Q2090" s="7" t="str">
        <f t="shared" si="200"/>
        <v>C59</v>
      </c>
      <c r="R2090" s="7" t="str">
        <f t="shared" si="201"/>
        <v>C29</v>
      </c>
      <c r="S2090" s="18">
        <f t="shared" si="202"/>
        <v>3.1398452781974879</v>
      </c>
      <c r="T2090" s="18">
        <f>S2090/Explications!$C$8</f>
        <v>0.1046615092732496</v>
      </c>
    </row>
    <row r="2091" spans="7:20">
      <c r="G2091" s="7" t="s">
        <v>45</v>
      </c>
      <c r="H2091" s="7" t="s">
        <v>76</v>
      </c>
      <c r="I2091" s="7">
        <v>46.839100000000002</v>
      </c>
      <c r="J2091" s="7">
        <v>-71.245699999999999</v>
      </c>
      <c r="K2091" s="7">
        <v>46.772500000000001</v>
      </c>
      <c r="L2091" s="7">
        <v>-71.276300000000006</v>
      </c>
      <c r="M2091" s="10" t="str">
        <f t="shared" si="197"/>
        <v>C29</v>
      </c>
      <c r="N2091" s="10" t="str">
        <f t="shared" si="198"/>
        <v>C60</v>
      </c>
      <c r="O2091" s="5">
        <f t="shared" si="199"/>
        <v>7.7631643377479458</v>
      </c>
      <c r="P2091" s="22">
        <f>O2091/Explications!$C$8</f>
        <v>0.2587721445915982</v>
      </c>
      <c r="Q2091" s="7" t="str">
        <f t="shared" si="200"/>
        <v>C60</v>
      </c>
      <c r="R2091" s="7" t="str">
        <f t="shared" si="201"/>
        <v>C29</v>
      </c>
      <c r="S2091" s="18">
        <f t="shared" si="202"/>
        <v>7.7631643377479458</v>
      </c>
      <c r="T2091" s="18">
        <f>S2091/Explications!$C$8</f>
        <v>0.2587721445915982</v>
      </c>
    </row>
    <row r="2092" spans="7:20">
      <c r="G2092" s="7" t="s">
        <v>45</v>
      </c>
      <c r="H2092" s="7" t="s">
        <v>77</v>
      </c>
      <c r="I2092" s="7">
        <v>46.839100000000002</v>
      </c>
      <c r="J2092" s="7">
        <v>-71.245699999999999</v>
      </c>
      <c r="K2092" s="7">
        <v>46.810899999999997</v>
      </c>
      <c r="L2092" s="7">
        <v>-71.215599999999995</v>
      </c>
      <c r="M2092" s="10" t="str">
        <f t="shared" si="197"/>
        <v>C29</v>
      </c>
      <c r="N2092" s="10" t="str">
        <f t="shared" si="198"/>
        <v>C61</v>
      </c>
      <c r="O2092" s="5">
        <f t="shared" si="199"/>
        <v>3.8829262127327668</v>
      </c>
      <c r="P2092" s="22">
        <f>O2092/Explications!$C$8</f>
        <v>0.12943087375775889</v>
      </c>
      <c r="Q2092" s="7" t="str">
        <f t="shared" si="200"/>
        <v>C61</v>
      </c>
      <c r="R2092" s="7" t="str">
        <f t="shared" si="201"/>
        <v>C29</v>
      </c>
      <c r="S2092" s="18">
        <f t="shared" si="202"/>
        <v>3.8829262127327668</v>
      </c>
      <c r="T2092" s="18">
        <f>S2092/Explications!$C$8</f>
        <v>0.12943087375775889</v>
      </c>
    </row>
    <row r="2093" spans="7:20">
      <c r="G2093" s="7" t="s">
        <v>45</v>
      </c>
      <c r="H2093" s="7" t="s">
        <v>78</v>
      </c>
      <c r="I2093" s="7">
        <v>46.839100000000002</v>
      </c>
      <c r="J2093" s="7">
        <v>-71.245699999999999</v>
      </c>
      <c r="K2093" s="7">
        <v>46.795200000000001</v>
      </c>
      <c r="L2093" s="7">
        <v>-71.245099999999994</v>
      </c>
      <c r="M2093" s="10" t="str">
        <f t="shared" si="197"/>
        <v>C29</v>
      </c>
      <c r="N2093" s="10" t="str">
        <f t="shared" si="198"/>
        <v>C62</v>
      </c>
      <c r="O2093" s="5">
        <f t="shared" si="199"/>
        <v>4.8816707873263265</v>
      </c>
      <c r="P2093" s="22">
        <f>O2093/Explications!$C$8</f>
        <v>0.16272235957754422</v>
      </c>
      <c r="Q2093" s="7" t="str">
        <f t="shared" si="200"/>
        <v>C62</v>
      </c>
      <c r="R2093" s="7" t="str">
        <f t="shared" si="201"/>
        <v>C29</v>
      </c>
      <c r="S2093" s="18">
        <f t="shared" si="202"/>
        <v>4.8816707873263265</v>
      </c>
      <c r="T2093" s="18">
        <f>S2093/Explications!$C$8</f>
        <v>0.16272235957754422</v>
      </c>
    </row>
    <row r="2094" spans="7:20">
      <c r="G2094" s="7" t="s">
        <v>45</v>
      </c>
      <c r="H2094" s="7" t="s">
        <v>79</v>
      </c>
      <c r="I2094" s="7">
        <v>46.839100000000002</v>
      </c>
      <c r="J2094" s="7">
        <v>-71.245699999999999</v>
      </c>
      <c r="K2094" s="7">
        <v>46.822000000000003</v>
      </c>
      <c r="L2094" s="7">
        <v>-71.345699999999994</v>
      </c>
      <c r="M2094" s="10" t="str">
        <f t="shared" si="197"/>
        <v>C29</v>
      </c>
      <c r="N2094" s="10" t="str">
        <f t="shared" si="198"/>
        <v>C63</v>
      </c>
      <c r="O2094" s="5">
        <f t="shared" si="199"/>
        <v>7.8415174226138431</v>
      </c>
      <c r="P2094" s="22">
        <f>O2094/Explications!$C$8</f>
        <v>0.26138391408712808</v>
      </c>
      <c r="Q2094" s="7" t="str">
        <f t="shared" si="200"/>
        <v>C63</v>
      </c>
      <c r="R2094" s="7" t="str">
        <f t="shared" si="201"/>
        <v>C29</v>
      </c>
      <c r="S2094" s="18">
        <f t="shared" si="202"/>
        <v>7.8415174226138431</v>
      </c>
      <c r="T2094" s="18">
        <f>S2094/Explications!$C$8</f>
        <v>0.26138391408712808</v>
      </c>
    </row>
    <row r="2095" spans="7:20">
      <c r="G2095" s="7" t="s">
        <v>45</v>
      </c>
      <c r="H2095" s="7" t="s">
        <v>80</v>
      </c>
      <c r="I2095" s="7">
        <v>46.839100000000002</v>
      </c>
      <c r="J2095" s="7">
        <v>-71.245699999999999</v>
      </c>
      <c r="K2095" s="7">
        <v>46.779400000000003</v>
      </c>
      <c r="L2095" s="7">
        <v>-71.350399999999993</v>
      </c>
      <c r="M2095" s="10" t="str">
        <f t="shared" si="197"/>
        <v>C29</v>
      </c>
      <c r="N2095" s="10" t="str">
        <f t="shared" si="198"/>
        <v>C64</v>
      </c>
      <c r="O2095" s="5">
        <f t="shared" si="199"/>
        <v>10.371100371737807</v>
      </c>
      <c r="P2095" s="22">
        <f>O2095/Explications!$C$8</f>
        <v>0.34570334572459355</v>
      </c>
      <c r="Q2095" s="7" t="str">
        <f t="shared" si="200"/>
        <v>C64</v>
      </c>
      <c r="R2095" s="7" t="str">
        <f t="shared" si="201"/>
        <v>C29</v>
      </c>
      <c r="S2095" s="18">
        <f t="shared" si="202"/>
        <v>10.371100371737807</v>
      </c>
      <c r="T2095" s="18">
        <f>S2095/Explications!$C$8</f>
        <v>0.34570334572459355</v>
      </c>
    </row>
    <row r="2096" spans="7:20">
      <c r="G2096" s="7" t="s">
        <v>45</v>
      </c>
      <c r="H2096" s="7" t="s">
        <v>81</v>
      </c>
      <c r="I2096" s="7">
        <v>46.839100000000002</v>
      </c>
      <c r="J2096" s="7">
        <v>-71.245699999999999</v>
      </c>
      <c r="K2096" s="7">
        <v>46.772300000000001</v>
      </c>
      <c r="L2096" s="7">
        <v>-71.279799999999994</v>
      </c>
      <c r="M2096" s="10" t="str">
        <f t="shared" si="197"/>
        <v>C29</v>
      </c>
      <c r="N2096" s="10" t="str">
        <f t="shared" si="198"/>
        <v>C65</v>
      </c>
      <c r="O2096" s="5">
        <f t="shared" si="199"/>
        <v>7.8681883237924488</v>
      </c>
      <c r="P2096" s="22">
        <f>O2096/Explications!$C$8</f>
        <v>0.26227294412641494</v>
      </c>
      <c r="Q2096" s="7" t="str">
        <f t="shared" si="200"/>
        <v>C65</v>
      </c>
      <c r="R2096" s="7" t="str">
        <f t="shared" si="201"/>
        <v>C29</v>
      </c>
      <c r="S2096" s="18">
        <f t="shared" si="202"/>
        <v>7.8681883237924488</v>
      </c>
      <c r="T2096" s="18">
        <f>S2096/Explications!$C$8</f>
        <v>0.26227294412641494</v>
      </c>
    </row>
    <row r="2097" spans="7:20">
      <c r="G2097" s="7" t="s">
        <v>45</v>
      </c>
      <c r="H2097" s="7" t="s">
        <v>82</v>
      </c>
      <c r="I2097" s="7">
        <v>46.839100000000002</v>
      </c>
      <c r="J2097" s="7">
        <v>-71.245699999999999</v>
      </c>
      <c r="K2097" s="7">
        <v>46.814900000000002</v>
      </c>
      <c r="L2097" s="7">
        <v>-71.225200000000001</v>
      </c>
      <c r="M2097" s="10" t="str">
        <f t="shared" si="197"/>
        <v>C29</v>
      </c>
      <c r="N2097" s="10" t="str">
        <f t="shared" si="198"/>
        <v>C66</v>
      </c>
      <c r="O2097" s="5">
        <f t="shared" si="199"/>
        <v>3.1102266256861597</v>
      </c>
      <c r="P2097" s="22">
        <f>O2097/Explications!$C$8</f>
        <v>0.10367422085620533</v>
      </c>
      <c r="Q2097" s="7" t="str">
        <f t="shared" si="200"/>
        <v>C66</v>
      </c>
      <c r="R2097" s="7" t="str">
        <f t="shared" si="201"/>
        <v>C29</v>
      </c>
      <c r="S2097" s="18">
        <f t="shared" si="202"/>
        <v>3.1102266256861597</v>
      </c>
      <c r="T2097" s="18">
        <f>S2097/Explications!$C$8</f>
        <v>0.10367422085620533</v>
      </c>
    </row>
    <row r="2098" spans="7:20">
      <c r="G2098" s="7" t="s">
        <v>45</v>
      </c>
      <c r="H2098" s="7" t="s">
        <v>83</v>
      </c>
      <c r="I2098" s="7">
        <v>46.839100000000002</v>
      </c>
      <c r="J2098" s="7">
        <v>-71.245699999999999</v>
      </c>
      <c r="K2098" s="7">
        <v>46.814700000000002</v>
      </c>
      <c r="L2098" s="7">
        <v>-71.207300000000004</v>
      </c>
      <c r="M2098" s="10" t="str">
        <f t="shared" si="197"/>
        <v>C29</v>
      </c>
      <c r="N2098" s="10" t="str">
        <f t="shared" si="198"/>
        <v>C67</v>
      </c>
      <c r="O2098" s="5">
        <f t="shared" si="199"/>
        <v>3.9870085462585658</v>
      </c>
      <c r="P2098" s="22">
        <f>O2098/Explications!$C$8</f>
        <v>0.13290028487528552</v>
      </c>
      <c r="Q2098" s="7" t="str">
        <f t="shared" si="200"/>
        <v>C67</v>
      </c>
      <c r="R2098" s="7" t="str">
        <f t="shared" si="201"/>
        <v>C29</v>
      </c>
      <c r="S2098" s="18">
        <f t="shared" si="202"/>
        <v>3.9870085462585658</v>
      </c>
      <c r="T2098" s="18">
        <f>S2098/Explications!$C$8</f>
        <v>0.13290028487528552</v>
      </c>
    </row>
    <row r="2099" spans="7:20">
      <c r="G2099" s="7" t="s">
        <v>45</v>
      </c>
      <c r="H2099" s="7" t="s">
        <v>84</v>
      </c>
      <c r="I2099" s="7">
        <v>46.839100000000002</v>
      </c>
      <c r="J2099" s="7">
        <v>-71.245699999999999</v>
      </c>
      <c r="K2099" s="7">
        <v>46.815600000000003</v>
      </c>
      <c r="L2099" s="7">
        <v>-71.2029</v>
      </c>
      <c r="M2099" s="10" t="str">
        <f t="shared" si="197"/>
        <v>C29</v>
      </c>
      <c r="N2099" s="10" t="str">
        <f t="shared" si="198"/>
        <v>C68</v>
      </c>
      <c r="O2099" s="5">
        <f t="shared" si="199"/>
        <v>4.1750491652879917</v>
      </c>
      <c r="P2099" s="22">
        <f>O2099/Explications!$C$8</f>
        <v>0.13916830550959972</v>
      </c>
      <c r="Q2099" s="7" t="str">
        <f t="shared" si="200"/>
        <v>C68</v>
      </c>
      <c r="R2099" s="7" t="str">
        <f t="shared" si="201"/>
        <v>C29</v>
      </c>
      <c r="S2099" s="18">
        <f t="shared" si="202"/>
        <v>4.1750491652879917</v>
      </c>
      <c r="T2099" s="18">
        <f>S2099/Explications!$C$8</f>
        <v>0.13916830550959972</v>
      </c>
    </row>
    <row r="2100" spans="7:20">
      <c r="G2100" s="7" t="s">
        <v>45</v>
      </c>
      <c r="H2100" s="7" t="s">
        <v>85</v>
      </c>
      <c r="I2100" s="7">
        <v>46.839100000000002</v>
      </c>
      <c r="J2100" s="7">
        <v>-71.245699999999999</v>
      </c>
      <c r="K2100" s="7">
        <v>46.821899999999999</v>
      </c>
      <c r="L2100" s="7">
        <v>-71.249899999999997</v>
      </c>
      <c r="M2100" s="10" t="str">
        <f t="shared" si="197"/>
        <v>C29</v>
      </c>
      <c r="N2100" s="10" t="str">
        <f t="shared" si="198"/>
        <v>C69</v>
      </c>
      <c r="O2100" s="5">
        <f t="shared" si="199"/>
        <v>1.9390584905914703</v>
      </c>
      <c r="P2100" s="22">
        <f>O2100/Explications!$C$8</f>
        <v>6.4635283019715675E-2</v>
      </c>
      <c r="Q2100" s="7" t="str">
        <f t="shared" si="200"/>
        <v>C69</v>
      </c>
      <c r="R2100" s="7" t="str">
        <f t="shared" si="201"/>
        <v>C29</v>
      </c>
      <c r="S2100" s="18">
        <f t="shared" si="202"/>
        <v>1.9390584905914703</v>
      </c>
      <c r="T2100" s="18">
        <f>S2100/Explications!$C$8</f>
        <v>6.4635283019715675E-2</v>
      </c>
    </row>
    <row r="2101" spans="7:20">
      <c r="G2101" s="7" t="s">
        <v>45</v>
      </c>
      <c r="H2101" s="7" t="s">
        <v>86</v>
      </c>
      <c r="I2101" s="7">
        <v>46.839100000000002</v>
      </c>
      <c r="J2101" s="7">
        <v>-71.245699999999999</v>
      </c>
      <c r="K2101" s="7">
        <v>46.8872</v>
      </c>
      <c r="L2101" s="7">
        <v>-71.27</v>
      </c>
      <c r="M2101" s="10" t="str">
        <f t="shared" si="197"/>
        <v>C29</v>
      </c>
      <c r="N2101" s="10" t="str">
        <f t="shared" si="198"/>
        <v>C70</v>
      </c>
      <c r="O2101" s="5">
        <f t="shared" si="199"/>
        <v>5.658572973923861</v>
      </c>
      <c r="P2101" s="22">
        <f>O2101/Explications!$C$8</f>
        <v>0.18861909913079536</v>
      </c>
      <c r="Q2101" s="7" t="str">
        <f t="shared" si="200"/>
        <v>C70</v>
      </c>
      <c r="R2101" s="7" t="str">
        <f t="shared" si="201"/>
        <v>C29</v>
      </c>
      <c r="S2101" s="18">
        <f t="shared" si="202"/>
        <v>5.658572973923861</v>
      </c>
      <c r="T2101" s="18">
        <f>S2101/Explications!$C$8</f>
        <v>0.18861909913079536</v>
      </c>
    </row>
    <row r="2102" spans="7:20">
      <c r="G2102" s="7" t="s">
        <v>45</v>
      </c>
      <c r="H2102" s="7" t="s">
        <v>87</v>
      </c>
      <c r="I2102" s="7">
        <v>46.839100000000002</v>
      </c>
      <c r="J2102" s="7">
        <v>-71.245699999999999</v>
      </c>
      <c r="K2102" s="7">
        <v>46.816299999999998</v>
      </c>
      <c r="L2102" s="7">
        <v>-71.210300000000004</v>
      </c>
      <c r="M2102" s="10" t="str">
        <f t="shared" si="197"/>
        <v>C29</v>
      </c>
      <c r="N2102" s="10" t="str">
        <f t="shared" si="198"/>
        <v>C71</v>
      </c>
      <c r="O2102" s="5">
        <f t="shared" si="199"/>
        <v>3.6987518406541091</v>
      </c>
      <c r="P2102" s="22">
        <f>O2102/Explications!$C$8</f>
        <v>0.12329172802180363</v>
      </c>
      <c r="Q2102" s="7" t="str">
        <f t="shared" si="200"/>
        <v>C71</v>
      </c>
      <c r="R2102" s="7" t="str">
        <f t="shared" si="201"/>
        <v>C29</v>
      </c>
      <c r="S2102" s="18">
        <f t="shared" si="202"/>
        <v>3.6987518406541091</v>
      </c>
      <c r="T2102" s="18">
        <f>S2102/Explications!$C$8</f>
        <v>0.12329172802180363</v>
      </c>
    </row>
    <row r="2103" spans="7:20">
      <c r="G2103" s="7" t="s">
        <v>45</v>
      </c>
      <c r="H2103" s="7" t="s">
        <v>88</v>
      </c>
      <c r="I2103" s="7">
        <v>46.839100000000002</v>
      </c>
      <c r="J2103" s="7">
        <v>-71.245699999999999</v>
      </c>
      <c r="K2103" s="7">
        <v>46.807000000000002</v>
      </c>
      <c r="L2103" s="7">
        <v>-71.3566</v>
      </c>
      <c r="M2103" s="10" t="str">
        <f t="shared" si="197"/>
        <v>C29</v>
      </c>
      <c r="N2103" s="10" t="str">
        <f t="shared" si="198"/>
        <v>C72</v>
      </c>
      <c r="O2103" s="5">
        <f t="shared" si="199"/>
        <v>9.1617812274192811</v>
      </c>
      <c r="P2103" s="22">
        <f>O2103/Explications!$C$8</f>
        <v>0.30539270758064269</v>
      </c>
      <c r="Q2103" s="7" t="str">
        <f t="shared" si="200"/>
        <v>C72</v>
      </c>
      <c r="R2103" s="7" t="str">
        <f t="shared" si="201"/>
        <v>C29</v>
      </c>
      <c r="S2103" s="18">
        <f t="shared" si="202"/>
        <v>9.1617812274192811</v>
      </c>
      <c r="T2103" s="18">
        <f>S2103/Explications!$C$8</f>
        <v>0.30539270758064269</v>
      </c>
    </row>
    <row r="2104" spans="7:20">
      <c r="G2104" s="7" t="s">
        <v>45</v>
      </c>
      <c r="H2104" s="7" t="s">
        <v>89</v>
      </c>
      <c r="I2104" s="7">
        <v>46.839100000000002</v>
      </c>
      <c r="J2104" s="7">
        <v>-71.245699999999999</v>
      </c>
      <c r="K2104" s="7">
        <v>46.822899999999997</v>
      </c>
      <c r="L2104" s="7">
        <v>-71.341899999999995</v>
      </c>
      <c r="M2104" s="10" t="str">
        <f t="shared" si="197"/>
        <v>C29</v>
      </c>
      <c r="N2104" s="10" t="str">
        <f t="shared" si="198"/>
        <v>C73</v>
      </c>
      <c r="O2104" s="5">
        <f t="shared" si="199"/>
        <v>7.536782532482146</v>
      </c>
      <c r="P2104" s="22">
        <f>O2104/Explications!$C$8</f>
        <v>0.25122608441607153</v>
      </c>
      <c r="Q2104" s="7" t="str">
        <f t="shared" si="200"/>
        <v>C73</v>
      </c>
      <c r="R2104" s="7" t="str">
        <f t="shared" si="201"/>
        <v>C29</v>
      </c>
      <c r="S2104" s="18">
        <f t="shared" si="202"/>
        <v>7.536782532482146</v>
      </c>
      <c r="T2104" s="18">
        <f>S2104/Explications!$C$8</f>
        <v>0.25122608441607153</v>
      </c>
    </row>
    <row r="2105" spans="7:20">
      <c r="G2105" s="7" t="s">
        <v>45</v>
      </c>
      <c r="H2105" s="7" t="s">
        <v>90</v>
      </c>
      <c r="I2105" s="7">
        <v>46.839100000000002</v>
      </c>
      <c r="J2105" s="7">
        <v>-71.245699999999999</v>
      </c>
      <c r="K2105" s="7">
        <v>46.730699999999999</v>
      </c>
      <c r="L2105" s="7">
        <v>-71.261099999999999</v>
      </c>
      <c r="M2105" s="10" t="str">
        <f t="shared" si="197"/>
        <v>C29</v>
      </c>
      <c r="N2105" s="10" t="str">
        <f t="shared" si="198"/>
        <v>C74</v>
      </c>
      <c r="O2105" s="5">
        <f t="shared" si="199"/>
        <v>12.110427541199849</v>
      </c>
      <c r="P2105" s="22">
        <f>O2105/Explications!$C$8</f>
        <v>0.40368091803999495</v>
      </c>
      <c r="Q2105" s="7" t="str">
        <f t="shared" si="200"/>
        <v>C74</v>
      </c>
      <c r="R2105" s="7" t="str">
        <f t="shared" si="201"/>
        <v>C29</v>
      </c>
      <c r="S2105" s="18">
        <f t="shared" si="202"/>
        <v>12.110427541199849</v>
      </c>
      <c r="T2105" s="18">
        <f>S2105/Explications!$C$8</f>
        <v>0.40368091803999495</v>
      </c>
    </row>
    <row r="2106" spans="7:20">
      <c r="G2106" s="7" t="s">
        <v>45</v>
      </c>
      <c r="H2106" s="7" t="s">
        <v>91</v>
      </c>
      <c r="I2106" s="7">
        <v>46.839100000000002</v>
      </c>
      <c r="J2106" s="7">
        <v>-71.245699999999999</v>
      </c>
      <c r="K2106" s="7">
        <v>46.840600000000002</v>
      </c>
      <c r="L2106" s="7">
        <v>-71.289100000000005</v>
      </c>
      <c r="M2106" s="10" t="str">
        <f t="shared" si="197"/>
        <v>C29</v>
      </c>
      <c r="N2106" s="10" t="str">
        <f t="shared" si="198"/>
        <v>C75</v>
      </c>
      <c r="O2106" s="5">
        <f t="shared" si="199"/>
        <v>3.3052918219270362</v>
      </c>
      <c r="P2106" s="22">
        <f>O2106/Explications!$C$8</f>
        <v>0.11017639406423455</v>
      </c>
      <c r="Q2106" s="7" t="str">
        <f t="shared" si="200"/>
        <v>C75</v>
      </c>
      <c r="R2106" s="7" t="str">
        <f t="shared" si="201"/>
        <v>C29</v>
      </c>
      <c r="S2106" s="18">
        <f t="shared" si="202"/>
        <v>3.3052918219270362</v>
      </c>
      <c r="T2106" s="18">
        <f>S2106/Explications!$C$8</f>
        <v>0.11017639406423455</v>
      </c>
    </row>
    <row r="2107" spans="7:20">
      <c r="G2107" s="7" t="s">
        <v>45</v>
      </c>
      <c r="H2107" s="7" t="s">
        <v>92</v>
      </c>
      <c r="I2107" s="7">
        <v>46.839100000000002</v>
      </c>
      <c r="J2107" s="7">
        <v>-71.245699999999999</v>
      </c>
      <c r="K2107" s="7">
        <v>46.840600000000002</v>
      </c>
      <c r="L2107" s="7">
        <v>-71.281599999999997</v>
      </c>
      <c r="M2107" s="10" t="str">
        <f t="shared" si="197"/>
        <v>C29</v>
      </c>
      <c r="N2107" s="10" t="str">
        <f t="shared" si="198"/>
        <v>C76</v>
      </c>
      <c r="O2107" s="5">
        <f t="shared" si="199"/>
        <v>2.7357068115582717</v>
      </c>
      <c r="P2107" s="22">
        <f>O2107/Explications!$C$8</f>
        <v>9.1190227051942394E-2</v>
      </c>
      <c r="Q2107" s="7" t="str">
        <f t="shared" si="200"/>
        <v>C76</v>
      </c>
      <c r="R2107" s="7" t="str">
        <f t="shared" si="201"/>
        <v>C29</v>
      </c>
      <c r="S2107" s="18">
        <f t="shared" si="202"/>
        <v>2.7357068115582717</v>
      </c>
      <c r="T2107" s="18">
        <f>S2107/Explications!$C$8</f>
        <v>9.1190227051942394E-2</v>
      </c>
    </row>
    <row r="2108" spans="7:20">
      <c r="G2108" s="7" t="s">
        <v>45</v>
      </c>
      <c r="H2108" s="7" t="s">
        <v>93</v>
      </c>
      <c r="I2108" s="7">
        <v>46.839100000000002</v>
      </c>
      <c r="J2108" s="7">
        <v>-71.245699999999999</v>
      </c>
      <c r="K2108" s="7">
        <v>46.839399999999998</v>
      </c>
      <c r="L2108" s="7">
        <v>-71.282600000000002</v>
      </c>
      <c r="M2108" s="10" t="str">
        <f t="shared" si="197"/>
        <v>C29</v>
      </c>
      <c r="N2108" s="10" t="str">
        <f t="shared" si="198"/>
        <v>C77</v>
      </c>
      <c r="O2108" s="5">
        <f t="shared" si="199"/>
        <v>2.8069088635990118</v>
      </c>
      <c r="P2108" s="22">
        <f>O2108/Explications!$C$8</f>
        <v>9.3563628786633726E-2</v>
      </c>
      <c r="Q2108" s="7" t="str">
        <f t="shared" si="200"/>
        <v>C77</v>
      </c>
      <c r="R2108" s="7" t="str">
        <f t="shared" si="201"/>
        <v>C29</v>
      </c>
      <c r="S2108" s="18">
        <f t="shared" si="202"/>
        <v>2.8069088635990118</v>
      </c>
      <c r="T2108" s="18">
        <f>S2108/Explications!$C$8</f>
        <v>9.3563628786633726E-2</v>
      </c>
    </row>
    <row r="2109" spans="7:20">
      <c r="G2109" s="7" t="s">
        <v>45</v>
      </c>
      <c r="H2109" s="7" t="s">
        <v>94</v>
      </c>
      <c r="I2109" s="7">
        <v>46.839100000000002</v>
      </c>
      <c r="J2109" s="7">
        <v>-71.245699999999999</v>
      </c>
      <c r="K2109" s="7">
        <v>46.788499999999999</v>
      </c>
      <c r="L2109" s="7">
        <v>-71.282399999999996</v>
      </c>
      <c r="M2109" s="10" t="str">
        <f t="shared" si="197"/>
        <v>C29</v>
      </c>
      <c r="N2109" s="10" t="str">
        <f t="shared" si="198"/>
        <v>C78</v>
      </c>
      <c r="O2109" s="5">
        <f t="shared" si="199"/>
        <v>6.2814752067792234</v>
      </c>
      <c r="P2109" s="22">
        <f>O2109/Explications!$C$8</f>
        <v>0.20938250689264079</v>
      </c>
      <c r="Q2109" s="7" t="str">
        <f t="shared" si="200"/>
        <v>C78</v>
      </c>
      <c r="R2109" s="7" t="str">
        <f t="shared" si="201"/>
        <v>C29</v>
      </c>
      <c r="S2109" s="18">
        <f t="shared" si="202"/>
        <v>6.2814752067792234</v>
      </c>
      <c r="T2109" s="18">
        <f>S2109/Explications!$C$8</f>
        <v>0.20938250689264079</v>
      </c>
    </row>
    <row r="2110" spans="7:20">
      <c r="G2110" s="7" t="s">
        <v>45</v>
      </c>
      <c r="H2110" s="7" t="s">
        <v>95</v>
      </c>
      <c r="I2110" s="7">
        <v>46.839100000000002</v>
      </c>
      <c r="J2110" s="7">
        <v>-71.245699999999999</v>
      </c>
      <c r="K2110" s="7">
        <v>46.840699999999998</v>
      </c>
      <c r="L2110" s="7">
        <v>-71.325400000000002</v>
      </c>
      <c r="M2110" s="10" t="str">
        <f t="shared" si="197"/>
        <v>C29</v>
      </c>
      <c r="N2110" s="10" t="str">
        <f t="shared" si="198"/>
        <v>C79</v>
      </c>
      <c r="O2110" s="5">
        <f t="shared" si="199"/>
        <v>6.0647273076971029</v>
      </c>
      <c r="P2110" s="22">
        <f>O2110/Explications!$C$8</f>
        <v>0.20215757692323677</v>
      </c>
      <c r="Q2110" s="7" t="str">
        <f t="shared" si="200"/>
        <v>C79</v>
      </c>
      <c r="R2110" s="7" t="str">
        <f t="shared" si="201"/>
        <v>C29</v>
      </c>
      <c r="S2110" s="18">
        <f t="shared" si="202"/>
        <v>6.0647273076971029</v>
      </c>
      <c r="T2110" s="18">
        <f>S2110/Explications!$C$8</f>
        <v>0.20215757692323677</v>
      </c>
    </row>
    <row r="2111" spans="7:20">
      <c r="G2111" s="7" t="s">
        <v>45</v>
      </c>
      <c r="H2111" s="7" t="s">
        <v>96</v>
      </c>
      <c r="I2111" s="7">
        <v>46.839100000000002</v>
      </c>
      <c r="J2111" s="7">
        <v>-71.245699999999999</v>
      </c>
      <c r="K2111" s="7">
        <v>46.798400000000001</v>
      </c>
      <c r="L2111" s="7">
        <v>-71.183199999999999</v>
      </c>
      <c r="M2111" s="10" t="str">
        <f t="shared" si="197"/>
        <v>C29</v>
      </c>
      <c r="N2111" s="10" t="str">
        <f t="shared" si="198"/>
        <v>C80</v>
      </c>
      <c r="O2111" s="5">
        <f t="shared" si="199"/>
        <v>6.5649291281884938</v>
      </c>
      <c r="P2111" s="22">
        <f>O2111/Explications!$C$8</f>
        <v>0.21883097093961645</v>
      </c>
      <c r="Q2111" s="7" t="str">
        <f t="shared" si="200"/>
        <v>C80</v>
      </c>
      <c r="R2111" s="7" t="str">
        <f t="shared" si="201"/>
        <v>C29</v>
      </c>
      <c r="S2111" s="18">
        <f t="shared" si="202"/>
        <v>6.5649291281884938</v>
      </c>
      <c r="T2111" s="18">
        <f>S2111/Explications!$C$8</f>
        <v>0.21883097093961645</v>
      </c>
    </row>
    <row r="2112" spans="7:20">
      <c r="G2112" s="7" t="s">
        <v>45</v>
      </c>
      <c r="H2112" s="7" t="s">
        <v>97</v>
      </c>
      <c r="I2112" s="7">
        <v>46.839100000000002</v>
      </c>
      <c r="J2112" s="7">
        <v>-71.245699999999999</v>
      </c>
      <c r="K2112" s="7">
        <v>46.724800000000002</v>
      </c>
      <c r="L2112" s="7">
        <v>-71.2988</v>
      </c>
      <c r="M2112" s="10" t="str">
        <f t="shared" si="197"/>
        <v>C29</v>
      </c>
      <c r="N2112" s="10" t="str">
        <f t="shared" si="198"/>
        <v>C81</v>
      </c>
      <c r="O2112" s="5">
        <f t="shared" si="199"/>
        <v>13.337207866372681</v>
      </c>
      <c r="P2112" s="22">
        <f>O2112/Explications!$C$8</f>
        <v>0.44457359554575604</v>
      </c>
      <c r="Q2112" s="7" t="str">
        <f t="shared" si="200"/>
        <v>C81</v>
      </c>
      <c r="R2112" s="7" t="str">
        <f t="shared" si="201"/>
        <v>C29</v>
      </c>
      <c r="S2112" s="18">
        <f t="shared" si="202"/>
        <v>13.337207866372681</v>
      </c>
      <c r="T2112" s="18">
        <f>S2112/Explications!$C$8</f>
        <v>0.44457359554575604</v>
      </c>
    </row>
    <row r="2113" spans="7:20">
      <c r="G2113" s="7" t="s">
        <v>45</v>
      </c>
      <c r="H2113" s="7" t="s">
        <v>98</v>
      </c>
      <c r="I2113" s="7">
        <v>46.839100000000002</v>
      </c>
      <c r="J2113" s="7">
        <v>-71.245699999999999</v>
      </c>
      <c r="K2113" s="7">
        <v>46.795499999999997</v>
      </c>
      <c r="L2113" s="7">
        <v>-71.242900000000006</v>
      </c>
      <c r="M2113" s="10" t="str">
        <f t="shared" si="197"/>
        <v>C29</v>
      </c>
      <c r="N2113" s="10" t="str">
        <f t="shared" si="198"/>
        <v>C82</v>
      </c>
      <c r="O2113" s="5">
        <f t="shared" si="199"/>
        <v>4.8527783306250853</v>
      </c>
      <c r="P2113" s="22">
        <f>O2113/Explications!$C$8</f>
        <v>0.16175927768750284</v>
      </c>
      <c r="Q2113" s="7" t="str">
        <f t="shared" si="200"/>
        <v>C82</v>
      </c>
      <c r="R2113" s="7" t="str">
        <f t="shared" si="201"/>
        <v>C29</v>
      </c>
      <c r="S2113" s="18">
        <f t="shared" si="202"/>
        <v>4.8527783306250853</v>
      </c>
      <c r="T2113" s="18">
        <f>S2113/Explications!$C$8</f>
        <v>0.16175927768750284</v>
      </c>
    </row>
    <row r="2114" spans="7:20">
      <c r="G2114" s="7" t="s">
        <v>45</v>
      </c>
      <c r="H2114" s="7" t="s">
        <v>99</v>
      </c>
      <c r="I2114" s="7">
        <v>46.839100000000002</v>
      </c>
      <c r="J2114" s="7">
        <v>-71.245699999999999</v>
      </c>
      <c r="K2114" s="7">
        <v>46.8157</v>
      </c>
      <c r="L2114" s="7">
        <v>-71.201899999999995</v>
      </c>
      <c r="M2114" s="10" t="str">
        <f t="shared" si="197"/>
        <v>C29</v>
      </c>
      <c r="N2114" s="10" t="str">
        <f t="shared" si="198"/>
        <v>C83</v>
      </c>
      <c r="O2114" s="5">
        <f t="shared" si="199"/>
        <v>4.227797813864596</v>
      </c>
      <c r="P2114" s="22">
        <f>O2114/Explications!$C$8</f>
        <v>0.14092659379548653</v>
      </c>
      <c r="Q2114" s="7" t="str">
        <f t="shared" si="200"/>
        <v>C83</v>
      </c>
      <c r="R2114" s="7" t="str">
        <f t="shared" si="201"/>
        <v>C29</v>
      </c>
      <c r="S2114" s="18">
        <f t="shared" si="202"/>
        <v>4.227797813864596</v>
      </c>
      <c r="T2114" s="18">
        <f>S2114/Explications!$C$8</f>
        <v>0.14092659379548653</v>
      </c>
    </row>
    <row r="2115" spans="7:20">
      <c r="G2115" s="7" t="s">
        <v>45</v>
      </c>
      <c r="H2115" s="7" t="s">
        <v>100</v>
      </c>
      <c r="I2115" s="7">
        <v>46.839100000000002</v>
      </c>
      <c r="J2115" s="7">
        <v>-71.245699999999999</v>
      </c>
      <c r="K2115" s="7">
        <v>46.837600000000002</v>
      </c>
      <c r="L2115" s="7">
        <v>-71.196299999999994</v>
      </c>
      <c r="M2115" s="10" t="str">
        <f t="shared" si="197"/>
        <v>C29</v>
      </c>
      <c r="N2115" s="10" t="str">
        <f t="shared" si="198"/>
        <v>C84</v>
      </c>
      <c r="O2115" s="5">
        <f t="shared" si="199"/>
        <v>3.7612562918880061</v>
      </c>
      <c r="P2115" s="22">
        <f>O2115/Explications!$C$8</f>
        <v>0.1253752097296002</v>
      </c>
      <c r="Q2115" s="7" t="str">
        <f t="shared" si="200"/>
        <v>C84</v>
      </c>
      <c r="R2115" s="7" t="str">
        <f t="shared" si="201"/>
        <v>C29</v>
      </c>
      <c r="S2115" s="18">
        <f t="shared" si="202"/>
        <v>3.7612562918880061</v>
      </c>
      <c r="T2115" s="18">
        <f>S2115/Explications!$C$8</f>
        <v>0.1253752097296002</v>
      </c>
    </row>
    <row r="2116" spans="7:20">
      <c r="G2116" s="7" t="s">
        <v>45</v>
      </c>
      <c r="H2116" s="7" t="s">
        <v>101</v>
      </c>
      <c r="I2116" s="7">
        <v>46.839100000000002</v>
      </c>
      <c r="J2116" s="7">
        <v>-71.245699999999999</v>
      </c>
      <c r="K2116" s="7">
        <v>46.7988</v>
      </c>
      <c r="L2116" s="7">
        <v>-71.318200000000004</v>
      </c>
      <c r="M2116" s="10" t="str">
        <f t="shared" ref="M2116:M2179" si="203">G2116</f>
        <v>C29</v>
      </c>
      <c r="N2116" s="10" t="str">
        <f t="shared" ref="N2116:N2179" si="204">H2116</f>
        <v>C85</v>
      </c>
      <c r="O2116" s="5">
        <f t="shared" ref="O2116:O2179" si="205">ACOS(SIN(RADIANS(I2116))*SIN(RADIANS(K2116))+COS(RADIANS(I2116))*COS(RADIANS(K2116))*COS(RADIANS(J2116-L2116)))*6371</f>
        <v>7.1073115113475653</v>
      </c>
      <c r="P2116" s="22">
        <f>O2116/Explications!$C$8</f>
        <v>0.23691038371158551</v>
      </c>
      <c r="Q2116" s="7" t="str">
        <f t="shared" ref="Q2116:Q2179" si="206">N2116</f>
        <v>C85</v>
      </c>
      <c r="R2116" s="7" t="str">
        <f t="shared" ref="R2116:R2179" si="207">M2116</f>
        <v>C29</v>
      </c>
      <c r="S2116" s="18">
        <f t="shared" ref="S2116:S2179" si="208">O2116</f>
        <v>7.1073115113475653</v>
      </c>
      <c r="T2116" s="18">
        <f>S2116/Explications!$C$8</f>
        <v>0.23691038371158551</v>
      </c>
    </row>
    <row r="2117" spans="7:20">
      <c r="G2117" s="7" t="s">
        <v>46</v>
      </c>
      <c r="H2117" s="7" t="s">
        <v>47</v>
      </c>
      <c r="I2117" s="7">
        <v>46.865699999999997</v>
      </c>
      <c r="J2117" s="7">
        <v>-71.27</v>
      </c>
      <c r="K2117" s="7">
        <v>46.805500000000002</v>
      </c>
      <c r="L2117" s="7">
        <v>-71.217299999999994</v>
      </c>
      <c r="M2117" s="10" t="str">
        <f t="shared" si="203"/>
        <v>C30</v>
      </c>
      <c r="N2117" s="10" t="str">
        <f t="shared" si="204"/>
        <v>C31</v>
      </c>
      <c r="O2117" s="5">
        <f t="shared" si="205"/>
        <v>7.8025001635963633</v>
      </c>
      <c r="P2117" s="22">
        <f>O2117/Explications!$C$8</f>
        <v>0.26008333878654544</v>
      </c>
      <c r="Q2117" s="7" t="str">
        <f t="shared" si="206"/>
        <v>C31</v>
      </c>
      <c r="R2117" s="7" t="str">
        <f t="shared" si="207"/>
        <v>C30</v>
      </c>
      <c r="S2117" s="18">
        <f t="shared" si="208"/>
        <v>7.8025001635963633</v>
      </c>
      <c r="T2117" s="18">
        <f>S2117/Explications!$C$8</f>
        <v>0.26008333878654544</v>
      </c>
    </row>
    <row r="2118" spans="7:20">
      <c r="G2118" s="7" t="s">
        <v>46</v>
      </c>
      <c r="H2118" s="7" t="s">
        <v>48</v>
      </c>
      <c r="I2118" s="7">
        <v>46.865699999999997</v>
      </c>
      <c r="J2118" s="7">
        <v>-71.27</v>
      </c>
      <c r="K2118" s="7">
        <v>46.792299999999997</v>
      </c>
      <c r="L2118" s="7">
        <v>-71.172899999999998</v>
      </c>
      <c r="M2118" s="10" t="str">
        <f t="shared" si="203"/>
        <v>C30</v>
      </c>
      <c r="N2118" s="10" t="str">
        <f t="shared" si="204"/>
        <v>C32</v>
      </c>
      <c r="O2118" s="5">
        <f t="shared" si="205"/>
        <v>11.008293142980712</v>
      </c>
      <c r="P2118" s="22">
        <f>O2118/Explications!$C$8</f>
        <v>0.36694310476602371</v>
      </c>
      <c r="Q2118" s="7" t="str">
        <f t="shared" si="206"/>
        <v>C32</v>
      </c>
      <c r="R2118" s="7" t="str">
        <f t="shared" si="207"/>
        <v>C30</v>
      </c>
      <c r="S2118" s="18">
        <f t="shared" si="208"/>
        <v>11.008293142980712</v>
      </c>
      <c r="T2118" s="18">
        <f>S2118/Explications!$C$8</f>
        <v>0.36694310476602371</v>
      </c>
    </row>
    <row r="2119" spans="7:20">
      <c r="G2119" s="7" t="s">
        <v>46</v>
      </c>
      <c r="H2119" s="7" t="s">
        <v>49</v>
      </c>
      <c r="I2119" s="7">
        <v>46.865699999999997</v>
      </c>
      <c r="J2119" s="7">
        <v>-71.27</v>
      </c>
      <c r="K2119" s="7">
        <v>46.7883</v>
      </c>
      <c r="L2119" s="7">
        <v>-71.131200000000007</v>
      </c>
      <c r="M2119" s="10" t="str">
        <f t="shared" si="203"/>
        <v>C30</v>
      </c>
      <c r="N2119" s="10" t="str">
        <f t="shared" si="204"/>
        <v>C33</v>
      </c>
      <c r="O2119" s="5">
        <f t="shared" si="205"/>
        <v>13.622884180169656</v>
      </c>
      <c r="P2119" s="22">
        <f>O2119/Explications!$C$8</f>
        <v>0.45409613933898851</v>
      </c>
      <c r="Q2119" s="7" t="str">
        <f t="shared" si="206"/>
        <v>C33</v>
      </c>
      <c r="R2119" s="7" t="str">
        <f t="shared" si="207"/>
        <v>C30</v>
      </c>
      <c r="S2119" s="18">
        <f t="shared" si="208"/>
        <v>13.622884180169656</v>
      </c>
      <c r="T2119" s="18">
        <f>S2119/Explications!$C$8</f>
        <v>0.45409613933898851</v>
      </c>
    </row>
    <row r="2120" spans="7:20">
      <c r="G2120" s="7" t="s">
        <v>46</v>
      </c>
      <c r="H2120" s="7" t="s">
        <v>50</v>
      </c>
      <c r="I2120" s="7">
        <v>46.865699999999997</v>
      </c>
      <c r="J2120" s="7">
        <v>-71.27</v>
      </c>
      <c r="K2120" s="7">
        <v>46.8611</v>
      </c>
      <c r="L2120" s="7">
        <v>-71.268799999999999</v>
      </c>
      <c r="M2120" s="10" t="str">
        <f t="shared" si="203"/>
        <v>C30</v>
      </c>
      <c r="N2120" s="10" t="str">
        <f t="shared" si="204"/>
        <v>C34</v>
      </c>
      <c r="O2120" s="5">
        <f t="shared" si="205"/>
        <v>0.51956953275420803</v>
      </c>
      <c r="P2120" s="22">
        <f>O2120/Explications!$C$8</f>
        <v>1.7318984425140269E-2</v>
      </c>
      <c r="Q2120" s="7" t="str">
        <f t="shared" si="206"/>
        <v>C34</v>
      </c>
      <c r="R2120" s="7" t="str">
        <f t="shared" si="207"/>
        <v>C30</v>
      </c>
      <c r="S2120" s="18">
        <f t="shared" si="208"/>
        <v>0.51956953275420803</v>
      </c>
      <c r="T2120" s="18">
        <f>S2120/Explications!$C$8</f>
        <v>1.7318984425140269E-2</v>
      </c>
    </row>
    <row r="2121" spans="7:20">
      <c r="G2121" s="7" t="s">
        <v>46</v>
      </c>
      <c r="H2121" s="7" t="s">
        <v>51</v>
      </c>
      <c r="I2121" s="7">
        <v>46.865699999999997</v>
      </c>
      <c r="J2121" s="7">
        <v>-71.27</v>
      </c>
      <c r="K2121" s="7">
        <v>46.869700000000002</v>
      </c>
      <c r="L2121" s="7">
        <v>-71.205200000000005</v>
      </c>
      <c r="M2121" s="10" t="str">
        <f t="shared" si="203"/>
        <v>C30</v>
      </c>
      <c r="N2121" s="10" t="str">
        <f t="shared" si="204"/>
        <v>C35</v>
      </c>
      <c r="O2121" s="5">
        <f t="shared" si="205"/>
        <v>4.9462855138752442</v>
      </c>
      <c r="P2121" s="22">
        <f>O2121/Explications!$C$8</f>
        <v>0.16487618379584149</v>
      </c>
      <c r="Q2121" s="7" t="str">
        <f t="shared" si="206"/>
        <v>C35</v>
      </c>
      <c r="R2121" s="7" t="str">
        <f t="shared" si="207"/>
        <v>C30</v>
      </c>
      <c r="S2121" s="18">
        <f t="shared" si="208"/>
        <v>4.9462855138752442</v>
      </c>
      <c r="T2121" s="18">
        <f>S2121/Explications!$C$8</f>
        <v>0.16487618379584149</v>
      </c>
    </row>
    <row r="2122" spans="7:20">
      <c r="G2122" s="7" t="s">
        <v>46</v>
      </c>
      <c r="H2122" s="7" t="s">
        <v>52</v>
      </c>
      <c r="I2122" s="7">
        <v>46.865699999999997</v>
      </c>
      <c r="J2122" s="7">
        <v>-71.27</v>
      </c>
      <c r="K2122" s="7">
        <v>46.774099999999997</v>
      </c>
      <c r="L2122" s="7">
        <v>-71.174000000000007</v>
      </c>
      <c r="M2122" s="10" t="str">
        <f t="shared" si="203"/>
        <v>C30</v>
      </c>
      <c r="N2122" s="10" t="str">
        <f t="shared" si="204"/>
        <v>C36</v>
      </c>
      <c r="O2122" s="5">
        <f t="shared" si="205"/>
        <v>12.534002506311742</v>
      </c>
      <c r="P2122" s="22">
        <f>O2122/Explications!$C$8</f>
        <v>0.41780008354372472</v>
      </c>
      <c r="Q2122" s="7" t="str">
        <f t="shared" si="206"/>
        <v>C36</v>
      </c>
      <c r="R2122" s="7" t="str">
        <f t="shared" si="207"/>
        <v>C30</v>
      </c>
      <c r="S2122" s="18">
        <f t="shared" si="208"/>
        <v>12.534002506311742</v>
      </c>
      <c r="T2122" s="18">
        <f>S2122/Explications!$C$8</f>
        <v>0.41780008354372472</v>
      </c>
    </row>
    <row r="2123" spans="7:20">
      <c r="G2123" s="7" t="s">
        <v>46</v>
      </c>
      <c r="H2123" s="7" t="s">
        <v>53</v>
      </c>
      <c r="I2123" s="7">
        <v>46.865699999999997</v>
      </c>
      <c r="J2123" s="7">
        <v>-71.27</v>
      </c>
      <c r="K2123" s="7">
        <v>46.808500000000002</v>
      </c>
      <c r="L2123" s="7">
        <v>-71.326599999999999</v>
      </c>
      <c r="M2123" s="10" t="str">
        <f t="shared" si="203"/>
        <v>C30</v>
      </c>
      <c r="N2123" s="10" t="str">
        <f t="shared" si="204"/>
        <v>C37</v>
      </c>
      <c r="O2123" s="5">
        <f t="shared" si="205"/>
        <v>7.6804812643720615</v>
      </c>
      <c r="P2123" s="22">
        <f>O2123/Explications!$C$8</f>
        <v>0.25601604214573537</v>
      </c>
      <c r="Q2123" s="7" t="str">
        <f t="shared" si="206"/>
        <v>C37</v>
      </c>
      <c r="R2123" s="7" t="str">
        <f t="shared" si="207"/>
        <v>C30</v>
      </c>
      <c r="S2123" s="18">
        <f t="shared" si="208"/>
        <v>7.6804812643720615</v>
      </c>
      <c r="T2123" s="18">
        <f>S2123/Explications!$C$8</f>
        <v>0.25601604214573537</v>
      </c>
    </row>
    <row r="2124" spans="7:20">
      <c r="G2124" s="7" t="s">
        <v>46</v>
      </c>
      <c r="H2124" s="7" t="s">
        <v>54</v>
      </c>
      <c r="I2124" s="7">
        <v>46.865699999999997</v>
      </c>
      <c r="J2124" s="7">
        <v>-71.27</v>
      </c>
      <c r="K2124" s="7">
        <v>46.797499999999999</v>
      </c>
      <c r="L2124" s="7">
        <v>-71.306100000000001</v>
      </c>
      <c r="M2124" s="10" t="str">
        <f t="shared" si="203"/>
        <v>C30</v>
      </c>
      <c r="N2124" s="10" t="str">
        <f t="shared" si="204"/>
        <v>C38</v>
      </c>
      <c r="O2124" s="5">
        <f t="shared" si="205"/>
        <v>8.0654370237905226</v>
      </c>
      <c r="P2124" s="22">
        <f>O2124/Explications!$C$8</f>
        <v>0.2688479007930174</v>
      </c>
      <c r="Q2124" s="7" t="str">
        <f t="shared" si="206"/>
        <v>C38</v>
      </c>
      <c r="R2124" s="7" t="str">
        <f t="shared" si="207"/>
        <v>C30</v>
      </c>
      <c r="S2124" s="18">
        <f t="shared" si="208"/>
        <v>8.0654370237905226</v>
      </c>
      <c r="T2124" s="18">
        <f>S2124/Explications!$C$8</f>
        <v>0.2688479007930174</v>
      </c>
    </row>
    <row r="2125" spans="7:20">
      <c r="G2125" s="7" t="s">
        <v>46</v>
      </c>
      <c r="H2125" s="7" t="s">
        <v>55</v>
      </c>
      <c r="I2125" s="7">
        <v>46.865699999999997</v>
      </c>
      <c r="J2125" s="7">
        <v>-71.27</v>
      </c>
      <c r="K2125" s="7">
        <v>46.8155</v>
      </c>
      <c r="L2125" s="7">
        <v>-71.268199999999993</v>
      </c>
      <c r="M2125" s="10" t="str">
        <f t="shared" si="203"/>
        <v>C30</v>
      </c>
      <c r="N2125" s="10" t="str">
        <f t="shared" si="204"/>
        <v>C39</v>
      </c>
      <c r="O2125" s="5">
        <f t="shared" si="205"/>
        <v>5.5836640500982355</v>
      </c>
      <c r="P2125" s="22">
        <f>O2125/Explications!$C$8</f>
        <v>0.18612213500327451</v>
      </c>
      <c r="Q2125" s="7" t="str">
        <f t="shared" si="206"/>
        <v>C39</v>
      </c>
      <c r="R2125" s="7" t="str">
        <f t="shared" si="207"/>
        <v>C30</v>
      </c>
      <c r="S2125" s="18">
        <f t="shared" si="208"/>
        <v>5.5836640500982355</v>
      </c>
      <c r="T2125" s="18">
        <f>S2125/Explications!$C$8</f>
        <v>0.18612213500327451</v>
      </c>
    </row>
    <row r="2126" spans="7:20">
      <c r="G2126" s="7" t="s">
        <v>46</v>
      </c>
      <c r="H2126" s="7" t="s">
        <v>56</v>
      </c>
      <c r="I2126" s="7">
        <v>46.865699999999997</v>
      </c>
      <c r="J2126" s="7">
        <v>-71.27</v>
      </c>
      <c r="K2126" s="7">
        <v>46.866700000000002</v>
      </c>
      <c r="L2126" s="7">
        <v>-71.215900000000005</v>
      </c>
      <c r="M2126" s="10" t="str">
        <f t="shared" si="203"/>
        <v>C30</v>
      </c>
      <c r="N2126" s="10" t="str">
        <f t="shared" si="204"/>
        <v>C40</v>
      </c>
      <c r="O2126" s="5">
        <f t="shared" si="205"/>
        <v>4.1144260260417713</v>
      </c>
      <c r="P2126" s="22">
        <f>O2126/Explications!$C$8</f>
        <v>0.13714753420139239</v>
      </c>
      <c r="Q2126" s="7" t="str">
        <f t="shared" si="206"/>
        <v>C40</v>
      </c>
      <c r="R2126" s="7" t="str">
        <f t="shared" si="207"/>
        <v>C30</v>
      </c>
      <c r="S2126" s="18">
        <f t="shared" si="208"/>
        <v>4.1144260260417713</v>
      </c>
      <c r="T2126" s="18">
        <f>S2126/Explications!$C$8</f>
        <v>0.13714753420139239</v>
      </c>
    </row>
    <row r="2127" spans="7:20">
      <c r="G2127" s="7" t="s">
        <v>46</v>
      </c>
      <c r="H2127" s="7" t="s">
        <v>57</v>
      </c>
      <c r="I2127" s="7">
        <v>46.865699999999997</v>
      </c>
      <c r="J2127" s="7">
        <v>-71.27</v>
      </c>
      <c r="K2127" s="7">
        <v>46.762099999999997</v>
      </c>
      <c r="L2127" s="7">
        <v>-71.235399999999998</v>
      </c>
      <c r="M2127" s="10" t="str">
        <f t="shared" si="203"/>
        <v>C30</v>
      </c>
      <c r="N2127" s="10" t="str">
        <f t="shared" si="204"/>
        <v>C41</v>
      </c>
      <c r="O2127" s="5">
        <f t="shared" si="205"/>
        <v>11.816868703059468</v>
      </c>
      <c r="P2127" s="22">
        <f>O2127/Explications!$C$8</f>
        <v>0.39389562343531559</v>
      </c>
      <c r="Q2127" s="7" t="str">
        <f t="shared" si="206"/>
        <v>C41</v>
      </c>
      <c r="R2127" s="7" t="str">
        <f t="shared" si="207"/>
        <v>C30</v>
      </c>
      <c r="S2127" s="18">
        <f t="shared" si="208"/>
        <v>11.816868703059468</v>
      </c>
      <c r="T2127" s="18">
        <f>S2127/Explications!$C$8</f>
        <v>0.39389562343531559</v>
      </c>
    </row>
    <row r="2128" spans="7:20">
      <c r="G2128" s="7" t="s">
        <v>46</v>
      </c>
      <c r="H2128" s="7" t="s">
        <v>58</v>
      </c>
      <c r="I2128" s="7">
        <v>46.865699999999997</v>
      </c>
      <c r="J2128" s="7">
        <v>-71.27</v>
      </c>
      <c r="K2128" s="7">
        <v>46.8157</v>
      </c>
      <c r="L2128" s="7">
        <v>-71.2042</v>
      </c>
      <c r="M2128" s="10" t="str">
        <f t="shared" si="203"/>
        <v>C30</v>
      </c>
      <c r="N2128" s="10" t="str">
        <f t="shared" si="204"/>
        <v>C42</v>
      </c>
      <c r="O2128" s="5">
        <f t="shared" si="205"/>
        <v>7.4805512279293804</v>
      </c>
      <c r="P2128" s="22">
        <f>O2128/Explications!$C$8</f>
        <v>0.24935170759764602</v>
      </c>
      <c r="Q2128" s="7" t="str">
        <f t="shared" si="206"/>
        <v>C42</v>
      </c>
      <c r="R2128" s="7" t="str">
        <f t="shared" si="207"/>
        <v>C30</v>
      </c>
      <c r="S2128" s="18">
        <f t="shared" si="208"/>
        <v>7.4805512279293804</v>
      </c>
      <c r="T2128" s="18">
        <f>S2128/Explications!$C$8</f>
        <v>0.24935170759764602</v>
      </c>
    </row>
    <row r="2129" spans="7:20">
      <c r="G2129" s="7" t="s">
        <v>46</v>
      </c>
      <c r="H2129" s="7" t="s">
        <v>59</v>
      </c>
      <c r="I2129" s="7">
        <v>46.865699999999997</v>
      </c>
      <c r="J2129" s="7">
        <v>-71.27</v>
      </c>
      <c r="K2129" s="7">
        <v>46.707000000000001</v>
      </c>
      <c r="L2129" s="7">
        <v>-71.217100000000002</v>
      </c>
      <c r="M2129" s="10" t="str">
        <f t="shared" si="203"/>
        <v>C30</v>
      </c>
      <c r="N2129" s="10" t="str">
        <f t="shared" si="204"/>
        <v>C43</v>
      </c>
      <c r="O2129" s="5">
        <f t="shared" si="205"/>
        <v>18.100437021439781</v>
      </c>
      <c r="P2129" s="22">
        <f>O2129/Explications!$C$8</f>
        <v>0.60334790071465938</v>
      </c>
      <c r="Q2129" s="7" t="str">
        <f t="shared" si="206"/>
        <v>C43</v>
      </c>
      <c r="R2129" s="7" t="str">
        <f t="shared" si="207"/>
        <v>C30</v>
      </c>
      <c r="S2129" s="18">
        <f t="shared" si="208"/>
        <v>18.100437021439781</v>
      </c>
      <c r="T2129" s="18">
        <f>S2129/Explications!$C$8</f>
        <v>0.60334790071465938</v>
      </c>
    </row>
    <row r="2130" spans="7:20">
      <c r="G2130" s="7" t="s">
        <v>46</v>
      </c>
      <c r="H2130" s="7" t="s">
        <v>60</v>
      </c>
      <c r="I2130" s="7">
        <v>46.865699999999997</v>
      </c>
      <c r="J2130" s="7">
        <v>-71.27</v>
      </c>
      <c r="K2130" s="7">
        <v>46.802900000000001</v>
      </c>
      <c r="L2130" s="7">
        <v>-71.228899999999996</v>
      </c>
      <c r="M2130" s="10" t="str">
        <f t="shared" si="203"/>
        <v>C30</v>
      </c>
      <c r="N2130" s="10" t="str">
        <f t="shared" si="204"/>
        <v>C44</v>
      </c>
      <c r="O2130" s="5">
        <f t="shared" si="205"/>
        <v>7.6509885007756688</v>
      </c>
      <c r="P2130" s="22">
        <f>O2130/Explications!$C$8</f>
        <v>0.25503295002585563</v>
      </c>
      <c r="Q2130" s="7" t="str">
        <f t="shared" si="206"/>
        <v>C44</v>
      </c>
      <c r="R2130" s="7" t="str">
        <f t="shared" si="207"/>
        <v>C30</v>
      </c>
      <c r="S2130" s="18">
        <f t="shared" si="208"/>
        <v>7.6509885007756688</v>
      </c>
      <c r="T2130" s="18">
        <f>S2130/Explications!$C$8</f>
        <v>0.25503295002585563</v>
      </c>
    </row>
    <row r="2131" spans="7:20">
      <c r="G2131" s="7" t="s">
        <v>46</v>
      </c>
      <c r="H2131" s="7" t="s">
        <v>61</v>
      </c>
      <c r="I2131" s="7">
        <v>46.865699999999997</v>
      </c>
      <c r="J2131" s="7">
        <v>-71.27</v>
      </c>
      <c r="K2131" s="7">
        <v>46.796900000000001</v>
      </c>
      <c r="L2131" s="7">
        <v>-71.3078</v>
      </c>
      <c r="M2131" s="10" t="str">
        <f t="shared" si="203"/>
        <v>C30</v>
      </c>
      <c r="N2131" s="10" t="str">
        <f t="shared" si="204"/>
        <v>C45</v>
      </c>
      <c r="O2131" s="5">
        <f t="shared" si="205"/>
        <v>8.1728058063916382</v>
      </c>
      <c r="P2131" s="22">
        <f>O2131/Explications!$C$8</f>
        <v>0.27242686021305462</v>
      </c>
      <c r="Q2131" s="7" t="str">
        <f t="shared" si="206"/>
        <v>C45</v>
      </c>
      <c r="R2131" s="7" t="str">
        <f t="shared" si="207"/>
        <v>C30</v>
      </c>
      <c r="S2131" s="18">
        <f t="shared" si="208"/>
        <v>8.1728058063916382</v>
      </c>
      <c r="T2131" s="18">
        <f>S2131/Explications!$C$8</f>
        <v>0.27242686021305462</v>
      </c>
    </row>
    <row r="2132" spans="7:20">
      <c r="G2132" s="7" t="s">
        <v>46</v>
      </c>
      <c r="H2132" s="7" t="s">
        <v>62</v>
      </c>
      <c r="I2132" s="7">
        <v>46.865699999999997</v>
      </c>
      <c r="J2132" s="7">
        <v>-71.27</v>
      </c>
      <c r="K2132" s="7">
        <v>46.803600000000003</v>
      </c>
      <c r="L2132" s="7">
        <v>-71.231099999999998</v>
      </c>
      <c r="M2132" s="10" t="str">
        <f t="shared" si="203"/>
        <v>C30</v>
      </c>
      <c r="N2132" s="10" t="str">
        <f t="shared" si="204"/>
        <v>C46</v>
      </c>
      <c r="O2132" s="5">
        <f t="shared" si="205"/>
        <v>7.5125268904285605</v>
      </c>
      <c r="P2132" s="22">
        <f>O2132/Explications!$C$8</f>
        <v>0.25041756301428536</v>
      </c>
      <c r="Q2132" s="7" t="str">
        <f t="shared" si="206"/>
        <v>C46</v>
      </c>
      <c r="R2132" s="7" t="str">
        <f t="shared" si="207"/>
        <v>C30</v>
      </c>
      <c r="S2132" s="18">
        <f t="shared" si="208"/>
        <v>7.5125268904285605</v>
      </c>
      <c r="T2132" s="18">
        <f>S2132/Explications!$C$8</f>
        <v>0.25041756301428536</v>
      </c>
    </row>
    <row r="2133" spans="7:20">
      <c r="G2133" s="7" t="s">
        <v>46</v>
      </c>
      <c r="H2133" s="7" t="s">
        <v>63</v>
      </c>
      <c r="I2133" s="7">
        <v>46.865699999999997</v>
      </c>
      <c r="J2133" s="7">
        <v>-71.27</v>
      </c>
      <c r="K2133" s="7">
        <v>46.802399999999999</v>
      </c>
      <c r="L2133" s="7">
        <v>-71.269800000000004</v>
      </c>
      <c r="M2133" s="10" t="str">
        <f t="shared" si="203"/>
        <v>C30</v>
      </c>
      <c r="N2133" s="10" t="str">
        <f t="shared" si="204"/>
        <v>C47</v>
      </c>
      <c r="O2133" s="5">
        <f t="shared" si="205"/>
        <v>7.0386552984224346</v>
      </c>
      <c r="P2133" s="22">
        <f>O2133/Explications!$C$8</f>
        <v>0.23462184328074781</v>
      </c>
      <c r="Q2133" s="7" t="str">
        <f t="shared" si="206"/>
        <v>C47</v>
      </c>
      <c r="R2133" s="7" t="str">
        <f t="shared" si="207"/>
        <v>C30</v>
      </c>
      <c r="S2133" s="18">
        <f t="shared" si="208"/>
        <v>7.0386552984224346</v>
      </c>
      <c r="T2133" s="18">
        <f>S2133/Explications!$C$8</f>
        <v>0.23462184328074781</v>
      </c>
    </row>
    <row r="2134" spans="7:20">
      <c r="G2134" s="7" t="s">
        <v>46</v>
      </c>
      <c r="H2134" s="7" t="s">
        <v>64</v>
      </c>
      <c r="I2134" s="7">
        <v>46.865699999999997</v>
      </c>
      <c r="J2134" s="7">
        <v>-71.27</v>
      </c>
      <c r="K2134" s="7">
        <v>46.826799999999999</v>
      </c>
      <c r="L2134" s="7">
        <v>-71.224199999999996</v>
      </c>
      <c r="M2134" s="10" t="str">
        <f t="shared" si="203"/>
        <v>C30</v>
      </c>
      <c r="N2134" s="10" t="str">
        <f t="shared" si="204"/>
        <v>C48</v>
      </c>
      <c r="O2134" s="5">
        <f t="shared" si="205"/>
        <v>5.5536094712521127</v>
      </c>
      <c r="P2134" s="22">
        <f>O2134/Explications!$C$8</f>
        <v>0.18512031570840376</v>
      </c>
      <c r="Q2134" s="7" t="str">
        <f t="shared" si="206"/>
        <v>C48</v>
      </c>
      <c r="R2134" s="7" t="str">
        <f t="shared" si="207"/>
        <v>C30</v>
      </c>
      <c r="S2134" s="18">
        <f t="shared" si="208"/>
        <v>5.5536094712521127</v>
      </c>
      <c r="T2134" s="18">
        <f>S2134/Explications!$C$8</f>
        <v>0.18512031570840376</v>
      </c>
    </row>
    <row r="2135" spans="7:20">
      <c r="G2135" s="7" t="s">
        <v>46</v>
      </c>
      <c r="H2135" s="7" t="s">
        <v>65</v>
      </c>
      <c r="I2135" s="7">
        <v>46.865699999999997</v>
      </c>
      <c r="J2135" s="7">
        <v>-71.27</v>
      </c>
      <c r="K2135" s="7">
        <v>46.864100000000001</v>
      </c>
      <c r="L2135" s="7">
        <v>-71.255499999999998</v>
      </c>
      <c r="M2135" s="10" t="str">
        <f t="shared" si="203"/>
        <v>C30</v>
      </c>
      <c r="N2135" s="10" t="str">
        <f t="shared" si="204"/>
        <v>C49</v>
      </c>
      <c r="O2135" s="5">
        <f t="shared" si="205"/>
        <v>1.1166455545486083</v>
      </c>
      <c r="P2135" s="22">
        <f>O2135/Explications!$C$8</f>
        <v>3.7221518484953607E-2</v>
      </c>
      <c r="Q2135" s="7" t="str">
        <f t="shared" si="206"/>
        <v>C49</v>
      </c>
      <c r="R2135" s="7" t="str">
        <f t="shared" si="207"/>
        <v>C30</v>
      </c>
      <c r="S2135" s="18">
        <f t="shared" si="208"/>
        <v>1.1166455545486083</v>
      </c>
      <c r="T2135" s="18">
        <f>S2135/Explications!$C$8</f>
        <v>3.7221518484953607E-2</v>
      </c>
    </row>
    <row r="2136" spans="7:20">
      <c r="G2136" s="7" t="s">
        <v>46</v>
      </c>
      <c r="H2136" s="7" t="s">
        <v>66</v>
      </c>
      <c r="I2136" s="7">
        <v>46.865699999999997</v>
      </c>
      <c r="J2136" s="7">
        <v>-71.27</v>
      </c>
      <c r="K2136" s="7">
        <v>46.843800000000002</v>
      </c>
      <c r="L2136" s="7">
        <v>-71.247299999999996</v>
      </c>
      <c r="M2136" s="10" t="str">
        <f t="shared" si="203"/>
        <v>C30</v>
      </c>
      <c r="N2136" s="10" t="str">
        <f t="shared" si="204"/>
        <v>C50</v>
      </c>
      <c r="O2136" s="5">
        <f t="shared" si="205"/>
        <v>2.9848867719933652</v>
      </c>
      <c r="P2136" s="22">
        <f>O2136/Explications!$C$8</f>
        <v>9.9496225733112176E-2</v>
      </c>
      <c r="Q2136" s="7" t="str">
        <f t="shared" si="206"/>
        <v>C50</v>
      </c>
      <c r="R2136" s="7" t="str">
        <f t="shared" si="207"/>
        <v>C30</v>
      </c>
      <c r="S2136" s="18">
        <f t="shared" si="208"/>
        <v>2.9848867719933652</v>
      </c>
      <c r="T2136" s="18">
        <f>S2136/Explications!$C$8</f>
        <v>9.9496225733112176E-2</v>
      </c>
    </row>
    <row r="2137" spans="7:20">
      <c r="G2137" s="7" t="s">
        <v>46</v>
      </c>
      <c r="H2137" s="7" t="s">
        <v>67</v>
      </c>
      <c r="I2137" s="7">
        <v>46.865699999999997</v>
      </c>
      <c r="J2137" s="7">
        <v>-71.27</v>
      </c>
      <c r="K2137" s="7">
        <v>46.765599999999999</v>
      </c>
      <c r="L2137" s="7">
        <v>-71.312100000000001</v>
      </c>
      <c r="M2137" s="10" t="str">
        <f t="shared" si="203"/>
        <v>C30</v>
      </c>
      <c r="N2137" s="10" t="str">
        <f t="shared" si="204"/>
        <v>C51</v>
      </c>
      <c r="O2137" s="5">
        <f t="shared" si="205"/>
        <v>11.582479901720795</v>
      </c>
      <c r="P2137" s="22">
        <f>O2137/Explications!$C$8</f>
        <v>0.38608266339069319</v>
      </c>
      <c r="Q2137" s="7" t="str">
        <f t="shared" si="206"/>
        <v>C51</v>
      </c>
      <c r="R2137" s="7" t="str">
        <f t="shared" si="207"/>
        <v>C30</v>
      </c>
      <c r="S2137" s="18">
        <f t="shared" si="208"/>
        <v>11.582479901720795</v>
      </c>
      <c r="T2137" s="18">
        <f>S2137/Explications!$C$8</f>
        <v>0.38608266339069319</v>
      </c>
    </row>
    <row r="2138" spans="7:20">
      <c r="G2138" s="7" t="s">
        <v>46</v>
      </c>
      <c r="H2138" s="7" t="s">
        <v>68</v>
      </c>
      <c r="I2138" s="7">
        <v>46.865699999999997</v>
      </c>
      <c r="J2138" s="7">
        <v>-71.27</v>
      </c>
      <c r="K2138" s="7">
        <v>46.787599999999998</v>
      </c>
      <c r="L2138" s="7">
        <v>-71.288600000000002</v>
      </c>
      <c r="M2138" s="10" t="str">
        <f t="shared" si="203"/>
        <v>C30</v>
      </c>
      <c r="N2138" s="10" t="str">
        <f t="shared" si="204"/>
        <v>C52</v>
      </c>
      <c r="O2138" s="5">
        <f t="shared" si="205"/>
        <v>8.7988621971219523</v>
      </c>
      <c r="P2138" s="22">
        <f>O2138/Explications!$C$8</f>
        <v>0.29329540657073172</v>
      </c>
      <c r="Q2138" s="7" t="str">
        <f t="shared" si="206"/>
        <v>C52</v>
      </c>
      <c r="R2138" s="7" t="str">
        <f t="shared" si="207"/>
        <v>C30</v>
      </c>
      <c r="S2138" s="18">
        <f t="shared" si="208"/>
        <v>8.7988621971219523</v>
      </c>
      <c r="T2138" s="18">
        <f>S2138/Explications!$C$8</f>
        <v>0.29329540657073172</v>
      </c>
    </row>
    <row r="2139" spans="7:20">
      <c r="G2139" s="7" t="s">
        <v>46</v>
      </c>
      <c r="H2139" s="7" t="s">
        <v>69</v>
      </c>
      <c r="I2139" s="7">
        <v>46.865699999999997</v>
      </c>
      <c r="J2139" s="7">
        <v>-71.27</v>
      </c>
      <c r="K2139" s="7">
        <v>46.764600000000002</v>
      </c>
      <c r="L2139" s="7">
        <v>-71.308300000000003</v>
      </c>
      <c r="M2139" s="10" t="str">
        <f t="shared" si="203"/>
        <v>C30</v>
      </c>
      <c r="N2139" s="10" t="str">
        <f t="shared" si="204"/>
        <v>C53</v>
      </c>
      <c r="O2139" s="5">
        <f t="shared" si="205"/>
        <v>11.613464363021468</v>
      </c>
      <c r="P2139" s="22">
        <f>O2139/Explications!$C$8</f>
        <v>0.38711547876738223</v>
      </c>
      <c r="Q2139" s="7" t="str">
        <f t="shared" si="206"/>
        <v>C53</v>
      </c>
      <c r="R2139" s="7" t="str">
        <f t="shared" si="207"/>
        <v>C30</v>
      </c>
      <c r="S2139" s="18">
        <f t="shared" si="208"/>
        <v>11.613464363021468</v>
      </c>
      <c r="T2139" s="18">
        <f>S2139/Explications!$C$8</f>
        <v>0.38711547876738223</v>
      </c>
    </row>
    <row r="2140" spans="7:20">
      <c r="G2140" s="7" t="s">
        <v>46</v>
      </c>
      <c r="H2140" s="7" t="s">
        <v>70</v>
      </c>
      <c r="I2140" s="7">
        <v>46.865699999999997</v>
      </c>
      <c r="J2140" s="7">
        <v>-71.27</v>
      </c>
      <c r="K2140" s="7">
        <v>46.849699999999999</v>
      </c>
      <c r="L2140" s="7">
        <v>-71.097399999999993</v>
      </c>
      <c r="M2140" s="10" t="str">
        <f t="shared" si="203"/>
        <v>C30</v>
      </c>
      <c r="N2140" s="10" t="str">
        <f t="shared" si="204"/>
        <v>C54</v>
      </c>
      <c r="O2140" s="5">
        <f t="shared" si="205"/>
        <v>13.24393919047348</v>
      </c>
      <c r="P2140" s="22">
        <f>O2140/Explications!$C$8</f>
        <v>0.44146463968244931</v>
      </c>
      <c r="Q2140" s="7" t="str">
        <f t="shared" si="206"/>
        <v>C54</v>
      </c>
      <c r="R2140" s="7" t="str">
        <f t="shared" si="207"/>
        <v>C30</v>
      </c>
      <c r="S2140" s="18">
        <f t="shared" si="208"/>
        <v>13.24393919047348</v>
      </c>
      <c r="T2140" s="18">
        <f>S2140/Explications!$C$8</f>
        <v>0.44146463968244931</v>
      </c>
    </row>
    <row r="2141" spans="7:20">
      <c r="G2141" s="7" t="s">
        <v>46</v>
      </c>
      <c r="H2141" s="7" t="s">
        <v>71</v>
      </c>
      <c r="I2141" s="7">
        <v>46.865699999999997</v>
      </c>
      <c r="J2141" s="7">
        <v>-71.27</v>
      </c>
      <c r="K2141" s="7">
        <v>46.788899999999998</v>
      </c>
      <c r="L2141" s="7">
        <v>-71.321399999999997</v>
      </c>
      <c r="M2141" s="10" t="str">
        <f t="shared" si="203"/>
        <v>C30</v>
      </c>
      <c r="N2141" s="10" t="str">
        <f t="shared" si="204"/>
        <v>C55</v>
      </c>
      <c r="O2141" s="5">
        <f t="shared" si="205"/>
        <v>9.39252811086258</v>
      </c>
      <c r="P2141" s="22">
        <f>O2141/Explications!$C$8</f>
        <v>0.31308427036208603</v>
      </c>
      <c r="Q2141" s="7" t="str">
        <f t="shared" si="206"/>
        <v>C55</v>
      </c>
      <c r="R2141" s="7" t="str">
        <f t="shared" si="207"/>
        <v>C30</v>
      </c>
      <c r="S2141" s="18">
        <f t="shared" si="208"/>
        <v>9.39252811086258</v>
      </c>
      <c r="T2141" s="18">
        <f>S2141/Explications!$C$8</f>
        <v>0.31308427036208603</v>
      </c>
    </row>
    <row r="2142" spans="7:20">
      <c r="G2142" s="7" t="s">
        <v>46</v>
      </c>
      <c r="H2142" s="7" t="s">
        <v>72</v>
      </c>
      <c r="I2142" s="7">
        <v>46.865699999999997</v>
      </c>
      <c r="J2142" s="7">
        <v>-71.27</v>
      </c>
      <c r="K2142" s="7">
        <v>46.795400000000001</v>
      </c>
      <c r="L2142" s="7">
        <v>-71.232600000000005</v>
      </c>
      <c r="M2142" s="10" t="str">
        <f t="shared" si="203"/>
        <v>C30</v>
      </c>
      <c r="N2142" s="10" t="str">
        <f t="shared" si="204"/>
        <v>C56</v>
      </c>
      <c r="O2142" s="5">
        <f t="shared" si="205"/>
        <v>8.3186966661773685</v>
      </c>
      <c r="P2142" s="22">
        <f>O2142/Explications!$C$8</f>
        <v>0.27728988887257894</v>
      </c>
      <c r="Q2142" s="7" t="str">
        <f t="shared" si="206"/>
        <v>C56</v>
      </c>
      <c r="R2142" s="7" t="str">
        <f t="shared" si="207"/>
        <v>C30</v>
      </c>
      <c r="S2142" s="18">
        <f t="shared" si="208"/>
        <v>8.3186966661773685</v>
      </c>
      <c r="T2142" s="18">
        <f>S2142/Explications!$C$8</f>
        <v>0.27728988887257894</v>
      </c>
    </row>
    <row r="2143" spans="7:20">
      <c r="G2143" s="7" t="s">
        <v>46</v>
      </c>
      <c r="H2143" s="7" t="s">
        <v>73</v>
      </c>
      <c r="I2143" s="7">
        <v>46.865699999999997</v>
      </c>
      <c r="J2143" s="7">
        <v>-71.27</v>
      </c>
      <c r="K2143" s="7">
        <v>46.801200000000001</v>
      </c>
      <c r="L2143" s="7">
        <v>-71.224999999999994</v>
      </c>
      <c r="M2143" s="10" t="str">
        <f t="shared" si="203"/>
        <v>C30</v>
      </c>
      <c r="N2143" s="10" t="str">
        <f t="shared" si="204"/>
        <v>C57</v>
      </c>
      <c r="O2143" s="5">
        <f t="shared" si="205"/>
        <v>7.9471273793975685</v>
      </c>
      <c r="P2143" s="22">
        <f>O2143/Explications!$C$8</f>
        <v>0.26490424597991896</v>
      </c>
      <c r="Q2143" s="7" t="str">
        <f t="shared" si="206"/>
        <v>C57</v>
      </c>
      <c r="R2143" s="7" t="str">
        <f t="shared" si="207"/>
        <v>C30</v>
      </c>
      <c r="S2143" s="18">
        <f t="shared" si="208"/>
        <v>7.9471273793975685</v>
      </c>
      <c r="T2143" s="18">
        <f>S2143/Explications!$C$8</f>
        <v>0.26490424597991896</v>
      </c>
    </row>
    <row r="2144" spans="7:20">
      <c r="G2144" s="7" t="s">
        <v>46</v>
      </c>
      <c r="H2144" s="7" t="s">
        <v>74</v>
      </c>
      <c r="I2144" s="7">
        <v>46.865699999999997</v>
      </c>
      <c r="J2144" s="7">
        <v>-71.27</v>
      </c>
      <c r="K2144" s="7">
        <v>46.773200000000003</v>
      </c>
      <c r="L2144" s="7">
        <v>-71.275899999999993</v>
      </c>
      <c r="M2144" s="10" t="str">
        <f t="shared" si="203"/>
        <v>C30</v>
      </c>
      <c r="N2144" s="10" t="str">
        <f t="shared" si="204"/>
        <v>C58</v>
      </c>
      <c r="O2144" s="5">
        <f t="shared" si="205"/>
        <v>10.295323421273427</v>
      </c>
      <c r="P2144" s="22">
        <f>O2144/Explications!$C$8</f>
        <v>0.34317744737578088</v>
      </c>
      <c r="Q2144" s="7" t="str">
        <f t="shared" si="206"/>
        <v>C58</v>
      </c>
      <c r="R2144" s="7" t="str">
        <f t="shared" si="207"/>
        <v>C30</v>
      </c>
      <c r="S2144" s="18">
        <f t="shared" si="208"/>
        <v>10.295323421273427</v>
      </c>
      <c r="T2144" s="18">
        <f>S2144/Explications!$C$8</f>
        <v>0.34317744737578088</v>
      </c>
    </row>
    <row r="2145" spans="7:20">
      <c r="G2145" s="7" t="s">
        <v>46</v>
      </c>
      <c r="H2145" s="7" t="s">
        <v>75</v>
      </c>
      <c r="I2145" s="7">
        <v>46.865699999999997</v>
      </c>
      <c r="J2145" s="7">
        <v>-71.27</v>
      </c>
      <c r="K2145" s="7">
        <v>46.814399999999999</v>
      </c>
      <c r="L2145" s="7">
        <v>-71.225700000000003</v>
      </c>
      <c r="M2145" s="10" t="str">
        <f t="shared" si="203"/>
        <v>C30</v>
      </c>
      <c r="N2145" s="10" t="str">
        <f t="shared" si="204"/>
        <v>C59</v>
      </c>
      <c r="O2145" s="5">
        <f t="shared" si="205"/>
        <v>6.6251583359708937</v>
      </c>
      <c r="P2145" s="22">
        <f>O2145/Explications!$C$8</f>
        <v>0.22083861119902978</v>
      </c>
      <c r="Q2145" s="7" t="str">
        <f t="shared" si="206"/>
        <v>C59</v>
      </c>
      <c r="R2145" s="7" t="str">
        <f t="shared" si="207"/>
        <v>C30</v>
      </c>
      <c r="S2145" s="18">
        <f t="shared" si="208"/>
        <v>6.6251583359708937</v>
      </c>
      <c r="T2145" s="18">
        <f>S2145/Explications!$C$8</f>
        <v>0.22083861119902978</v>
      </c>
    </row>
    <row r="2146" spans="7:20">
      <c r="G2146" s="7" t="s">
        <v>46</v>
      </c>
      <c r="H2146" s="7" t="s">
        <v>76</v>
      </c>
      <c r="I2146" s="7">
        <v>46.865699999999997</v>
      </c>
      <c r="J2146" s="7">
        <v>-71.27</v>
      </c>
      <c r="K2146" s="7">
        <v>46.772500000000001</v>
      </c>
      <c r="L2146" s="7">
        <v>-71.276300000000006</v>
      </c>
      <c r="M2146" s="10" t="str">
        <f t="shared" si="203"/>
        <v>C30</v>
      </c>
      <c r="N2146" s="10" t="str">
        <f t="shared" si="204"/>
        <v>C60</v>
      </c>
      <c r="O2146" s="5">
        <f t="shared" si="205"/>
        <v>10.374448339244291</v>
      </c>
      <c r="P2146" s="22">
        <f>O2146/Explications!$C$8</f>
        <v>0.34581494464147633</v>
      </c>
      <c r="Q2146" s="7" t="str">
        <f t="shared" si="206"/>
        <v>C60</v>
      </c>
      <c r="R2146" s="7" t="str">
        <f t="shared" si="207"/>
        <v>C30</v>
      </c>
      <c r="S2146" s="18">
        <f t="shared" si="208"/>
        <v>10.374448339244291</v>
      </c>
      <c r="T2146" s="18">
        <f>S2146/Explications!$C$8</f>
        <v>0.34581494464147633</v>
      </c>
    </row>
    <row r="2147" spans="7:20">
      <c r="G2147" s="7" t="s">
        <v>46</v>
      </c>
      <c r="H2147" s="7" t="s">
        <v>77</v>
      </c>
      <c r="I2147" s="7">
        <v>46.865699999999997</v>
      </c>
      <c r="J2147" s="7">
        <v>-71.27</v>
      </c>
      <c r="K2147" s="7">
        <v>46.810899999999997</v>
      </c>
      <c r="L2147" s="7">
        <v>-71.215599999999995</v>
      </c>
      <c r="M2147" s="10" t="str">
        <f t="shared" si="203"/>
        <v>C30</v>
      </c>
      <c r="N2147" s="10" t="str">
        <f t="shared" si="204"/>
        <v>C61</v>
      </c>
      <c r="O2147" s="5">
        <f t="shared" si="205"/>
        <v>7.3656340050470899</v>
      </c>
      <c r="P2147" s="22">
        <f>O2147/Explications!$C$8</f>
        <v>0.24552113350156965</v>
      </c>
      <c r="Q2147" s="7" t="str">
        <f t="shared" si="206"/>
        <v>C61</v>
      </c>
      <c r="R2147" s="7" t="str">
        <f t="shared" si="207"/>
        <v>C30</v>
      </c>
      <c r="S2147" s="18">
        <f t="shared" si="208"/>
        <v>7.3656340050470899</v>
      </c>
      <c r="T2147" s="18">
        <f>S2147/Explications!$C$8</f>
        <v>0.24552113350156965</v>
      </c>
    </row>
    <row r="2148" spans="7:20">
      <c r="G2148" s="7" t="s">
        <v>46</v>
      </c>
      <c r="H2148" s="7" t="s">
        <v>78</v>
      </c>
      <c r="I2148" s="7">
        <v>46.865699999999997</v>
      </c>
      <c r="J2148" s="7">
        <v>-71.27</v>
      </c>
      <c r="K2148" s="7">
        <v>46.795200000000001</v>
      </c>
      <c r="L2148" s="7">
        <v>-71.245099999999994</v>
      </c>
      <c r="M2148" s="10" t="str">
        <f t="shared" si="203"/>
        <v>C30</v>
      </c>
      <c r="N2148" s="10" t="str">
        <f t="shared" si="204"/>
        <v>C62</v>
      </c>
      <c r="O2148" s="5">
        <f t="shared" si="205"/>
        <v>8.0648604951284355</v>
      </c>
      <c r="P2148" s="22">
        <f>O2148/Explications!$C$8</f>
        <v>0.26882868317094782</v>
      </c>
      <c r="Q2148" s="7" t="str">
        <f t="shared" si="206"/>
        <v>C62</v>
      </c>
      <c r="R2148" s="7" t="str">
        <f t="shared" si="207"/>
        <v>C30</v>
      </c>
      <c r="S2148" s="18">
        <f t="shared" si="208"/>
        <v>8.0648604951284355</v>
      </c>
      <c r="T2148" s="18">
        <f>S2148/Explications!$C$8</f>
        <v>0.26882868317094782</v>
      </c>
    </row>
    <row r="2149" spans="7:20">
      <c r="G2149" s="7" t="s">
        <v>46</v>
      </c>
      <c r="H2149" s="7" t="s">
        <v>79</v>
      </c>
      <c r="I2149" s="7">
        <v>46.865699999999997</v>
      </c>
      <c r="J2149" s="7">
        <v>-71.27</v>
      </c>
      <c r="K2149" s="7">
        <v>46.822000000000003</v>
      </c>
      <c r="L2149" s="7">
        <v>-71.345699999999994</v>
      </c>
      <c r="M2149" s="10" t="str">
        <f t="shared" si="203"/>
        <v>C30</v>
      </c>
      <c r="N2149" s="10" t="str">
        <f t="shared" si="204"/>
        <v>C63</v>
      </c>
      <c r="O2149" s="5">
        <f t="shared" si="205"/>
        <v>7.5339360563681401</v>
      </c>
      <c r="P2149" s="22">
        <f>O2149/Explications!$C$8</f>
        <v>0.251131201878938</v>
      </c>
      <c r="Q2149" s="7" t="str">
        <f t="shared" si="206"/>
        <v>C63</v>
      </c>
      <c r="R2149" s="7" t="str">
        <f t="shared" si="207"/>
        <v>C30</v>
      </c>
      <c r="S2149" s="18">
        <f t="shared" si="208"/>
        <v>7.5339360563681401</v>
      </c>
      <c r="T2149" s="18">
        <f>S2149/Explications!$C$8</f>
        <v>0.251131201878938</v>
      </c>
    </row>
    <row r="2150" spans="7:20">
      <c r="G2150" s="7" t="s">
        <v>46</v>
      </c>
      <c r="H2150" s="7" t="s">
        <v>80</v>
      </c>
      <c r="I2150" s="7">
        <v>46.865699999999997</v>
      </c>
      <c r="J2150" s="7">
        <v>-71.27</v>
      </c>
      <c r="K2150" s="7">
        <v>46.779400000000003</v>
      </c>
      <c r="L2150" s="7">
        <v>-71.350399999999993</v>
      </c>
      <c r="M2150" s="10" t="str">
        <f t="shared" si="203"/>
        <v>C30</v>
      </c>
      <c r="N2150" s="10" t="str">
        <f t="shared" si="204"/>
        <v>C64</v>
      </c>
      <c r="O2150" s="5">
        <f t="shared" si="205"/>
        <v>11.380128068439342</v>
      </c>
      <c r="P2150" s="22">
        <f>O2150/Explications!$C$8</f>
        <v>0.37933760228131141</v>
      </c>
      <c r="Q2150" s="7" t="str">
        <f t="shared" si="206"/>
        <v>C64</v>
      </c>
      <c r="R2150" s="7" t="str">
        <f t="shared" si="207"/>
        <v>C30</v>
      </c>
      <c r="S2150" s="18">
        <f t="shared" si="208"/>
        <v>11.380128068439342</v>
      </c>
      <c r="T2150" s="18">
        <f>S2150/Explications!$C$8</f>
        <v>0.37933760228131141</v>
      </c>
    </row>
    <row r="2151" spans="7:20">
      <c r="G2151" s="7" t="s">
        <v>46</v>
      </c>
      <c r="H2151" s="7" t="s">
        <v>81</v>
      </c>
      <c r="I2151" s="7">
        <v>46.865699999999997</v>
      </c>
      <c r="J2151" s="7">
        <v>-71.27</v>
      </c>
      <c r="K2151" s="7">
        <v>46.772300000000001</v>
      </c>
      <c r="L2151" s="7">
        <v>-71.279799999999994</v>
      </c>
      <c r="M2151" s="10" t="str">
        <f t="shared" si="203"/>
        <v>C30</v>
      </c>
      <c r="N2151" s="10" t="str">
        <f t="shared" si="204"/>
        <v>C65</v>
      </c>
      <c r="O2151" s="5">
        <f t="shared" si="205"/>
        <v>10.412342430941518</v>
      </c>
      <c r="P2151" s="22">
        <f>O2151/Explications!$C$8</f>
        <v>0.34707808103138393</v>
      </c>
      <c r="Q2151" s="7" t="str">
        <f t="shared" si="206"/>
        <v>C65</v>
      </c>
      <c r="R2151" s="7" t="str">
        <f t="shared" si="207"/>
        <v>C30</v>
      </c>
      <c r="S2151" s="18">
        <f t="shared" si="208"/>
        <v>10.412342430941518</v>
      </c>
      <c r="T2151" s="18">
        <f>S2151/Explications!$C$8</f>
        <v>0.34707808103138393</v>
      </c>
    </row>
    <row r="2152" spans="7:20">
      <c r="G2152" s="7" t="s">
        <v>46</v>
      </c>
      <c r="H2152" s="7" t="s">
        <v>82</v>
      </c>
      <c r="I2152" s="7">
        <v>46.865699999999997</v>
      </c>
      <c r="J2152" s="7">
        <v>-71.27</v>
      </c>
      <c r="K2152" s="7">
        <v>46.814900000000002</v>
      </c>
      <c r="L2152" s="7">
        <v>-71.225200000000001</v>
      </c>
      <c r="M2152" s="10" t="str">
        <f t="shared" si="203"/>
        <v>C30</v>
      </c>
      <c r="N2152" s="10" t="str">
        <f t="shared" si="204"/>
        <v>C66</v>
      </c>
      <c r="O2152" s="5">
        <f t="shared" si="205"/>
        <v>6.5969048889136328</v>
      </c>
      <c r="P2152" s="22">
        <f>O2152/Explications!$C$8</f>
        <v>0.21989682963045443</v>
      </c>
      <c r="Q2152" s="7" t="str">
        <f t="shared" si="206"/>
        <v>C66</v>
      </c>
      <c r="R2152" s="7" t="str">
        <f t="shared" si="207"/>
        <v>C30</v>
      </c>
      <c r="S2152" s="18">
        <f t="shared" si="208"/>
        <v>6.5969048889136328</v>
      </c>
      <c r="T2152" s="18">
        <f>S2152/Explications!$C$8</f>
        <v>0.21989682963045443</v>
      </c>
    </row>
    <row r="2153" spans="7:20">
      <c r="G2153" s="7" t="s">
        <v>46</v>
      </c>
      <c r="H2153" s="7" t="s">
        <v>83</v>
      </c>
      <c r="I2153" s="7">
        <v>46.865699999999997</v>
      </c>
      <c r="J2153" s="7">
        <v>-71.27</v>
      </c>
      <c r="K2153" s="7">
        <v>46.814700000000002</v>
      </c>
      <c r="L2153" s="7">
        <v>-71.207300000000004</v>
      </c>
      <c r="M2153" s="10" t="str">
        <f t="shared" si="203"/>
        <v>C30</v>
      </c>
      <c r="N2153" s="10" t="str">
        <f t="shared" si="204"/>
        <v>C67</v>
      </c>
      <c r="O2153" s="5">
        <f t="shared" si="205"/>
        <v>7.4096779805351884</v>
      </c>
      <c r="P2153" s="22">
        <f>O2153/Explications!$C$8</f>
        <v>0.2469892660178396</v>
      </c>
      <c r="Q2153" s="7" t="str">
        <f t="shared" si="206"/>
        <v>C67</v>
      </c>
      <c r="R2153" s="7" t="str">
        <f t="shared" si="207"/>
        <v>C30</v>
      </c>
      <c r="S2153" s="18">
        <f t="shared" si="208"/>
        <v>7.4096779805351884</v>
      </c>
      <c r="T2153" s="18">
        <f>S2153/Explications!$C$8</f>
        <v>0.2469892660178396</v>
      </c>
    </row>
    <row r="2154" spans="7:20">
      <c r="G2154" s="7" t="s">
        <v>46</v>
      </c>
      <c r="H2154" s="7" t="s">
        <v>84</v>
      </c>
      <c r="I2154" s="7">
        <v>46.865699999999997</v>
      </c>
      <c r="J2154" s="7">
        <v>-71.27</v>
      </c>
      <c r="K2154" s="7">
        <v>46.815600000000003</v>
      </c>
      <c r="L2154" s="7">
        <v>-71.2029</v>
      </c>
      <c r="M2154" s="10" t="str">
        <f t="shared" si="203"/>
        <v>C30</v>
      </c>
      <c r="N2154" s="10" t="str">
        <f t="shared" si="204"/>
        <v>C68</v>
      </c>
      <c r="O2154" s="5">
        <f t="shared" si="205"/>
        <v>7.5552612259042036</v>
      </c>
      <c r="P2154" s="22">
        <f>O2154/Explications!$C$8</f>
        <v>0.25184204086347345</v>
      </c>
      <c r="Q2154" s="7" t="str">
        <f t="shared" si="206"/>
        <v>C68</v>
      </c>
      <c r="R2154" s="7" t="str">
        <f t="shared" si="207"/>
        <v>C30</v>
      </c>
      <c r="S2154" s="18">
        <f t="shared" si="208"/>
        <v>7.5552612259042036</v>
      </c>
      <c r="T2154" s="18">
        <f>S2154/Explications!$C$8</f>
        <v>0.25184204086347345</v>
      </c>
    </row>
    <row r="2155" spans="7:20">
      <c r="G2155" s="7" t="s">
        <v>46</v>
      </c>
      <c r="H2155" s="7" t="s">
        <v>85</v>
      </c>
      <c r="I2155" s="7">
        <v>46.865699999999997</v>
      </c>
      <c r="J2155" s="7">
        <v>-71.27</v>
      </c>
      <c r="K2155" s="7">
        <v>46.821899999999999</v>
      </c>
      <c r="L2155" s="7">
        <v>-71.249899999999997</v>
      </c>
      <c r="M2155" s="10" t="str">
        <f t="shared" si="203"/>
        <v>C30</v>
      </c>
      <c r="N2155" s="10" t="str">
        <f t="shared" si="204"/>
        <v>C69</v>
      </c>
      <c r="O2155" s="5">
        <f t="shared" si="205"/>
        <v>5.1046256036475617</v>
      </c>
      <c r="P2155" s="22">
        <f>O2155/Explications!$C$8</f>
        <v>0.17015418678825206</v>
      </c>
      <c r="Q2155" s="7" t="str">
        <f t="shared" si="206"/>
        <v>C69</v>
      </c>
      <c r="R2155" s="7" t="str">
        <f t="shared" si="207"/>
        <v>C30</v>
      </c>
      <c r="S2155" s="18">
        <f t="shared" si="208"/>
        <v>5.1046256036475617</v>
      </c>
      <c r="T2155" s="18">
        <f>S2155/Explications!$C$8</f>
        <v>0.17015418678825206</v>
      </c>
    </row>
    <row r="2156" spans="7:20">
      <c r="G2156" s="7" t="s">
        <v>46</v>
      </c>
      <c r="H2156" s="7" t="s">
        <v>86</v>
      </c>
      <c r="I2156" s="7">
        <v>46.865699999999997</v>
      </c>
      <c r="J2156" s="7">
        <v>-71.27</v>
      </c>
      <c r="K2156" s="7">
        <v>46.8872</v>
      </c>
      <c r="L2156" s="7">
        <v>-71.27</v>
      </c>
      <c r="M2156" s="10" t="str">
        <f t="shared" si="203"/>
        <v>C30</v>
      </c>
      <c r="N2156" s="10" t="str">
        <f t="shared" si="204"/>
        <v>C70</v>
      </c>
      <c r="O2156" s="5">
        <f t="shared" si="205"/>
        <v>2.3906909223460451</v>
      </c>
      <c r="P2156" s="22">
        <f>O2156/Explications!$C$8</f>
        <v>7.9689697411534838E-2</v>
      </c>
      <c r="Q2156" s="7" t="str">
        <f t="shared" si="206"/>
        <v>C70</v>
      </c>
      <c r="R2156" s="7" t="str">
        <f t="shared" si="207"/>
        <v>C30</v>
      </c>
      <c r="S2156" s="18">
        <f t="shared" si="208"/>
        <v>2.3906909223460451</v>
      </c>
      <c r="T2156" s="18">
        <f>S2156/Explications!$C$8</f>
        <v>7.9689697411534838E-2</v>
      </c>
    </row>
    <row r="2157" spans="7:20">
      <c r="G2157" s="7" t="s">
        <v>46</v>
      </c>
      <c r="H2157" s="7" t="s">
        <v>87</v>
      </c>
      <c r="I2157" s="7">
        <v>46.865699999999997</v>
      </c>
      <c r="J2157" s="7">
        <v>-71.27</v>
      </c>
      <c r="K2157" s="7">
        <v>46.816299999999998</v>
      </c>
      <c r="L2157" s="7">
        <v>-71.210300000000004</v>
      </c>
      <c r="M2157" s="10" t="str">
        <f t="shared" si="203"/>
        <v>C30</v>
      </c>
      <c r="N2157" s="10" t="str">
        <f t="shared" si="204"/>
        <v>C71</v>
      </c>
      <c r="O2157" s="5">
        <f t="shared" si="205"/>
        <v>7.1268606926636879</v>
      </c>
      <c r="P2157" s="22">
        <f>O2157/Explications!$C$8</f>
        <v>0.2375620230887896</v>
      </c>
      <c r="Q2157" s="7" t="str">
        <f t="shared" si="206"/>
        <v>C71</v>
      </c>
      <c r="R2157" s="7" t="str">
        <f t="shared" si="207"/>
        <v>C30</v>
      </c>
      <c r="S2157" s="18">
        <f t="shared" si="208"/>
        <v>7.1268606926636879</v>
      </c>
      <c r="T2157" s="18">
        <f>S2157/Explications!$C$8</f>
        <v>0.2375620230887896</v>
      </c>
    </row>
    <row r="2158" spans="7:20">
      <c r="G2158" s="7" t="s">
        <v>46</v>
      </c>
      <c r="H2158" s="7" t="s">
        <v>88</v>
      </c>
      <c r="I2158" s="7">
        <v>46.865699999999997</v>
      </c>
      <c r="J2158" s="7">
        <v>-71.27</v>
      </c>
      <c r="K2158" s="7">
        <v>46.807000000000002</v>
      </c>
      <c r="L2158" s="7">
        <v>-71.3566</v>
      </c>
      <c r="M2158" s="10" t="str">
        <f t="shared" si="203"/>
        <v>C30</v>
      </c>
      <c r="N2158" s="10" t="str">
        <f t="shared" si="204"/>
        <v>C72</v>
      </c>
      <c r="O2158" s="5">
        <f t="shared" si="205"/>
        <v>9.2734630965005316</v>
      </c>
      <c r="P2158" s="22">
        <f>O2158/Explications!$C$8</f>
        <v>0.30911543655001772</v>
      </c>
      <c r="Q2158" s="7" t="str">
        <f t="shared" si="206"/>
        <v>C72</v>
      </c>
      <c r="R2158" s="7" t="str">
        <f t="shared" si="207"/>
        <v>C30</v>
      </c>
      <c r="S2158" s="18">
        <f t="shared" si="208"/>
        <v>9.2734630965005316</v>
      </c>
      <c r="T2158" s="18">
        <f>S2158/Explications!$C$8</f>
        <v>0.30911543655001772</v>
      </c>
    </row>
    <row r="2159" spans="7:20">
      <c r="G2159" s="7" t="s">
        <v>46</v>
      </c>
      <c r="H2159" s="7" t="s">
        <v>89</v>
      </c>
      <c r="I2159" s="7">
        <v>46.865699999999997</v>
      </c>
      <c r="J2159" s="7">
        <v>-71.27</v>
      </c>
      <c r="K2159" s="7">
        <v>46.822899999999997</v>
      </c>
      <c r="L2159" s="7">
        <v>-71.341899999999995</v>
      </c>
      <c r="M2159" s="10" t="str">
        <f t="shared" si="203"/>
        <v>C30</v>
      </c>
      <c r="N2159" s="10" t="str">
        <f t="shared" si="204"/>
        <v>C73</v>
      </c>
      <c r="O2159" s="5">
        <f t="shared" si="205"/>
        <v>7.2493243332961965</v>
      </c>
      <c r="P2159" s="22">
        <f>O2159/Explications!$C$8</f>
        <v>0.24164414444320656</v>
      </c>
      <c r="Q2159" s="7" t="str">
        <f t="shared" si="206"/>
        <v>C73</v>
      </c>
      <c r="R2159" s="7" t="str">
        <f t="shared" si="207"/>
        <v>C30</v>
      </c>
      <c r="S2159" s="18">
        <f t="shared" si="208"/>
        <v>7.2493243332961965</v>
      </c>
      <c r="T2159" s="18">
        <f>S2159/Explications!$C$8</f>
        <v>0.24164414444320656</v>
      </c>
    </row>
    <row r="2160" spans="7:20">
      <c r="G2160" s="7" t="s">
        <v>46</v>
      </c>
      <c r="H2160" s="7" t="s">
        <v>90</v>
      </c>
      <c r="I2160" s="7">
        <v>46.865699999999997</v>
      </c>
      <c r="J2160" s="7">
        <v>-71.27</v>
      </c>
      <c r="K2160" s="7">
        <v>46.730699999999999</v>
      </c>
      <c r="L2160" s="7">
        <v>-71.261099999999999</v>
      </c>
      <c r="M2160" s="10" t="str">
        <f t="shared" si="203"/>
        <v>C30</v>
      </c>
      <c r="N2160" s="10" t="str">
        <f t="shared" si="204"/>
        <v>C74</v>
      </c>
      <c r="O2160" s="5">
        <f t="shared" si="205"/>
        <v>15.026594806235277</v>
      </c>
      <c r="P2160" s="22">
        <f>O2160/Explications!$C$8</f>
        <v>0.50088649354117587</v>
      </c>
      <c r="Q2160" s="7" t="str">
        <f t="shared" si="206"/>
        <v>C74</v>
      </c>
      <c r="R2160" s="7" t="str">
        <f t="shared" si="207"/>
        <v>C30</v>
      </c>
      <c r="S2160" s="18">
        <f t="shared" si="208"/>
        <v>15.026594806235277</v>
      </c>
      <c r="T2160" s="18">
        <f>S2160/Explications!$C$8</f>
        <v>0.50088649354117587</v>
      </c>
    </row>
    <row r="2161" spans="7:20">
      <c r="G2161" s="7" t="s">
        <v>46</v>
      </c>
      <c r="H2161" s="7" t="s">
        <v>91</v>
      </c>
      <c r="I2161" s="7">
        <v>46.865699999999997</v>
      </c>
      <c r="J2161" s="7">
        <v>-71.27</v>
      </c>
      <c r="K2161" s="7">
        <v>46.840600000000002</v>
      </c>
      <c r="L2161" s="7">
        <v>-71.289100000000005</v>
      </c>
      <c r="M2161" s="10" t="str">
        <f t="shared" si="203"/>
        <v>C30</v>
      </c>
      <c r="N2161" s="10" t="str">
        <f t="shared" si="204"/>
        <v>C75</v>
      </c>
      <c r="O2161" s="5">
        <f t="shared" si="205"/>
        <v>3.1462937189773088</v>
      </c>
      <c r="P2161" s="22">
        <f>O2161/Explications!$C$8</f>
        <v>0.10487645729924362</v>
      </c>
      <c r="Q2161" s="7" t="str">
        <f t="shared" si="206"/>
        <v>C75</v>
      </c>
      <c r="R2161" s="7" t="str">
        <f t="shared" si="207"/>
        <v>C30</v>
      </c>
      <c r="S2161" s="18">
        <f t="shared" si="208"/>
        <v>3.1462937189773088</v>
      </c>
      <c r="T2161" s="18">
        <f>S2161/Explications!$C$8</f>
        <v>0.10487645729924362</v>
      </c>
    </row>
    <row r="2162" spans="7:20">
      <c r="G2162" s="7" t="s">
        <v>46</v>
      </c>
      <c r="H2162" s="7" t="s">
        <v>92</v>
      </c>
      <c r="I2162" s="7">
        <v>46.865699999999997</v>
      </c>
      <c r="J2162" s="7">
        <v>-71.27</v>
      </c>
      <c r="K2162" s="7">
        <v>46.840600000000002</v>
      </c>
      <c r="L2162" s="7">
        <v>-71.281599999999997</v>
      </c>
      <c r="M2162" s="10" t="str">
        <f t="shared" si="203"/>
        <v>C30</v>
      </c>
      <c r="N2162" s="10" t="str">
        <f t="shared" si="204"/>
        <v>C76</v>
      </c>
      <c r="O2162" s="5">
        <f t="shared" si="205"/>
        <v>2.9270697007931359</v>
      </c>
      <c r="P2162" s="22">
        <f>O2162/Explications!$C$8</f>
        <v>9.756899002643786E-2</v>
      </c>
      <c r="Q2162" s="7" t="str">
        <f t="shared" si="206"/>
        <v>C76</v>
      </c>
      <c r="R2162" s="7" t="str">
        <f t="shared" si="207"/>
        <v>C30</v>
      </c>
      <c r="S2162" s="18">
        <f t="shared" si="208"/>
        <v>2.9270697007931359</v>
      </c>
      <c r="T2162" s="18">
        <f>S2162/Explications!$C$8</f>
        <v>9.756899002643786E-2</v>
      </c>
    </row>
    <row r="2163" spans="7:20">
      <c r="G2163" s="7" t="s">
        <v>46</v>
      </c>
      <c r="H2163" s="7" t="s">
        <v>93</v>
      </c>
      <c r="I2163" s="7">
        <v>46.865699999999997</v>
      </c>
      <c r="J2163" s="7">
        <v>-71.27</v>
      </c>
      <c r="K2163" s="7">
        <v>46.839399999999998</v>
      </c>
      <c r="L2163" s="7">
        <v>-71.282600000000002</v>
      </c>
      <c r="M2163" s="10" t="str">
        <f t="shared" si="203"/>
        <v>C30</v>
      </c>
      <c r="N2163" s="10" t="str">
        <f t="shared" si="204"/>
        <v>C77</v>
      </c>
      <c r="O2163" s="5">
        <f t="shared" si="205"/>
        <v>3.077389390790775</v>
      </c>
      <c r="P2163" s="22">
        <f>O2163/Explications!$C$8</f>
        <v>0.10257964635969249</v>
      </c>
      <c r="Q2163" s="7" t="str">
        <f t="shared" si="206"/>
        <v>C77</v>
      </c>
      <c r="R2163" s="7" t="str">
        <f t="shared" si="207"/>
        <v>C30</v>
      </c>
      <c r="S2163" s="18">
        <f t="shared" si="208"/>
        <v>3.077389390790775</v>
      </c>
      <c r="T2163" s="18">
        <f>S2163/Explications!$C$8</f>
        <v>0.10257964635969249</v>
      </c>
    </row>
    <row r="2164" spans="7:20">
      <c r="G2164" s="7" t="s">
        <v>46</v>
      </c>
      <c r="H2164" s="7" t="s">
        <v>94</v>
      </c>
      <c r="I2164" s="7">
        <v>46.865699999999997</v>
      </c>
      <c r="J2164" s="7">
        <v>-71.27</v>
      </c>
      <c r="K2164" s="7">
        <v>46.788499999999999</v>
      </c>
      <c r="L2164" s="7">
        <v>-71.282399999999996</v>
      </c>
      <c r="M2164" s="10" t="str">
        <f t="shared" si="203"/>
        <v>C30</v>
      </c>
      <c r="N2164" s="10" t="str">
        <f t="shared" si="204"/>
        <v>C78</v>
      </c>
      <c r="O2164" s="5">
        <f t="shared" si="205"/>
        <v>8.6359309354008076</v>
      </c>
      <c r="P2164" s="22">
        <f>O2164/Explications!$C$8</f>
        <v>0.28786436451336023</v>
      </c>
      <c r="Q2164" s="7" t="str">
        <f t="shared" si="206"/>
        <v>C78</v>
      </c>
      <c r="R2164" s="7" t="str">
        <f t="shared" si="207"/>
        <v>C30</v>
      </c>
      <c r="S2164" s="18">
        <f t="shared" si="208"/>
        <v>8.6359309354008076</v>
      </c>
      <c r="T2164" s="18">
        <f>S2164/Explications!$C$8</f>
        <v>0.28786436451336023</v>
      </c>
    </row>
    <row r="2165" spans="7:20">
      <c r="G2165" s="7" t="s">
        <v>46</v>
      </c>
      <c r="H2165" s="7" t="s">
        <v>95</v>
      </c>
      <c r="I2165" s="7">
        <v>46.865699999999997</v>
      </c>
      <c r="J2165" s="7">
        <v>-71.27</v>
      </c>
      <c r="K2165" s="7">
        <v>46.840699999999998</v>
      </c>
      <c r="L2165" s="7">
        <v>-71.325400000000002</v>
      </c>
      <c r="M2165" s="10" t="str">
        <f t="shared" si="203"/>
        <v>C30</v>
      </c>
      <c r="N2165" s="10" t="str">
        <f t="shared" si="204"/>
        <v>C79</v>
      </c>
      <c r="O2165" s="5">
        <f t="shared" si="205"/>
        <v>5.0472929038313739</v>
      </c>
      <c r="P2165" s="22">
        <f>O2165/Explications!$C$8</f>
        <v>0.16824309679437913</v>
      </c>
      <c r="Q2165" s="7" t="str">
        <f t="shared" si="206"/>
        <v>C79</v>
      </c>
      <c r="R2165" s="7" t="str">
        <f t="shared" si="207"/>
        <v>C30</v>
      </c>
      <c r="S2165" s="18">
        <f t="shared" si="208"/>
        <v>5.0472929038313739</v>
      </c>
      <c r="T2165" s="18">
        <f>S2165/Explications!$C$8</f>
        <v>0.16824309679437913</v>
      </c>
    </row>
    <row r="2166" spans="7:20">
      <c r="G2166" s="7" t="s">
        <v>46</v>
      </c>
      <c r="H2166" s="7" t="s">
        <v>96</v>
      </c>
      <c r="I2166" s="7">
        <v>46.865699999999997</v>
      </c>
      <c r="J2166" s="7">
        <v>-71.27</v>
      </c>
      <c r="K2166" s="7">
        <v>46.798400000000001</v>
      </c>
      <c r="L2166" s="7">
        <v>-71.183199999999999</v>
      </c>
      <c r="M2166" s="10" t="str">
        <f t="shared" si="203"/>
        <v>C30</v>
      </c>
      <c r="N2166" s="10" t="str">
        <f t="shared" si="204"/>
        <v>C80</v>
      </c>
      <c r="O2166" s="5">
        <f t="shared" si="205"/>
        <v>9.9801162844910927</v>
      </c>
      <c r="P2166" s="22">
        <f>O2166/Explications!$C$8</f>
        <v>0.33267054281636976</v>
      </c>
      <c r="Q2166" s="7" t="str">
        <f t="shared" si="206"/>
        <v>C80</v>
      </c>
      <c r="R2166" s="7" t="str">
        <f t="shared" si="207"/>
        <v>C30</v>
      </c>
      <c r="S2166" s="18">
        <f t="shared" si="208"/>
        <v>9.9801162844910927</v>
      </c>
      <c r="T2166" s="18">
        <f>S2166/Explications!$C$8</f>
        <v>0.33267054281636976</v>
      </c>
    </row>
    <row r="2167" spans="7:20">
      <c r="G2167" s="7" t="s">
        <v>46</v>
      </c>
      <c r="H2167" s="7" t="s">
        <v>97</v>
      </c>
      <c r="I2167" s="7">
        <v>46.865699999999997</v>
      </c>
      <c r="J2167" s="7">
        <v>-71.27</v>
      </c>
      <c r="K2167" s="7">
        <v>46.724800000000002</v>
      </c>
      <c r="L2167" s="7">
        <v>-71.2988</v>
      </c>
      <c r="M2167" s="10" t="str">
        <f t="shared" si="203"/>
        <v>C30</v>
      </c>
      <c r="N2167" s="10" t="str">
        <f t="shared" si="204"/>
        <v>C81</v>
      </c>
      <c r="O2167" s="5">
        <f t="shared" si="205"/>
        <v>15.820016551720528</v>
      </c>
      <c r="P2167" s="22">
        <f>O2167/Explications!$C$8</f>
        <v>0.5273338850573509</v>
      </c>
      <c r="Q2167" s="7" t="str">
        <f t="shared" si="206"/>
        <v>C81</v>
      </c>
      <c r="R2167" s="7" t="str">
        <f t="shared" si="207"/>
        <v>C30</v>
      </c>
      <c r="S2167" s="18">
        <f t="shared" si="208"/>
        <v>15.820016551720528</v>
      </c>
      <c r="T2167" s="18">
        <f>S2167/Explications!$C$8</f>
        <v>0.5273338850573509</v>
      </c>
    </row>
    <row r="2168" spans="7:20">
      <c r="G2168" s="7" t="s">
        <v>46</v>
      </c>
      <c r="H2168" s="7" t="s">
        <v>98</v>
      </c>
      <c r="I2168" s="7">
        <v>46.865699999999997</v>
      </c>
      <c r="J2168" s="7">
        <v>-71.27</v>
      </c>
      <c r="K2168" s="7">
        <v>46.795499999999997</v>
      </c>
      <c r="L2168" s="7">
        <v>-71.242900000000006</v>
      </c>
      <c r="M2168" s="10" t="str">
        <f t="shared" si="203"/>
        <v>C30</v>
      </c>
      <c r="N2168" s="10" t="str">
        <f t="shared" si="204"/>
        <v>C82</v>
      </c>
      <c r="O2168" s="5">
        <f t="shared" si="205"/>
        <v>8.0735452959040241</v>
      </c>
      <c r="P2168" s="22">
        <f>O2168/Explications!$C$8</f>
        <v>0.26911817653013415</v>
      </c>
      <c r="Q2168" s="7" t="str">
        <f t="shared" si="206"/>
        <v>C82</v>
      </c>
      <c r="R2168" s="7" t="str">
        <f t="shared" si="207"/>
        <v>C30</v>
      </c>
      <c r="S2168" s="18">
        <f t="shared" si="208"/>
        <v>8.0735452959040241</v>
      </c>
      <c r="T2168" s="18">
        <f>S2168/Explications!$C$8</f>
        <v>0.26911817653013415</v>
      </c>
    </row>
    <row r="2169" spans="7:20">
      <c r="G2169" s="7" t="s">
        <v>46</v>
      </c>
      <c r="H2169" s="7" t="s">
        <v>99</v>
      </c>
      <c r="I2169" s="7">
        <v>46.865699999999997</v>
      </c>
      <c r="J2169" s="7">
        <v>-71.27</v>
      </c>
      <c r="K2169" s="7">
        <v>46.8157</v>
      </c>
      <c r="L2169" s="7">
        <v>-71.201899999999995</v>
      </c>
      <c r="M2169" s="10" t="str">
        <f t="shared" si="203"/>
        <v>C30</v>
      </c>
      <c r="N2169" s="10" t="str">
        <f t="shared" si="204"/>
        <v>C83</v>
      </c>
      <c r="O2169" s="5">
        <f t="shared" si="205"/>
        <v>7.5987049572975378</v>
      </c>
      <c r="P2169" s="22">
        <f>O2169/Explications!$C$8</f>
        <v>0.25329016524325126</v>
      </c>
      <c r="Q2169" s="7" t="str">
        <f t="shared" si="206"/>
        <v>C83</v>
      </c>
      <c r="R2169" s="7" t="str">
        <f t="shared" si="207"/>
        <v>C30</v>
      </c>
      <c r="S2169" s="18">
        <f t="shared" si="208"/>
        <v>7.5987049572975378</v>
      </c>
      <c r="T2169" s="18">
        <f>S2169/Explications!$C$8</f>
        <v>0.25329016524325126</v>
      </c>
    </row>
    <row r="2170" spans="7:20">
      <c r="G2170" s="7" t="s">
        <v>46</v>
      </c>
      <c r="H2170" s="7" t="s">
        <v>100</v>
      </c>
      <c r="I2170" s="7">
        <v>46.865699999999997</v>
      </c>
      <c r="J2170" s="7">
        <v>-71.27</v>
      </c>
      <c r="K2170" s="7">
        <v>46.837600000000002</v>
      </c>
      <c r="L2170" s="7">
        <v>-71.196299999999994</v>
      </c>
      <c r="M2170" s="10" t="str">
        <f t="shared" si="203"/>
        <v>C30</v>
      </c>
      <c r="N2170" s="10" t="str">
        <f t="shared" si="204"/>
        <v>C84</v>
      </c>
      <c r="O2170" s="5">
        <f t="shared" si="205"/>
        <v>6.4166686894505478</v>
      </c>
      <c r="P2170" s="22">
        <f>O2170/Explications!$C$8</f>
        <v>0.21388895631501825</v>
      </c>
      <c r="Q2170" s="7" t="str">
        <f t="shared" si="206"/>
        <v>C84</v>
      </c>
      <c r="R2170" s="7" t="str">
        <f t="shared" si="207"/>
        <v>C30</v>
      </c>
      <c r="S2170" s="18">
        <f t="shared" si="208"/>
        <v>6.4166686894505478</v>
      </c>
      <c r="T2170" s="18">
        <f>S2170/Explications!$C$8</f>
        <v>0.21388895631501825</v>
      </c>
    </row>
    <row r="2171" spans="7:20">
      <c r="G2171" s="7" t="s">
        <v>46</v>
      </c>
      <c r="H2171" s="7" t="s">
        <v>101</v>
      </c>
      <c r="I2171" s="7">
        <v>46.865699999999997</v>
      </c>
      <c r="J2171" s="7">
        <v>-71.27</v>
      </c>
      <c r="K2171" s="7">
        <v>46.7988</v>
      </c>
      <c r="L2171" s="7">
        <v>-71.318200000000004</v>
      </c>
      <c r="M2171" s="10" t="str">
        <f t="shared" si="203"/>
        <v>C30</v>
      </c>
      <c r="N2171" s="10" t="str">
        <f t="shared" si="204"/>
        <v>C85</v>
      </c>
      <c r="O2171" s="5">
        <f t="shared" si="205"/>
        <v>8.2935208784836547</v>
      </c>
      <c r="P2171" s="22">
        <f>O2171/Explications!$C$8</f>
        <v>0.27645069594945515</v>
      </c>
      <c r="Q2171" s="7" t="str">
        <f t="shared" si="206"/>
        <v>C85</v>
      </c>
      <c r="R2171" s="7" t="str">
        <f t="shared" si="207"/>
        <v>C30</v>
      </c>
      <c r="S2171" s="18">
        <f t="shared" si="208"/>
        <v>8.2935208784836547</v>
      </c>
      <c r="T2171" s="18">
        <f>S2171/Explications!$C$8</f>
        <v>0.27645069594945515</v>
      </c>
    </row>
    <row r="2172" spans="7:20">
      <c r="G2172" s="7" t="s">
        <v>47</v>
      </c>
      <c r="H2172" s="7" t="s">
        <v>48</v>
      </c>
      <c r="I2172" s="7">
        <v>46.805500000000002</v>
      </c>
      <c r="J2172" s="7">
        <v>-71.217299999999994</v>
      </c>
      <c r="K2172" s="7">
        <v>46.792299999999997</v>
      </c>
      <c r="L2172" s="7">
        <v>-71.172899999999998</v>
      </c>
      <c r="M2172" s="10" t="str">
        <f t="shared" si="203"/>
        <v>C31</v>
      </c>
      <c r="N2172" s="10" t="str">
        <f t="shared" si="204"/>
        <v>C32</v>
      </c>
      <c r="O2172" s="5">
        <f t="shared" si="205"/>
        <v>3.6846756845160442</v>
      </c>
      <c r="P2172" s="22">
        <f>O2172/Explications!$C$8</f>
        <v>0.12282252281720148</v>
      </c>
      <c r="Q2172" s="7" t="str">
        <f t="shared" si="206"/>
        <v>C32</v>
      </c>
      <c r="R2172" s="7" t="str">
        <f t="shared" si="207"/>
        <v>C31</v>
      </c>
      <c r="S2172" s="18">
        <f t="shared" si="208"/>
        <v>3.6846756845160442</v>
      </c>
      <c r="T2172" s="18">
        <f>S2172/Explications!$C$8</f>
        <v>0.12282252281720148</v>
      </c>
    </row>
    <row r="2173" spans="7:20">
      <c r="G2173" s="7" t="s">
        <v>47</v>
      </c>
      <c r="H2173" s="7" t="s">
        <v>49</v>
      </c>
      <c r="I2173" s="7">
        <v>46.805500000000002</v>
      </c>
      <c r="J2173" s="7">
        <v>-71.217299999999994</v>
      </c>
      <c r="K2173" s="7">
        <v>46.7883</v>
      </c>
      <c r="L2173" s="7">
        <v>-71.131200000000007</v>
      </c>
      <c r="M2173" s="10" t="str">
        <f t="shared" si="203"/>
        <v>C31</v>
      </c>
      <c r="N2173" s="10" t="str">
        <f t="shared" si="204"/>
        <v>C33</v>
      </c>
      <c r="O2173" s="5">
        <f t="shared" si="205"/>
        <v>6.8274999617780674</v>
      </c>
      <c r="P2173" s="22">
        <f>O2173/Explications!$C$8</f>
        <v>0.22758333205926892</v>
      </c>
      <c r="Q2173" s="7" t="str">
        <f t="shared" si="206"/>
        <v>C33</v>
      </c>
      <c r="R2173" s="7" t="str">
        <f t="shared" si="207"/>
        <v>C31</v>
      </c>
      <c r="S2173" s="18">
        <f t="shared" si="208"/>
        <v>6.8274999617780674</v>
      </c>
      <c r="T2173" s="18">
        <f>S2173/Explications!$C$8</f>
        <v>0.22758333205926892</v>
      </c>
    </row>
    <row r="2174" spans="7:20">
      <c r="G2174" s="7" t="s">
        <v>47</v>
      </c>
      <c r="H2174" s="7" t="s">
        <v>50</v>
      </c>
      <c r="I2174" s="7">
        <v>46.805500000000002</v>
      </c>
      <c r="J2174" s="7">
        <v>-71.217299999999994</v>
      </c>
      <c r="K2174" s="7">
        <v>46.8611</v>
      </c>
      <c r="L2174" s="7">
        <v>-71.268799999999999</v>
      </c>
      <c r="M2174" s="10" t="str">
        <f t="shared" si="203"/>
        <v>C31</v>
      </c>
      <c r="N2174" s="10" t="str">
        <f t="shared" si="204"/>
        <v>C34</v>
      </c>
      <c r="O2174" s="5">
        <f t="shared" si="205"/>
        <v>7.3191927315853649</v>
      </c>
      <c r="P2174" s="22">
        <f>O2174/Explications!$C$8</f>
        <v>0.24397309105284551</v>
      </c>
      <c r="Q2174" s="7" t="str">
        <f t="shared" si="206"/>
        <v>C34</v>
      </c>
      <c r="R2174" s="7" t="str">
        <f t="shared" si="207"/>
        <v>C31</v>
      </c>
      <c r="S2174" s="18">
        <f t="shared" si="208"/>
        <v>7.3191927315853649</v>
      </c>
      <c r="T2174" s="18">
        <f>S2174/Explications!$C$8</f>
        <v>0.24397309105284551</v>
      </c>
    </row>
    <row r="2175" spans="7:20">
      <c r="G2175" s="7" t="s">
        <v>47</v>
      </c>
      <c r="H2175" s="7" t="s">
        <v>51</v>
      </c>
      <c r="I2175" s="7">
        <v>46.805500000000002</v>
      </c>
      <c r="J2175" s="7">
        <v>-71.217299999999994</v>
      </c>
      <c r="K2175" s="7">
        <v>46.869700000000002</v>
      </c>
      <c r="L2175" s="7">
        <v>-71.205200000000005</v>
      </c>
      <c r="M2175" s="10" t="str">
        <f t="shared" si="203"/>
        <v>C31</v>
      </c>
      <c r="N2175" s="10" t="str">
        <f t="shared" si="204"/>
        <v>C35</v>
      </c>
      <c r="O2175" s="5">
        <f t="shared" si="205"/>
        <v>7.1978018620660471</v>
      </c>
      <c r="P2175" s="22">
        <f>O2175/Explications!$C$8</f>
        <v>0.23992672873553492</v>
      </c>
      <c r="Q2175" s="7" t="str">
        <f t="shared" si="206"/>
        <v>C35</v>
      </c>
      <c r="R2175" s="7" t="str">
        <f t="shared" si="207"/>
        <v>C31</v>
      </c>
      <c r="S2175" s="18">
        <f t="shared" si="208"/>
        <v>7.1978018620660471</v>
      </c>
      <c r="T2175" s="18">
        <f>S2175/Explications!$C$8</f>
        <v>0.23992672873553492</v>
      </c>
    </row>
    <row r="2176" spans="7:20">
      <c r="G2176" s="7" t="s">
        <v>47</v>
      </c>
      <c r="H2176" s="7" t="s">
        <v>52</v>
      </c>
      <c r="I2176" s="7">
        <v>46.805500000000002</v>
      </c>
      <c r="J2176" s="7">
        <v>-71.217299999999994</v>
      </c>
      <c r="K2176" s="7">
        <v>46.774099999999997</v>
      </c>
      <c r="L2176" s="7">
        <v>-71.174000000000007</v>
      </c>
      <c r="M2176" s="10" t="str">
        <f t="shared" si="203"/>
        <v>C31</v>
      </c>
      <c r="N2176" s="10" t="str">
        <f t="shared" si="204"/>
        <v>C36</v>
      </c>
      <c r="O2176" s="5">
        <f t="shared" si="205"/>
        <v>4.801864225612829</v>
      </c>
      <c r="P2176" s="22">
        <f>O2176/Explications!$C$8</f>
        <v>0.16006214085376097</v>
      </c>
      <c r="Q2176" s="7" t="str">
        <f t="shared" si="206"/>
        <v>C36</v>
      </c>
      <c r="R2176" s="7" t="str">
        <f t="shared" si="207"/>
        <v>C31</v>
      </c>
      <c r="S2176" s="18">
        <f t="shared" si="208"/>
        <v>4.801864225612829</v>
      </c>
      <c r="T2176" s="18">
        <f>S2176/Explications!$C$8</f>
        <v>0.16006214085376097</v>
      </c>
    </row>
    <row r="2177" spans="7:20">
      <c r="G2177" s="7" t="s">
        <v>47</v>
      </c>
      <c r="H2177" s="7" t="s">
        <v>53</v>
      </c>
      <c r="I2177" s="7">
        <v>46.805500000000002</v>
      </c>
      <c r="J2177" s="7">
        <v>-71.217299999999994</v>
      </c>
      <c r="K2177" s="7">
        <v>46.808500000000002</v>
      </c>
      <c r="L2177" s="7">
        <v>-71.326599999999999</v>
      </c>
      <c r="M2177" s="10" t="str">
        <f t="shared" si="203"/>
        <v>C31</v>
      </c>
      <c r="N2177" s="10" t="str">
        <f t="shared" si="204"/>
        <v>C37</v>
      </c>
      <c r="O2177" s="5">
        <f t="shared" si="205"/>
        <v>8.3253181595645707</v>
      </c>
      <c r="P2177" s="22">
        <f>O2177/Explications!$C$8</f>
        <v>0.27751060531881905</v>
      </c>
      <c r="Q2177" s="7" t="str">
        <f t="shared" si="206"/>
        <v>C37</v>
      </c>
      <c r="R2177" s="7" t="str">
        <f t="shared" si="207"/>
        <v>C31</v>
      </c>
      <c r="S2177" s="18">
        <f t="shared" si="208"/>
        <v>8.3253181595645707</v>
      </c>
      <c r="T2177" s="18">
        <f>S2177/Explications!$C$8</f>
        <v>0.27751060531881905</v>
      </c>
    </row>
    <row r="2178" spans="7:20">
      <c r="G2178" s="7" t="s">
        <v>47</v>
      </c>
      <c r="H2178" s="7" t="s">
        <v>54</v>
      </c>
      <c r="I2178" s="7">
        <v>46.805500000000002</v>
      </c>
      <c r="J2178" s="7">
        <v>-71.217299999999994</v>
      </c>
      <c r="K2178" s="7">
        <v>46.797499999999999</v>
      </c>
      <c r="L2178" s="7">
        <v>-71.306100000000001</v>
      </c>
      <c r="M2178" s="10" t="str">
        <f t="shared" si="203"/>
        <v>C31</v>
      </c>
      <c r="N2178" s="10" t="str">
        <f t="shared" si="204"/>
        <v>C38</v>
      </c>
      <c r="O2178" s="5">
        <f t="shared" si="205"/>
        <v>6.8173899801015372</v>
      </c>
      <c r="P2178" s="22">
        <f>O2178/Explications!$C$8</f>
        <v>0.22724633267005123</v>
      </c>
      <c r="Q2178" s="7" t="str">
        <f t="shared" si="206"/>
        <v>C38</v>
      </c>
      <c r="R2178" s="7" t="str">
        <f t="shared" si="207"/>
        <v>C31</v>
      </c>
      <c r="S2178" s="18">
        <f t="shared" si="208"/>
        <v>6.8173899801015372</v>
      </c>
      <c r="T2178" s="18">
        <f>S2178/Explications!$C$8</f>
        <v>0.22724633267005123</v>
      </c>
    </row>
    <row r="2179" spans="7:20">
      <c r="G2179" s="7" t="s">
        <v>47</v>
      </c>
      <c r="H2179" s="7" t="s">
        <v>55</v>
      </c>
      <c r="I2179" s="7">
        <v>46.805500000000002</v>
      </c>
      <c r="J2179" s="7">
        <v>-71.217299999999994</v>
      </c>
      <c r="K2179" s="7">
        <v>46.8155</v>
      </c>
      <c r="L2179" s="7">
        <v>-71.268199999999993</v>
      </c>
      <c r="M2179" s="10" t="str">
        <f t="shared" si="203"/>
        <v>C31</v>
      </c>
      <c r="N2179" s="10" t="str">
        <f t="shared" si="204"/>
        <v>C39</v>
      </c>
      <c r="O2179" s="5">
        <f t="shared" si="205"/>
        <v>4.0300943209233147</v>
      </c>
      <c r="P2179" s="22">
        <f>O2179/Explications!$C$8</f>
        <v>0.1343364773641105</v>
      </c>
      <c r="Q2179" s="7" t="str">
        <f t="shared" si="206"/>
        <v>C39</v>
      </c>
      <c r="R2179" s="7" t="str">
        <f t="shared" si="207"/>
        <v>C31</v>
      </c>
      <c r="S2179" s="18">
        <f t="shared" si="208"/>
        <v>4.0300943209233147</v>
      </c>
      <c r="T2179" s="18">
        <f>S2179/Explications!$C$8</f>
        <v>0.1343364773641105</v>
      </c>
    </row>
    <row r="2180" spans="7:20">
      <c r="G2180" s="7" t="s">
        <v>47</v>
      </c>
      <c r="H2180" s="7" t="s">
        <v>56</v>
      </c>
      <c r="I2180" s="7">
        <v>46.805500000000002</v>
      </c>
      <c r="J2180" s="7">
        <v>-71.217299999999994</v>
      </c>
      <c r="K2180" s="7">
        <v>46.866700000000002</v>
      </c>
      <c r="L2180" s="7">
        <v>-71.215900000000005</v>
      </c>
      <c r="M2180" s="10" t="str">
        <f t="shared" ref="M2180:M2243" si="209">G2180</f>
        <v>C31</v>
      </c>
      <c r="N2180" s="10" t="str">
        <f t="shared" ref="N2180:N2243" si="210">H2180</f>
        <v>C40</v>
      </c>
      <c r="O2180" s="5">
        <f t="shared" ref="O2180:O2243" si="211">ACOS(SIN(RADIANS(I2180))*SIN(RADIANS(K2180))+COS(RADIANS(I2180))*COS(RADIANS(K2180))*COS(RADIANS(J2180-L2180)))*6371</f>
        <v>6.8059627241216702</v>
      </c>
      <c r="P2180" s="22">
        <f>O2180/Explications!$C$8</f>
        <v>0.226865424137389</v>
      </c>
      <c r="Q2180" s="7" t="str">
        <f t="shared" ref="Q2180:Q2243" si="212">N2180</f>
        <v>C40</v>
      </c>
      <c r="R2180" s="7" t="str">
        <f t="shared" ref="R2180:R2243" si="213">M2180</f>
        <v>C31</v>
      </c>
      <c r="S2180" s="18">
        <f t="shared" ref="S2180:S2243" si="214">O2180</f>
        <v>6.8059627241216702</v>
      </c>
      <c r="T2180" s="18">
        <f>S2180/Explications!$C$8</f>
        <v>0.226865424137389</v>
      </c>
    </row>
    <row r="2181" spans="7:20">
      <c r="G2181" s="7" t="s">
        <v>47</v>
      </c>
      <c r="H2181" s="7" t="s">
        <v>57</v>
      </c>
      <c r="I2181" s="7">
        <v>46.805500000000002</v>
      </c>
      <c r="J2181" s="7">
        <v>-71.217299999999994</v>
      </c>
      <c r="K2181" s="7">
        <v>46.762099999999997</v>
      </c>
      <c r="L2181" s="7">
        <v>-71.235399999999998</v>
      </c>
      <c r="M2181" s="10" t="str">
        <f t="shared" si="209"/>
        <v>C31</v>
      </c>
      <c r="N2181" s="10" t="str">
        <f t="shared" si="210"/>
        <v>C41</v>
      </c>
      <c r="O2181" s="5">
        <f t="shared" si="211"/>
        <v>5.0187876824072957</v>
      </c>
      <c r="P2181" s="22">
        <f>O2181/Explications!$C$8</f>
        <v>0.16729292274690985</v>
      </c>
      <c r="Q2181" s="7" t="str">
        <f t="shared" si="212"/>
        <v>C41</v>
      </c>
      <c r="R2181" s="7" t="str">
        <f t="shared" si="213"/>
        <v>C31</v>
      </c>
      <c r="S2181" s="18">
        <f t="shared" si="214"/>
        <v>5.0187876824072957</v>
      </c>
      <c r="T2181" s="18">
        <f>S2181/Explications!$C$8</f>
        <v>0.16729292274690985</v>
      </c>
    </row>
    <row r="2182" spans="7:20">
      <c r="G2182" s="7" t="s">
        <v>47</v>
      </c>
      <c r="H2182" s="7" t="s">
        <v>58</v>
      </c>
      <c r="I2182" s="7">
        <v>46.805500000000002</v>
      </c>
      <c r="J2182" s="7">
        <v>-71.217299999999994</v>
      </c>
      <c r="K2182" s="7">
        <v>46.8157</v>
      </c>
      <c r="L2182" s="7">
        <v>-71.2042</v>
      </c>
      <c r="M2182" s="10" t="str">
        <f t="shared" si="209"/>
        <v>C31</v>
      </c>
      <c r="N2182" s="10" t="str">
        <f t="shared" si="210"/>
        <v>C42</v>
      </c>
      <c r="O2182" s="5">
        <f t="shared" si="211"/>
        <v>1.5100646582409161</v>
      </c>
      <c r="P2182" s="22">
        <f>O2182/Explications!$C$8</f>
        <v>5.0335488608030533E-2</v>
      </c>
      <c r="Q2182" s="7" t="str">
        <f t="shared" si="212"/>
        <v>C42</v>
      </c>
      <c r="R2182" s="7" t="str">
        <f t="shared" si="213"/>
        <v>C31</v>
      </c>
      <c r="S2182" s="18">
        <f t="shared" si="214"/>
        <v>1.5100646582409161</v>
      </c>
      <c r="T2182" s="18">
        <f>S2182/Explications!$C$8</f>
        <v>5.0335488608030533E-2</v>
      </c>
    </row>
    <row r="2183" spans="7:20">
      <c r="G2183" s="7" t="s">
        <v>47</v>
      </c>
      <c r="H2183" s="7" t="s">
        <v>59</v>
      </c>
      <c r="I2183" s="7">
        <v>46.805500000000002</v>
      </c>
      <c r="J2183" s="7">
        <v>-71.217299999999994</v>
      </c>
      <c r="K2183" s="7">
        <v>46.707000000000001</v>
      </c>
      <c r="L2183" s="7">
        <v>-71.217100000000002</v>
      </c>
      <c r="M2183" s="10" t="str">
        <f t="shared" si="209"/>
        <v>C31</v>
      </c>
      <c r="N2183" s="10" t="str">
        <f t="shared" si="210"/>
        <v>C43</v>
      </c>
      <c r="O2183" s="5">
        <f t="shared" si="211"/>
        <v>10.952710871775178</v>
      </c>
      <c r="P2183" s="22">
        <f>O2183/Explications!$C$8</f>
        <v>0.36509036239250592</v>
      </c>
      <c r="Q2183" s="7" t="str">
        <f t="shared" si="212"/>
        <v>C43</v>
      </c>
      <c r="R2183" s="7" t="str">
        <f t="shared" si="213"/>
        <v>C31</v>
      </c>
      <c r="S2183" s="18">
        <f t="shared" si="214"/>
        <v>10.952710871775178</v>
      </c>
      <c r="T2183" s="18">
        <f>S2183/Explications!$C$8</f>
        <v>0.36509036239250592</v>
      </c>
    </row>
    <row r="2184" spans="7:20">
      <c r="G2184" s="7" t="s">
        <v>47</v>
      </c>
      <c r="H2184" s="7" t="s">
        <v>60</v>
      </c>
      <c r="I2184" s="7">
        <v>46.805500000000002</v>
      </c>
      <c r="J2184" s="7">
        <v>-71.217299999999994</v>
      </c>
      <c r="K2184" s="7">
        <v>46.802900000000001</v>
      </c>
      <c r="L2184" s="7">
        <v>-71.228899999999996</v>
      </c>
      <c r="M2184" s="10" t="str">
        <f t="shared" si="209"/>
        <v>C31</v>
      </c>
      <c r="N2184" s="10" t="str">
        <f t="shared" si="210"/>
        <v>C44</v>
      </c>
      <c r="O2184" s="5">
        <f t="shared" si="211"/>
        <v>0.92903084594966923</v>
      </c>
      <c r="P2184" s="22">
        <f>O2184/Explications!$C$8</f>
        <v>3.0967694864988973E-2</v>
      </c>
      <c r="Q2184" s="7" t="str">
        <f t="shared" si="212"/>
        <v>C44</v>
      </c>
      <c r="R2184" s="7" t="str">
        <f t="shared" si="213"/>
        <v>C31</v>
      </c>
      <c r="S2184" s="18">
        <f t="shared" si="214"/>
        <v>0.92903084594966923</v>
      </c>
      <c r="T2184" s="18">
        <f>S2184/Explications!$C$8</f>
        <v>3.0967694864988973E-2</v>
      </c>
    </row>
    <row r="2185" spans="7:20">
      <c r="G2185" s="7" t="s">
        <v>47</v>
      </c>
      <c r="H2185" s="7" t="s">
        <v>61</v>
      </c>
      <c r="I2185" s="7">
        <v>46.805500000000002</v>
      </c>
      <c r="J2185" s="7">
        <v>-71.217299999999994</v>
      </c>
      <c r="K2185" s="7">
        <v>46.796900000000001</v>
      </c>
      <c r="L2185" s="7">
        <v>-71.3078</v>
      </c>
      <c r="M2185" s="10" t="str">
        <f t="shared" si="209"/>
        <v>C31</v>
      </c>
      <c r="N2185" s="10" t="str">
        <f t="shared" si="210"/>
        <v>C45</v>
      </c>
      <c r="O2185" s="5">
        <f t="shared" si="211"/>
        <v>6.9545989464146993</v>
      </c>
      <c r="P2185" s="22">
        <f>O2185/Explications!$C$8</f>
        <v>0.23181996488048998</v>
      </c>
      <c r="Q2185" s="7" t="str">
        <f t="shared" si="212"/>
        <v>C45</v>
      </c>
      <c r="R2185" s="7" t="str">
        <f t="shared" si="213"/>
        <v>C31</v>
      </c>
      <c r="S2185" s="18">
        <f t="shared" si="214"/>
        <v>6.9545989464146993</v>
      </c>
      <c r="T2185" s="18">
        <f>S2185/Explications!$C$8</f>
        <v>0.23181996488048998</v>
      </c>
    </row>
    <row r="2186" spans="7:20">
      <c r="G2186" s="7" t="s">
        <v>47</v>
      </c>
      <c r="H2186" s="7" t="s">
        <v>62</v>
      </c>
      <c r="I2186" s="7">
        <v>46.805500000000002</v>
      </c>
      <c r="J2186" s="7">
        <v>-71.217299999999994</v>
      </c>
      <c r="K2186" s="7">
        <v>46.803600000000003</v>
      </c>
      <c r="L2186" s="7">
        <v>-71.231099999999998</v>
      </c>
      <c r="M2186" s="10" t="str">
        <f t="shared" si="209"/>
        <v>C31</v>
      </c>
      <c r="N2186" s="10" t="str">
        <f t="shared" si="210"/>
        <v>C46</v>
      </c>
      <c r="O2186" s="5">
        <f t="shared" si="211"/>
        <v>1.0713790898395197</v>
      </c>
      <c r="P2186" s="22">
        <f>O2186/Explications!$C$8</f>
        <v>3.5712636327983986E-2</v>
      </c>
      <c r="Q2186" s="7" t="str">
        <f t="shared" si="212"/>
        <v>C46</v>
      </c>
      <c r="R2186" s="7" t="str">
        <f t="shared" si="213"/>
        <v>C31</v>
      </c>
      <c r="S2186" s="18">
        <f t="shared" si="214"/>
        <v>1.0713790898395197</v>
      </c>
      <c r="T2186" s="18">
        <f>S2186/Explications!$C$8</f>
        <v>3.5712636327983986E-2</v>
      </c>
    </row>
    <row r="2187" spans="7:20">
      <c r="G2187" s="7" t="s">
        <v>47</v>
      </c>
      <c r="H2187" s="7" t="s">
        <v>63</v>
      </c>
      <c r="I2187" s="7">
        <v>46.805500000000002</v>
      </c>
      <c r="J2187" s="7">
        <v>-71.217299999999994</v>
      </c>
      <c r="K2187" s="7">
        <v>46.802399999999999</v>
      </c>
      <c r="L2187" s="7">
        <v>-71.269800000000004</v>
      </c>
      <c r="M2187" s="10" t="str">
        <f t="shared" si="209"/>
        <v>C31</v>
      </c>
      <c r="N2187" s="10" t="str">
        <f t="shared" si="210"/>
        <v>C47</v>
      </c>
      <c r="O2187" s="5">
        <f t="shared" si="211"/>
        <v>4.0107504832691614</v>
      </c>
      <c r="P2187" s="22">
        <f>O2187/Explications!$C$8</f>
        <v>0.13369168277563873</v>
      </c>
      <c r="Q2187" s="7" t="str">
        <f t="shared" si="212"/>
        <v>C47</v>
      </c>
      <c r="R2187" s="7" t="str">
        <f t="shared" si="213"/>
        <v>C31</v>
      </c>
      <c r="S2187" s="18">
        <f t="shared" si="214"/>
        <v>4.0107504832691614</v>
      </c>
      <c r="T2187" s="18">
        <f>S2187/Explications!$C$8</f>
        <v>0.13369168277563873</v>
      </c>
    </row>
    <row r="2188" spans="7:20">
      <c r="G2188" s="7" t="s">
        <v>47</v>
      </c>
      <c r="H2188" s="7" t="s">
        <v>64</v>
      </c>
      <c r="I2188" s="7">
        <v>46.805500000000002</v>
      </c>
      <c r="J2188" s="7">
        <v>-71.217299999999994</v>
      </c>
      <c r="K2188" s="7">
        <v>46.826799999999999</v>
      </c>
      <c r="L2188" s="7">
        <v>-71.224199999999996</v>
      </c>
      <c r="M2188" s="10" t="str">
        <f t="shared" si="209"/>
        <v>C31</v>
      </c>
      <c r="N2188" s="10" t="str">
        <f t="shared" si="210"/>
        <v>C48</v>
      </c>
      <c r="O2188" s="5">
        <f t="shared" si="211"/>
        <v>2.4259534459220937</v>
      </c>
      <c r="P2188" s="22">
        <f>O2188/Explications!$C$8</f>
        <v>8.086511486406979E-2</v>
      </c>
      <c r="Q2188" s="7" t="str">
        <f t="shared" si="212"/>
        <v>C48</v>
      </c>
      <c r="R2188" s="7" t="str">
        <f t="shared" si="213"/>
        <v>C31</v>
      </c>
      <c r="S2188" s="18">
        <f t="shared" si="214"/>
        <v>2.4259534459220937</v>
      </c>
      <c r="T2188" s="18">
        <f>S2188/Explications!$C$8</f>
        <v>8.086511486406979E-2</v>
      </c>
    </row>
    <row r="2189" spans="7:20">
      <c r="G2189" s="7" t="s">
        <v>47</v>
      </c>
      <c r="H2189" s="7" t="s">
        <v>65</v>
      </c>
      <c r="I2189" s="7">
        <v>46.805500000000002</v>
      </c>
      <c r="J2189" s="7">
        <v>-71.217299999999994</v>
      </c>
      <c r="K2189" s="7">
        <v>46.864100000000001</v>
      </c>
      <c r="L2189" s="7">
        <v>-71.255499999999998</v>
      </c>
      <c r="M2189" s="10" t="str">
        <f t="shared" si="209"/>
        <v>C31</v>
      </c>
      <c r="N2189" s="10" t="str">
        <f t="shared" si="210"/>
        <v>C49</v>
      </c>
      <c r="O2189" s="5">
        <f t="shared" si="211"/>
        <v>7.1345926376909956</v>
      </c>
      <c r="P2189" s="22">
        <f>O2189/Explications!$C$8</f>
        <v>0.23781975458969987</v>
      </c>
      <c r="Q2189" s="7" t="str">
        <f t="shared" si="212"/>
        <v>C49</v>
      </c>
      <c r="R2189" s="7" t="str">
        <f t="shared" si="213"/>
        <v>C31</v>
      </c>
      <c r="S2189" s="18">
        <f t="shared" si="214"/>
        <v>7.1345926376909956</v>
      </c>
      <c r="T2189" s="18">
        <f>S2189/Explications!$C$8</f>
        <v>0.23781975458969987</v>
      </c>
    </row>
    <row r="2190" spans="7:20">
      <c r="G2190" s="7" t="s">
        <v>47</v>
      </c>
      <c r="H2190" s="7" t="s">
        <v>66</v>
      </c>
      <c r="I2190" s="7">
        <v>46.805500000000002</v>
      </c>
      <c r="J2190" s="7">
        <v>-71.217299999999994</v>
      </c>
      <c r="K2190" s="7">
        <v>46.843800000000002</v>
      </c>
      <c r="L2190" s="7">
        <v>-71.247299999999996</v>
      </c>
      <c r="M2190" s="10" t="str">
        <f t="shared" si="209"/>
        <v>C31</v>
      </c>
      <c r="N2190" s="10" t="str">
        <f t="shared" si="210"/>
        <v>C50</v>
      </c>
      <c r="O2190" s="5">
        <f t="shared" si="211"/>
        <v>4.8318613341326024</v>
      </c>
      <c r="P2190" s="22">
        <f>O2190/Explications!$C$8</f>
        <v>0.16106204447108674</v>
      </c>
      <c r="Q2190" s="7" t="str">
        <f t="shared" si="212"/>
        <v>C50</v>
      </c>
      <c r="R2190" s="7" t="str">
        <f t="shared" si="213"/>
        <v>C31</v>
      </c>
      <c r="S2190" s="18">
        <f t="shared" si="214"/>
        <v>4.8318613341326024</v>
      </c>
      <c r="T2190" s="18">
        <f>S2190/Explications!$C$8</f>
        <v>0.16106204447108674</v>
      </c>
    </row>
    <row r="2191" spans="7:20">
      <c r="G2191" s="7" t="s">
        <v>47</v>
      </c>
      <c r="H2191" s="7" t="s">
        <v>67</v>
      </c>
      <c r="I2191" s="7">
        <v>46.805500000000002</v>
      </c>
      <c r="J2191" s="7">
        <v>-71.217299999999994</v>
      </c>
      <c r="K2191" s="7">
        <v>46.765599999999999</v>
      </c>
      <c r="L2191" s="7">
        <v>-71.312100000000001</v>
      </c>
      <c r="M2191" s="10" t="str">
        <f t="shared" si="209"/>
        <v>C31</v>
      </c>
      <c r="N2191" s="10" t="str">
        <f t="shared" si="210"/>
        <v>C51</v>
      </c>
      <c r="O2191" s="5">
        <f t="shared" si="211"/>
        <v>8.4724699672116035</v>
      </c>
      <c r="P2191" s="22">
        <f>O2191/Explications!$C$8</f>
        <v>0.28241566557372011</v>
      </c>
      <c r="Q2191" s="7" t="str">
        <f t="shared" si="212"/>
        <v>C51</v>
      </c>
      <c r="R2191" s="7" t="str">
        <f t="shared" si="213"/>
        <v>C31</v>
      </c>
      <c r="S2191" s="18">
        <f t="shared" si="214"/>
        <v>8.4724699672116035</v>
      </c>
      <c r="T2191" s="18">
        <f>S2191/Explications!$C$8</f>
        <v>0.28241566557372011</v>
      </c>
    </row>
    <row r="2192" spans="7:20">
      <c r="G2192" s="7" t="s">
        <v>47</v>
      </c>
      <c r="H2192" s="7" t="s">
        <v>68</v>
      </c>
      <c r="I2192" s="7">
        <v>46.805500000000002</v>
      </c>
      <c r="J2192" s="7">
        <v>-71.217299999999994</v>
      </c>
      <c r="K2192" s="7">
        <v>46.787599999999998</v>
      </c>
      <c r="L2192" s="7">
        <v>-71.288600000000002</v>
      </c>
      <c r="M2192" s="10" t="str">
        <f t="shared" si="209"/>
        <v>C31</v>
      </c>
      <c r="N2192" s="10" t="str">
        <f t="shared" si="210"/>
        <v>C52</v>
      </c>
      <c r="O2192" s="5">
        <f t="shared" si="211"/>
        <v>5.7810203747902982</v>
      </c>
      <c r="P2192" s="22">
        <f>O2192/Explications!$C$8</f>
        <v>0.19270067915967662</v>
      </c>
      <c r="Q2192" s="7" t="str">
        <f t="shared" si="212"/>
        <v>C52</v>
      </c>
      <c r="R2192" s="7" t="str">
        <f t="shared" si="213"/>
        <v>C31</v>
      </c>
      <c r="S2192" s="18">
        <f t="shared" si="214"/>
        <v>5.7810203747902982</v>
      </c>
      <c r="T2192" s="18">
        <f>S2192/Explications!$C$8</f>
        <v>0.19270067915967662</v>
      </c>
    </row>
    <row r="2193" spans="7:20">
      <c r="G2193" s="7" t="s">
        <v>47</v>
      </c>
      <c r="H2193" s="7" t="s">
        <v>69</v>
      </c>
      <c r="I2193" s="7">
        <v>46.805500000000002</v>
      </c>
      <c r="J2193" s="7">
        <v>-71.217299999999994</v>
      </c>
      <c r="K2193" s="7">
        <v>46.764600000000002</v>
      </c>
      <c r="L2193" s="7">
        <v>-71.308300000000003</v>
      </c>
      <c r="M2193" s="10" t="str">
        <f t="shared" si="209"/>
        <v>C31</v>
      </c>
      <c r="N2193" s="10" t="str">
        <f t="shared" si="210"/>
        <v>C53</v>
      </c>
      <c r="O2193" s="5">
        <f t="shared" si="211"/>
        <v>8.2879250281351577</v>
      </c>
      <c r="P2193" s="22">
        <f>O2193/Explications!$C$8</f>
        <v>0.27626416760450528</v>
      </c>
      <c r="Q2193" s="7" t="str">
        <f t="shared" si="212"/>
        <v>C53</v>
      </c>
      <c r="R2193" s="7" t="str">
        <f t="shared" si="213"/>
        <v>C31</v>
      </c>
      <c r="S2193" s="18">
        <f t="shared" si="214"/>
        <v>8.2879250281351577</v>
      </c>
      <c r="T2193" s="18">
        <f>S2193/Explications!$C$8</f>
        <v>0.27626416760450528</v>
      </c>
    </row>
    <row r="2194" spans="7:20">
      <c r="G2194" s="7" t="s">
        <v>47</v>
      </c>
      <c r="H2194" s="7" t="s">
        <v>70</v>
      </c>
      <c r="I2194" s="7">
        <v>46.805500000000002</v>
      </c>
      <c r="J2194" s="7">
        <v>-71.217299999999994</v>
      </c>
      <c r="K2194" s="7">
        <v>46.849699999999999</v>
      </c>
      <c r="L2194" s="7">
        <v>-71.097399999999993</v>
      </c>
      <c r="M2194" s="10" t="str">
        <f t="shared" si="209"/>
        <v>C31</v>
      </c>
      <c r="N2194" s="10" t="str">
        <f t="shared" si="210"/>
        <v>C54</v>
      </c>
      <c r="O2194" s="5">
        <f t="shared" si="211"/>
        <v>10.361668348572811</v>
      </c>
      <c r="P2194" s="22">
        <f>O2194/Explications!$C$8</f>
        <v>0.34538894495242706</v>
      </c>
      <c r="Q2194" s="7" t="str">
        <f t="shared" si="212"/>
        <v>C54</v>
      </c>
      <c r="R2194" s="7" t="str">
        <f t="shared" si="213"/>
        <v>C31</v>
      </c>
      <c r="S2194" s="18">
        <f t="shared" si="214"/>
        <v>10.361668348572811</v>
      </c>
      <c r="T2194" s="18">
        <f>S2194/Explications!$C$8</f>
        <v>0.34538894495242706</v>
      </c>
    </row>
    <row r="2195" spans="7:20">
      <c r="G2195" s="7" t="s">
        <v>47</v>
      </c>
      <c r="H2195" s="7" t="s">
        <v>71</v>
      </c>
      <c r="I2195" s="7">
        <v>46.805500000000002</v>
      </c>
      <c r="J2195" s="7">
        <v>-71.217299999999994</v>
      </c>
      <c r="K2195" s="7">
        <v>46.788899999999998</v>
      </c>
      <c r="L2195" s="7">
        <v>-71.321399999999997</v>
      </c>
      <c r="M2195" s="10" t="str">
        <f t="shared" si="209"/>
        <v>C31</v>
      </c>
      <c r="N2195" s="10" t="str">
        <f t="shared" si="210"/>
        <v>C55</v>
      </c>
      <c r="O2195" s="5">
        <f t="shared" si="211"/>
        <v>8.136451361207035</v>
      </c>
      <c r="P2195" s="22">
        <f>O2195/Explications!$C$8</f>
        <v>0.27121504537356783</v>
      </c>
      <c r="Q2195" s="7" t="str">
        <f t="shared" si="212"/>
        <v>C55</v>
      </c>
      <c r="R2195" s="7" t="str">
        <f t="shared" si="213"/>
        <v>C31</v>
      </c>
      <c r="S2195" s="18">
        <f t="shared" si="214"/>
        <v>8.136451361207035</v>
      </c>
      <c r="T2195" s="18">
        <f>S2195/Explications!$C$8</f>
        <v>0.27121504537356783</v>
      </c>
    </row>
    <row r="2196" spans="7:20">
      <c r="G2196" s="7" t="s">
        <v>47</v>
      </c>
      <c r="H2196" s="7" t="s">
        <v>72</v>
      </c>
      <c r="I2196" s="7">
        <v>46.805500000000002</v>
      </c>
      <c r="J2196" s="7">
        <v>-71.217299999999994</v>
      </c>
      <c r="K2196" s="7">
        <v>46.795400000000001</v>
      </c>
      <c r="L2196" s="7">
        <v>-71.232600000000005</v>
      </c>
      <c r="M2196" s="10" t="str">
        <f t="shared" si="209"/>
        <v>C31</v>
      </c>
      <c r="N2196" s="10" t="str">
        <f t="shared" si="210"/>
        <v>C56</v>
      </c>
      <c r="O2196" s="5">
        <f t="shared" si="211"/>
        <v>1.6178913297341542</v>
      </c>
      <c r="P2196" s="22">
        <f>O2196/Explications!$C$8</f>
        <v>5.3929710991138476E-2</v>
      </c>
      <c r="Q2196" s="7" t="str">
        <f t="shared" si="212"/>
        <v>C56</v>
      </c>
      <c r="R2196" s="7" t="str">
        <f t="shared" si="213"/>
        <v>C31</v>
      </c>
      <c r="S2196" s="18">
        <f t="shared" si="214"/>
        <v>1.6178913297341542</v>
      </c>
      <c r="T2196" s="18">
        <f>S2196/Explications!$C$8</f>
        <v>5.3929710991138476E-2</v>
      </c>
    </row>
    <row r="2197" spans="7:20">
      <c r="G2197" s="7" t="s">
        <v>47</v>
      </c>
      <c r="H2197" s="7" t="s">
        <v>73</v>
      </c>
      <c r="I2197" s="7">
        <v>46.805500000000002</v>
      </c>
      <c r="J2197" s="7">
        <v>-71.217299999999994</v>
      </c>
      <c r="K2197" s="7">
        <v>46.801200000000001</v>
      </c>
      <c r="L2197" s="7">
        <v>-71.224999999999994</v>
      </c>
      <c r="M2197" s="10" t="str">
        <f t="shared" si="209"/>
        <v>C31</v>
      </c>
      <c r="N2197" s="10" t="str">
        <f t="shared" si="210"/>
        <v>C57</v>
      </c>
      <c r="O2197" s="5">
        <f t="shared" si="211"/>
        <v>0.75637168885516926</v>
      </c>
      <c r="P2197" s="22">
        <f>O2197/Explications!$C$8</f>
        <v>2.5212389628505642E-2</v>
      </c>
      <c r="Q2197" s="7" t="str">
        <f t="shared" si="212"/>
        <v>C57</v>
      </c>
      <c r="R2197" s="7" t="str">
        <f t="shared" si="213"/>
        <v>C31</v>
      </c>
      <c r="S2197" s="18">
        <f t="shared" si="214"/>
        <v>0.75637168885516926</v>
      </c>
      <c r="T2197" s="18">
        <f>S2197/Explications!$C$8</f>
        <v>2.5212389628505642E-2</v>
      </c>
    </row>
    <row r="2198" spans="7:20">
      <c r="G2198" s="7" t="s">
        <v>47</v>
      </c>
      <c r="H2198" s="7" t="s">
        <v>74</v>
      </c>
      <c r="I2198" s="7">
        <v>46.805500000000002</v>
      </c>
      <c r="J2198" s="7">
        <v>-71.217299999999994</v>
      </c>
      <c r="K2198" s="7">
        <v>46.773200000000003</v>
      </c>
      <c r="L2198" s="7">
        <v>-71.275899999999993</v>
      </c>
      <c r="M2198" s="10" t="str">
        <f t="shared" si="209"/>
        <v>C31</v>
      </c>
      <c r="N2198" s="10" t="str">
        <f t="shared" si="210"/>
        <v>C58</v>
      </c>
      <c r="O2198" s="5">
        <f t="shared" si="211"/>
        <v>5.7274527318791799</v>
      </c>
      <c r="P2198" s="22">
        <f>O2198/Explications!$C$8</f>
        <v>0.19091509106263932</v>
      </c>
      <c r="Q2198" s="7" t="str">
        <f t="shared" si="212"/>
        <v>C58</v>
      </c>
      <c r="R2198" s="7" t="str">
        <f t="shared" si="213"/>
        <v>C31</v>
      </c>
      <c r="S2198" s="18">
        <f t="shared" si="214"/>
        <v>5.7274527318791799</v>
      </c>
      <c r="T2198" s="18">
        <f>S2198/Explications!$C$8</f>
        <v>0.19091509106263932</v>
      </c>
    </row>
    <row r="2199" spans="7:20">
      <c r="G2199" s="7" t="s">
        <v>47</v>
      </c>
      <c r="H2199" s="7" t="s">
        <v>75</v>
      </c>
      <c r="I2199" s="7">
        <v>46.805500000000002</v>
      </c>
      <c r="J2199" s="7">
        <v>-71.217299999999994</v>
      </c>
      <c r="K2199" s="7">
        <v>46.814399999999999</v>
      </c>
      <c r="L2199" s="7">
        <v>-71.225700000000003</v>
      </c>
      <c r="M2199" s="10" t="str">
        <f t="shared" si="209"/>
        <v>C31</v>
      </c>
      <c r="N2199" s="10" t="str">
        <f t="shared" si="210"/>
        <v>C59</v>
      </c>
      <c r="O2199" s="5">
        <f t="shared" si="211"/>
        <v>1.1781548293617488</v>
      </c>
      <c r="P2199" s="22">
        <f>O2199/Explications!$C$8</f>
        <v>3.9271827645391624E-2</v>
      </c>
      <c r="Q2199" s="7" t="str">
        <f t="shared" si="212"/>
        <v>C59</v>
      </c>
      <c r="R2199" s="7" t="str">
        <f t="shared" si="213"/>
        <v>C31</v>
      </c>
      <c r="S2199" s="18">
        <f t="shared" si="214"/>
        <v>1.1781548293617488</v>
      </c>
      <c r="T2199" s="18">
        <f>S2199/Explications!$C$8</f>
        <v>3.9271827645391624E-2</v>
      </c>
    </row>
    <row r="2200" spans="7:20">
      <c r="G2200" s="7" t="s">
        <v>47</v>
      </c>
      <c r="H2200" s="7" t="s">
        <v>76</v>
      </c>
      <c r="I2200" s="7">
        <v>46.805500000000002</v>
      </c>
      <c r="J2200" s="7">
        <v>-71.217299999999994</v>
      </c>
      <c r="K2200" s="7">
        <v>46.772500000000001</v>
      </c>
      <c r="L2200" s="7">
        <v>-71.276300000000006</v>
      </c>
      <c r="M2200" s="10" t="str">
        <f t="shared" si="209"/>
        <v>C31</v>
      </c>
      <c r="N2200" s="10" t="str">
        <f t="shared" si="210"/>
        <v>C60</v>
      </c>
      <c r="O2200" s="5">
        <f t="shared" si="211"/>
        <v>5.8001557050267429</v>
      </c>
      <c r="P2200" s="22">
        <f>O2200/Explications!$C$8</f>
        <v>0.19333852350089142</v>
      </c>
      <c r="Q2200" s="7" t="str">
        <f t="shared" si="212"/>
        <v>C60</v>
      </c>
      <c r="R2200" s="7" t="str">
        <f t="shared" si="213"/>
        <v>C31</v>
      </c>
      <c r="S2200" s="18">
        <f t="shared" si="214"/>
        <v>5.8001557050267429</v>
      </c>
      <c r="T2200" s="18">
        <f>S2200/Explications!$C$8</f>
        <v>0.19333852350089142</v>
      </c>
    </row>
    <row r="2201" spans="7:20">
      <c r="G2201" s="7" t="s">
        <v>47</v>
      </c>
      <c r="H2201" s="7" t="s">
        <v>77</v>
      </c>
      <c r="I2201" s="7">
        <v>46.805500000000002</v>
      </c>
      <c r="J2201" s="7">
        <v>-71.217299999999994</v>
      </c>
      <c r="K2201" s="7">
        <v>46.810899999999997</v>
      </c>
      <c r="L2201" s="7">
        <v>-71.215599999999995</v>
      </c>
      <c r="M2201" s="10" t="str">
        <f t="shared" si="209"/>
        <v>C31</v>
      </c>
      <c r="N2201" s="10" t="str">
        <f t="shared" si="210"/>
        <v>C61</v>
      </c>
      <c r="O2201" s="5">
        <f t="shared" si="211"/>
        <v>0.61423352035421552</v>
      </c>
      <c r="P2201" s="22">
        <f>O2201/Explications!$C$8</f>
        <v>2.0474450678473852E-2</v>
      </c>
      <c r="Q2201" s="7" t="str">
        <f t="shared" si="212"/>
        <v>C61</v>
      </c>
      <c r="R2201" s="7" t="str">
        <f t="shared" si="213"/>
        <v>C31</v>
      </c>
      <c r="S2201" s="18">
        <f t="shared" si="214"/>
        <v>0.61423352035421552</v>
      </c>
      <c r="T2201" s="18">
        <f>S2201/Explications!$C$8</f>
        <v>2.0474450678473852E-2</v>
      </c>
    </row>
    <row r="2202" spans="7:20">
      <c r="G2202" s="7" t="s">
        <v>47</v>
      </c>
      <c r="H2202" s="7" t="s">
        <v>78</v>
      </c>
      <c r="I2202" s="7">
        <v>46.805500000000002</v>
      </c>
      <c r="J2202" s="7">
        <v>-71.217299999999994</v>
      </c>
      <c r="K2202" s="7">
        <v>46.795200000000001</v>
      </c>
      <c r="L2202" s="7">
        <v>-71.245099999999994</v>
      </c>
      <c r="M2202" s="10" t="str">
        <f t="shared" si="209"/>
        <v>C31</v>
      </c>
      <c r="N2202" s="10" t="str">
        <f t="shared" si="210"/>
        <v>C62</v>
      </c>
      <c r="O2202" s="5">
        <f t="shared" si="211"/>
        <v>2.4061353191690644</v>
      </c>
      <c r="P2202" s="22">
        <f>O2202/Explications!$C$8</f>
        <v>8.0204510638968815E-2</v>
      </c>
      <c r="Q2202" s="7" t="str">
        <f t="shared" si="212"/>
        <v>C62</v>
      </c>
      <c r="R2202" s="7" t="str">
        <f t="shared" si="213"/>
        <v>C31</v>
      </c>
      <c r="S2202" s="18">
        <f t="shared" si="214"/>
        <v>2.4061353191690644</v>
      </c>
      <c r="T2202" s="18">
        <f>S2202/Explications!$C$8</f>
        <v>8.0204510638968815E-2</v>
      </c>
    </row>
    <row r="2203" spans="7:20">
      <c r="G2203" s="7" t="s">
        <v>47</v>
      </c>
      <c r="H2203" s="7" t="s">
        <v>79</v>
      </c>
      <c r="I2203" s="7">
        <v>46.805500000000002</v>
      </c>
      <c r="J2203" s="7">
        <v>-71.217299999999994</v>
      </c>
      <c r="K2203" s="7">
        <v>46.822000000000003</v>
      </c>
      <c r="L2203" s="7">
        <v>-71.345699999999994</v>
      </c>
      <c r="M2203" s="10" t="str">
        <f t="shared" si="209"/>
        <v>C31</v>
      </c>
      <c r="N2203" s="10" t="str">
        <f t="shared" si="210"/>
        <v>C63</v>
      </c>
      <c r="O2203" s="5">
        <f t="shared" si="211"/>
        <v>9.9418336067686788</v>
      </c>
      <c r="P2203" s="22">
        <f>O2203/Explications!$C$8</f>
        <v>0.33139445355895597</v>
      </c>
      <c r="Q2203" s="7" t="str">
        <f t="shared" si="212"/>
        <v>C63</v>
      </c>
      <c r="R2203" s="7" t="str">
        <f t="shared" si="213"/>
        <v>C31</v>
      </c>
      <c r="S2203" s="18">
        <f t="shared" si="214"/>
        <v>9.9418336067686788</v>
      </c>
      <c r="T2203" s="18">
        <f>S2203/Explications!$C$8</f>
        <v>0.33139445355895597</v>
      </c>
    </row>
    <row r="2204" spans="7:20">
      <c r="G2204" s="7" t="s">
        <v>47</v>
      </c>
      <c r="H2204" s="7" t="s">
        <v>80</v>
      </c>
      <c r="I2204" s="7">
        <v>46.805500000000002</v>
      </c>
      <c r="J2204" s="7">
        <v>-71.217299999999994</v>
      </c>
      <c r="K2204" s="7">
        <v>46.779400000000003</v>
      </c>
      <c r="L2204" s="7">
        <v>-71.350399999999993</v>
      </c>
      <c r="M2204" s="10" t="str">
        <f t="shared" si="209"/>
        <v>C31</v>
      </c>
      <c r="N2204" s="10" t="str">
        <f t="shared" si="210"/>
        <v>C64</v>
      </c>
      <c r="O2204" s="5">
        <f t="shared" si="211"/>
        <v>10.540174103877163</v>
      </c>
      <c r="P2204" s="22">
        <f>O2204/Explications!$C$8</f>
        <v>0.35133913679590545</v>
      </c>
      <c r="Q2204" s="7" t="str">
        <f t="shared" si="212"/>
        <v>C64</v>
      </c>
      <c r="R2204" s="7" t="str">
        <f t="shared" si="213"/>
        <v>C31</v>
      </c>
      <c r="S2204" s="18">
        <f t="shared" si="214"/>
        <v>10.540174103877163</v>
      </c>
      <c r="T2204" s="18">
        <f>S2204/Explications!$C$8</f>
        <v>0.35133913679590545</v>
      </c>
    </row>
    <row r="2205" spans="7:20">
      <c r="G2205" s="7" t="s">
        <v>47</v>
      </c>
      <c r="H2205" s="7" t="s">
        <v>81</v>
      </c>
      <c r="I2205" s="7">
        <v>46.805500000000002</v>
      </c>
      <c r="J2205" s="7">
        <v>-71.217299999999994</v>
      </c>
      <c r="K2205" s="7">
        <v>46.772300000000001</v>
      </c>
      <c r="L2205" s="7">
        <v>-71.279799999999994</v>
      </c>
      <c r="M2205" s="10" t="str">
        <f t="shared" si="209"/>
        <v>C31</v>
      </c>
      <c r="N2205" s="10" t="str">
        <f t="shared" si="210"/>
        <v>C65</v>
      </c>
      <c r="O2205" s="5">
        <f t="shared" si="211"/>
        <v>6.0224985362260872</v>
      </c>
      <c r="P2205" s="22">
        <f>O2205/Explications!$C$8</f>
        <v>0.20074995120753625</v>
      </c>
      <c r="Q2205" s="7" t="str">
        <f t="shared" si="212"/>
        <v>C65</v>
      </c>
      <c r="R2205" s="7" t="str">
        <f t="shared" si="213"/>
        <v>C31</v>
      </c>
      <c r="S2205" s="18">
        <f t="shared" si="214"/>
        <v>6.0224985362260872</v>
      </c>
      <c r="T2205" s="18">
        <f>S2205/Explications!$C$8</f>
        <v>0.20074995120753625</v>
      </c>
    </row>
    <row r="2206" spans="7:20">
      <c r="G2206" s="7" t="s">
        <v>47</v>
      </c>
      <c r="H2206" s="7" t="s">
        <v>82</v>
      </c>
      <c r="I2206" s="7">
        <v>46.805500000000002</v>
      </c>
      <c r="J2206" s="7">
        <v>-71.217299999999994</v>
      </c>
      <c r="K2206" s="7">
        <v>46.814900000000002</v>
      </c>
      <c r="L2206" s="7">
        <v>-71.225200000000001</v>
      </c>
      <c r="M2206" s="10" t="str">
        <f t="shared" si="209"/>
        <v>C31</v>
      </c>
      <c r="N2206" s="10" t="str">
        <f t="shared" si="210"/>
        <v>C66</v>
      </c>
      <c r="O2206" s="5">
        <f t="shared" si="211"/>
        <v>1.2058090503800263</v>
      </c>
      <c r="P2206" s="22">
        <f>O2206/Explications!$C$8</f>
        <v>4.0193635012667546E-2</v>
      </c>
      <c r="Q2206" s="7" t="str">
        <f t="shared" si="212"/>
        <v>C66</v>
      </c>
      <c r="R2206" s="7" t="str">
        <f t="shared" si="213"/>
        <v>C31</v>
      </c>
      <c r="S2206" s="18">
        <f t="shared" si="214"/>
        <v>1.2058090503800263</v>
      </c>
      <c r="T2206" s="18">
        <f>S2206/Explications!$C$8</f>
        <v>4.0193635012667546E-2</v>
      </c>
    </row>
    <row r="2207" spans="7:20">
      <c r="G2207" s="7" t="s">
        <v>47</v>
      </c>
      <c r="H2207" s="7" t="s">
        <v>83</v>
      </c>
      <c r="I2207" s="7">
        <v>46.805500000000002</v>
      </c>
      <c r="J2207" s="7">
        <v>-71.217299999999994</v>
      </c>
      <c r="K2207" s="7">
        <v>46.814700000000002</v>
      </c>
      <c r="L2207" s="7">
        <v>-71.207300000000004</v>
      </c>
      <c r="M2207" s="10" t="str">
        <f t="shared" si="209"/>
        <v>C31</v>
      </c>
      <c r="N2207" s="10" t="str">
        <f t="shared" si="210"/>
        <v>C67</v>
      </c>
      <c r="O2207" s="5">
        <f t="shared" si="211"/>
        <v>1.2750275733783147</v>
      </c>
      <c r="P2207" s="22">
        <f>O2207/Explications!$C$8</f>
        <v>4.2500919112610488E-2</v>
      </c>
      <c r="Q2207" s="7" t="str">
        <f t="shared" si="212"/>
        <v>C67</v>
      </c>
      <c r="R2207" s="7" t="str">
        <f t="shared" si="213"/>
        <v>C31</v>
      </c>
      <c r="S2207" s="18">
        <f t="shared" si="214"/>
        <v>1.2750275733783147</v>
      </c>
      <c r="T2207" s="18">
        <f>S2207/Explications!$C$8</f>
        <v>4.2500919112610488E-2</v>
      </c>
    </row>
    <row r="2208" spans="7:20">
      <c r="G2208" s="7" t="s">
        <v>47</v>
      </c>
      <c r="H2208" s="7" t="s">
        <v>84</v>
      </c>
      <c r="I2208" s="7">
        <v>46.805500000000002</v>
      </c>
      <c r="J2208" s="7">
        <v>-71.217299999999994</v>
      </c>
      <c r="K2208" s="7">
        <v>46.815600000000003</v>
      </c>
      <c r="L2208" s="7">
        <v>-71.2029</v>
      </c>
      <c r="M2208" s="10" t="str">
        <f t="shared" si="209"/>
        <v>C31</v>
      </c>
      <c r="N2208" s="10" t="str">
        <f t="shared" si="210"/>
        <v>C68</v>
      </c>
      <c r="O2208" s="5">
        <f t="shared" si="211"/>
        <v>1.5691561223854813</v>
      </c>
      <c r="P2208" s="22">
        <f>O2208/Explications!$C$8</f>
        <v>5.2305204079516041E-2</v>
      </c>
      <c r="Q2208" s="7" t="str">
        <f t="shared" si="212"/>
        <v>C68</v>
      </c>
      <c r="R2208" s="7" t="str">
        <f t="shared" si="213"/>
        <v>C31</v>
      </c>
      <c r="S2208" s="18">
        <f t="shared" si="214"/>
        <v>1.5691561223854813</v>
      </c>
      <c r="T2208" s="18">
        <f>S2208/Explications!$C$8</f>
        <v>5.2305204079516041E-2</v>
      </c>
    </row>
    <row r="2209" spans="7:20">
      <c r="G2209" s="7" t="s">
        <v>47</v>
      </c>
      <c r="H2209" s="7" t="s">
        <v>85</v>
      </c>
      <c r="I2209" s="7">
        <v>46.805500000000002</v>
      </c>
      <c r="J2209" s="7">
        <v>-71.217299999999994</v>
      </c>
      <c r="K2209" s="7">
        <v>46.821899999999999</v>
      </c>
      <c r="L2209" s="7">
        <v>-71.249899999999997</v>
      </c>
      <c r="M2209" s="10" t="str">
        <f t="shared" si="209"/>
        <v>C31</v>
      </c>
      <c r="N2209" s="10" t="str">
        <f t="shared" si="210"/>
        <v>C69</v>
      </c>
      <c r="O2209" s="5">
        <f t="shared" si="211"/>
        <v>3.0789566799126957</v>
      </c>
      <c r="P2209" s="22">
        <f>O2209/Explications!$C$8</f>
        <v>0.10263188933042319</v>
      </c>
      <c r="Q2209" s="7" t="str">
        <f t="shared" si="212"/>
        <v>C69</v>
      </c>
      <c r="R2209" s="7" t="str">
        <f t="shared" si="213"/>
        <v>C31</v>
      </c>
      <c r="S2209" s="18">
        <f t="shared" si="214"/>
        <v>3.0789566799126957</v>
      </c>
      <c r="T2209" s="18">
        <f>S2209/Explications!$C$8</f>
        <v>0.10263188933042319</v>
      </c>
    </row>
    <row r="2210" spans="7:20">
      <c r="G2210" s="7" t="s">
        <v>47</v>
      </c>
      <c r="H2210" s="7" t="s">
        <v>86</v>
      </c>
      <c r="I2210" s="7">
        <v>46.805500000000002</v>
      </c>
      <c r="J2210" s="7">
        <v>-71.217299999999994</v>
      </c>
      <c r="K2210" s="7">
        <v>46.8872</v>
      </c>
      <c r="L2210" s="7">
        <v>-71.27</v>
      </c>
      <c r="M2210" s="10" t="str">
        <f t="shared" si="209"/>
        <v>C31</v>
      </c>
      <c r="N2210" s="10" t="str">
        <f t="shared" si="210"/>
        <v>C70</v>
      </c>
      <c r="O2210" s="5">
        <f t="shared" si="211"/>
        <v>9.9294629338979306</v>
      </c>
      <c r="P2210" s="22">
        <f>O2210/Explications!$C$8</f>
        <v>0.33098209779659771</v>
      </c>
      <c r="Q2210" s="7" t="str">
        <f t="shared" si="212"/>
        <v>C70</v>
      </c>
      <c r="R2210" s="7" t="str">
        <f t="shared" si="213"/>
        <v>C31</v>
      </c>
      <c r="S2210" s="18">
        <f t="shared" si="214"/>
        <v>9.9294629338979306</v>
      </c>
      <c r="T2210" s="18">
        <f>S2210/Explications!$C$8</f>
        <v>0.33098209779659771</v>
      </c>
    </row>
    <row r="2211" spans="7:20">
      <c r="G2211" s="7" t="s">
        <v>47</v>
      </c>
      <c r="H2211" s="7" t="s">
        <v>87</v>
      </c>
      <c r="I2211" s="7">
        <v>46.805500000000002</v>
      </c>
      <c r="J2211" s="7">
        <v>-71.217299999999994</v>
      </c>
      <c r="K2211" s="7">
        <v>46.816299999999998</v>
      </c>
      <c r="L2211" s="7">
        <v>-71.210300000000004</v>
      </c>
      <c r="M2211" s="10" t="str">
        <f t="shared" si="209"/>
        <v>C31</v>
      </c>
      <c r="N2211" s="10" t="str">
        <f t="shared" si="210"/>
        <v>C71</v>
      </c>
      <c r="O2211" s="5">
        <f t="shared" si="211"/>
        <v>1.313759134738653</v>
      </c>
      <c r="P2211" s="22">
        <f>O2211/Explications!$C$8</f>
        <v>4.3791971157955099E-2</v>
      </c>
      <c r="Q2211" s="7" t="str">
        <f t="shared" si="212"/>
        <v>C71</v>
      </c>
      <c r="R2211" s="7" t="str">
        <f t="shared" si="213"/>
        <v>C31</v>
      </c>
      <c r="S2211" s="18">
        <f t="shared" si="214"/>
        <v>1.313759134738653</v>
      </c>
      <c r="T2211" s="18">
        <f>S2211/Explications!$C$8</f>
        <v>4.3791971157955099E-2</v>
      </c>
    </row>
    <row r="2212" spans="7:20">
      <c r="G2212" s="7" t="s">
        <v>47</v>
      </c>
      <c r="H2212" s="7" t="s">
        <v>88</v>
      </c>
      <c r="I2212" s="7">
        <v>46.805500000000002</v>
      </c>
      <c r="J2212" s="7">
        <v>-71.217299999999994</v>
      </c>
      <c r="K2212" s="7">
        <v>46.807000000000002</v>
      </c>
      <c r="L2212" s="7">
        <v>-71.3566</v>
      </c>
      <c r="M2212" s="10" t="str">
        <f t="shared" si="209"/>
        <v>C31</v>
      </c>
      <c r="N2212" s="10" t="str">
        <f t="shared" si="210"/>
        <v>C72</v>
      </c>
      <c r="O2212" s="5">
        <f t="shared" si="211"/>
        <v>10.603339190103158</v>
      </c>
      <c r="P2212" s="22">
        <f>O2212/Explications!$C$8</f>
        <v>0.35344463967010525</v>
      </c>
      <c r="Q2212" s="7" t="str">
        <f t="shared" si="212"/>
        <v>C72</v>
      </c>
      <c r="R2212" s="7" t="str">
        <f t="shared" si="213"/>
        <v>C31</v>
      </c>
      <c r="S2212" s="18">
        <f t="shared" si="214"/>
        <v>10.603339190103158</v>
      </c>
      <c r="T2212" s="18">
        <f>S2212/Explications!$C$8</f>
        <v>0.35344463967010525</v>
      </c>
    </row>
    <row r="2213" spans="7:20">
      <c r="G2213" s="7" t="s">
        <v>47</v>
      </c>
      <c r="H2213" s="7" t="s">
        <v>89</v>
      </c>
      <c r="I2213" s="7">
        <v>46.805500000000002</v>
      </c>
      <c r="J2213" s="7">
        <v>-71.217299999999994</v>
      </c>
      <c r="K2213" s="7">
        <v>46.822899999999997</v>
      </c>
      <c r="L2213" s="7">
        <v>-71.341899999999995</v>
      </c>
      <c r="M2213" s="10" t="str">
        <f t="shared" si="209"/>
        <v>C31</v>
      </c>
      <c r="N2213" s="10" t="str">
        <f t="shared" si="210"/>
        <v>C73</v>
      </c>
      <c r="O2213" s="5">
        <f t="shared" si="211"/>
        <v>9.6772055701403445</v>
      </c>
      <c r="P2213" s="22">
        <f>O2213/Explications!$C$8</f>
        <v>0.32257351900467818</v>
      </c>
      <c r="Q2213" s="7" t="str">
        <f t="shared" si="212"/>
        <v>C73</v>
      </c>
      <c r="R2213" s="7" t="str">
        <f t="shared" si="213"/>
        <v>C31</v>
      </c>
      <c r="S2213" s="18">
        <f t="shared" si="214"/>
        <v>9.6772055701403445</v>
      </c>
      <c r="T2213" s="18">
        <f>S2213/Explications!$C$8</f>
        <v>0.32257351900467818</v>
      </c>
    </row>
    <row r="2214" spans="7:20">
      <c r="G2214" s="7" t="s">
        <v>47</v>
      </c>
      <c r="H2214" s="7" t="s">
        <v>90</v>
      </c>
      <c r="I2214" s="7">
        <v>46.805500000000002</v>
      </c>
      <c r="J2214" s="7">
        <v>-71.217299999999994</v>
      </c>
      <c r="K2214" s="7">
        <v>46.730699999999999</v>
      </c>
      <c r="L2214" s="7">
        <v>-71.261099999999999</v>
      </c>
      <c r="M2214" s="10" t="str">
        <f t="shared" si="209"/>
        <v>C31</v>
      </c>
      <c r="N2214" s="10" t="str">
        <f t="shared" si="210"/>
        <v>C74</v>
      </c>
      <c r="O2214" s="5">
        <f t="shared" si="211"/>
        <v>8.9614388221631884</v>
      </c>
      <c r="P2214" s="22">
        <f>O2214/Explications!$C$8</f>
        <v>0.29871462740543964</v>
      </c>
      <c r="Q2214" s="7" t="str">
        <f t="shared" si="212"/>
        <v>C74</v>
      </c>
      <c r="R2214" s="7" t="str">
        <f t="shared" si="213"/>
        <v>C31</v>
      </c>
      <c r="S2214" s="18">
        <f t="shared" si="214"/>
        <v>8.9614388221631884</v>
      </c>
      <c r="T2214" s="18">
        <f>S2214/Explications!$C$8</f>
        <v>0.29871462740543964</v>
      </c>
    </row>
    <row r="2215" spans="7:20">
      <c r="G2215" s="7" t="s">
        <v>47</v>
      </c>
      <c r="H2215" s="7" t="s">
        <v>91</v>
      </c>
      <c r="I2215" s="7">
        <v>46.805500000000002</v>
      </c>
      <c r="J2215" s="7">
        <v>-71.217299999999994</v>
      </c>
      <c r="K2215" s="7">
        <v>46.840600000000002</v>
      </c>
      <c r="L2215" s="7">
        <v>-71.289100000000005</v>
      </c>
      <c r="M2215" s="10" t="str">
        <f t="shared" si="209"/>
        <v>C31</v>
      </c>
      <c r="N2215" s="10" t="str">
        <f t="shared" si="210"/>
        <v>C75</v>
      </c>
      <c r="O2215" s="5">
        <f t="shared" si="211"/>
        <v>6.7139176273660937</v>
      </c>
      <c r="P2215" s="22">
        <f>O2215/Explications!$C$8</f>
        <v>0.22379725424553645</v>
      </c>
      <c r="Q2215" s="7" t="str">
        <f t="shared" si="212"/>
        <v>C75</v>
      </c>
      <c r="R2215" s="7" t="str">
        <f t="shared" si="213"/>
        <v>C31</v>
      </c>
      <c r="S2215" s="18">
        <f t="shared" si="214"/>
        <v>6.7139176273660937</v>
      </c>
      <c r="T2215" s="18">
        <f>S2215/Explications!$C$8</f>
        <v>0.22379725424553645</v>
      </c>
    </row>
    <row r="2216" spans="7:20">
      <c r="G2216" s="7" t="s">
        <v>47</v>
      </c>
      <c r="H2216" s="7" t="s">
        <v>92</v>
      </c>
      <c r="I2216" s="7">
        <v>46.805500000000002</v>
      </c>
      <c r="J2216" s="7">
        <v>-71.217299999999994</v>
      </c>
      <c r="K2216" s="7">
        <v>46.840600000000002</v>
      </c>
      <c r="L2216" s="7">
        <v>-71.281599999999997</v>
      </c>
      <c r="M2216" s="10" t="str">
        <f t="shared" si="209"/>
        <v>C31</v>
      </c>
      <c r="N2216" s="10" t="str">
        <f t="shared" si="210"/>
        <v>C76</v>
      </c>
      <c r="O2216" s="5">
        <f t="shared" si="211"/>
        <v>6.2583990461309913</v>
      </c>
      <c r="P2216" s="22">
        <f>O2216/Explications!$C$8</f>
        <v>0.20861330153769972</v>
      </c>
      <c r="Q2216" s="7" t="str">
        <f t="shared" si="212"/>
        <v>C76</v>
      </c>
      <c r="R2216" s="7" t="str">
        <f t="shared" si="213"/>
        <v>C31</v>
      </c>
      <c r="S2216" s="18">
        <f t="shared" si="214"/>
        <v>6.2583990461309913</v>
      </c>
      <c r="T2216" s="18">
        <f>S2216/Explications!$C$8</f>
        <v>0.20861330153769972</v>
      </c>
    </row>
    <row r="2217" spans="7:20">
      <c r="G2217" s="7" t="s">
        <v>47</v>
      </c>
      <c r="H2217" s="7" t="s">
        <v>93</v>
      </c>
      <c r="I2217" s="7">
        <v>46.805500000000002</v>
      </c>
      <c r="J2217" s="7">
        <v>-71.217299999999994</v>
      </c>
      <c r="K2217" s="7">
        <v>46.839399999999998</v>
      </c>
      <c r="L2217" s="7">
        <v>-71.282600000000002</v>
      </c>
      <c r="M2217" s="10" t="str">
        <f t="shared" si="209"/>
        <v>C31</v>
      </c>
      <c r="N2217" s="10" t="str">
        <f t="shared" si="210"/>
        <v>C77</v>
      </c>
      <c r="O2217" s="5">
        <f t="shared" si="211"/>
        <v>6.2365535719474181</v>
      </c>
      <c r="P2217" s="22">
        <f>O2217/Explications!$C$8</f>
        <v>0.20788511906491394</v>
      </c>
      <c r="Q2217" s="7" t="str">
        <f t="shared" si="212"/>
        <v>C77</v>
      </c>
      <c r="R2217" s="7" t="str">
        <f t="shared" si="213"/>
        <v>C31</v>
      </c>
      <c r="S2217" s="18">
        <f t="shared" si="214"/>
        <v>6.2365535719474181</v>
      </c>
      <c r="T2217" s="18">
        <f>S2217/Explications!$C$8</f>
        <v>0.20788511906491394</v>
      </c>
    </row>
    <row r="2218" spans="7:20">
      <c r="G2218" s="7" t="s">
        <v>47</v>
      </c>
      <c r="H2218" s="7" t="s">
        <v>94</v>
      </c>
      <c r="I2218" s="7">
        <v>46.805500000000002</v>
      </c>
      <c r="J2218" s="7">
        <v>-71.217299999999994</v>
      </c>
      <c r="K2218" s="7">
        <v>46.788499999999999</v>
      </c>
      <c r="L2218" s="7">
        <v>-71.282399999999996</v>
      </c>
      <c r="M2218" s="10" t="str">
        <f t="shared" si="209"/>
        <v>C31</v>
      </c>
      <c r="N2218" s="10" t="str">
        <f t="shared" si="210"/>
        <v>C78</v>
      </c>
      <c r="O2218" s="5">
        <f t="shared" si="211"/>
        <v>5.30386146697212</v>
      </c>
      <c r="P2218" s="22">
        <f>O2218/Explications!$C$8</f>
        <v>0.17679538223240401</v>
      </c>
      <c r="Q2218" s="7" t="str">
        <f t="shared" si="212"/>
        <v>C78</v>
      </c>
      <c r="R2218" s="7" t="str">
        <f t="shared" si="213"/>
        <v>C31</v>
      </c>
      <c r="S2218" s="18">
        <f t="shared" si="214"/>
        <v>5.30386146697212</v>
      </c>
      <c r="T2218" s="18">
        <f>S2218/Explications!$C$8</f>
        <v>0.17679538223240401</v>
      </c>
    </row>
    <row r="2219" spans="7:20">
      <c r="G2219" s="7" t="s">
        <v>47</v>
      </c>
      <c r="H2219" s="7" t="s">
        <v>95</v>
      </c>
      <c r="I2219" s="7">
        <v>46.805500000000002</v>
      </c>
      <c r="J2219" s="7">
        <v>-71.217299999999994</v>
      </c>
      <c r="K2219" s="7">
        <v>46.840699999999998</v>
      </c>
      <c r="L2219" s="7">
        <v>-71.325400000000002</v>
      </c>
      <c r="M2219" s="10" t="str">
        <f t="shared" si="209"/>
        <v>C31</v>
      </c>
      <c r="N2219" s="10" t="str">
        <f t="shared" si="210"/>
        <v>C79</v>
      </c>
      <c r="O2219" s="5">
        <f t="shared" si="211"/>
        <v>9.1086691832578826</v>
      </c>
      <c r="P2219" s="22">
        <f>O2219/Explications!$C$8</f>
        <v>0.30362230610859609</v>
      </c>
      <c r="Q2219" s="7" t="str">
        <f t="shared" si="212"/>
        <v>C79</v>
      </c>
      <c r="R2219" s="7" t="str">
        <f t="shared" si="213"/>
        <v>C31</v>
      </c>
      <c r="S2219" s="18">
        <f t="shared" si="214"/>
        <v>9.1086691832578826</v>
      </c>
      <c r="T2219" s="18">
        <f>S2219/Explications!$C$8</f>
        <v>0.30362230610859609</v>
      </c>
    </row>
    <row r="2220" spans="7:20">
      <c r="G2220" s="7" t="s">
        <v>47</v>
      </c>
      <c r="H2220" s="7" t="s">
        <v>96</v>
      </c>
      <c r="I2220" s="7">
        <v>46.805500000000002</v>
      </c>
      <c r="J2220" s="7">
        <v>-71.217299999999994</v>
      </c>
      <c r="K2220" s="7">
        <v>46.798400000000001</v>
      </c>
      <c r="L2220" s="7">
        <v>-71.183199999999999</v>
      </c>
      <c r="M2220" s="10" t="str">
        <f t="shared" si="209"/>
        <v>C31</v>
      </c>
      <c r="N2220" s="10" t="str">
        <f t="shared" si="210"/>
        <v>C80</v>
      </c>
      <c r="O2220" s="5">
        <f t="shared" si="211"/>
        <v>2.7129483253482176</v>
      </c>
      <c r="P2220" s="22">
        <f>O2220/Explications!$C$8</f>
        <v>9.0431610844940585E-2</v>
      </c>
      <c r="Q2220" s="7" t="str">
        <f t="shared" si="212"/>
        <v>C80</v>
      </c>
      <c r="R2220" s="7" t="str">
        <f t="shared" si="213"/>
        <v>C31</v>
      </c>
      <c r="S2220" s="18">
        <f t="shared" si="214"/>
        <v>2.7129483253482176</v>
      </c>
      <c r="T2220" s="18">
        <f>S2220/Explications!$C$8</f>
        <v>9.0431610844940585E-2</v>
      </c>
    </row>
    <row r="2221" spans="7:20">
      <c r="G2221" s="7" t="s">
        <v>47</v>
      </c>
      <c r="H2221" s="7" t="s">
        <v>97</v>
      </c>
      <c r="I2221" s="7">
        <v>46.805500000000002</v>
      </c>
      <c r="J2221" s="7">
        <v>-71.217299999999994</v>
      </c>
      <c r="K2221" s="7">
        <v>46.724800000000002</v>
      </c>
      <c r="L2221" s="7">
        <v>-71.2988</v>
      </c>
      <c r="M2221" s="10" t="str">
        <f t="shared" si="209"/>
        <v>C31</v>
      </c>
      <c r="N2221" s="10" t="str">
        <f t="shared" si="210"/>
        <v>C81</v>
      </c>
      <c r="O2221" s="5">
        <f t="shared" si="211"/>
        <v>10.911338719657703</v>
      </c>
      <c r="P2221" s="22">
        <f>O2221/Explications!$C$8</f>
        <v>0.36371129065525676</v>
      </c>
      <c r="Q2221" s="7" t="str">
        <f t="shared" si="212"/>
        <v>C81</v>
      </c>
      <c r="R2221" s="7" t="str">
        <f t="shared" si="213"/>
        <v>C31</v>
      </c>
      <c r="S2221" s="18">
        <f t="shared" si="214"/>
        <v>10.911338719657703</v>
      </c>
      <c r="T2221" s="18">
        <f>S2221/Explications!$C$8</f>
        <v>0.36371129065525676</v>
      </c>
    </row>
    <row r="2222" spans="7:20">
      <c r="G2222" s="7" t="s">
        <v>47</v>
      </c>
      <c r="H2222" s="7" t="s">
        <v>98</v>
      </c>
      <c r="I2222" s="7">
        <v>46.805500000000002</v>
      </c>
      <c r="J2222" s="7">
        <v>-71.217299999999994</v>
      </c>
      <c r="K2222" s="7">
        <v>46.795499999999997</v>
      </c>
      <c r="L2222" s="7">
        <v>-71.242900000000006</v>
      </c>
      <c r="M2222" s="10" t="str">
        <f t="shared" si="209"/>
        <v>C31</v>
      </c>
      <c r="N2222" s="10" t="str">
        <f t="shared" si="210"/>
        <v>C82</v>
      </c>
      <c r="O2222" s="5">
        <f t="shared" si="211"/>
        <v>2.2435463044288442</v>
      </c>
      <c r="P2222" s="22">
        <f>O2222/Explications!$C$8</f>
        <v>7.4784876814294812E-2</v>
      </c>
      <c r="Q2222" s="7" t="str">
        <f t="shared" si="212"/>
        <v>C82</v>
      </c>
      <c r="R2222" s="7" t="str">
        <f t="shared" si="213"/>
        <v>C31</v>
      </c>
      <c r="S2222" s="18">
        <f t="shared" si="214"/>
        <v>2.2435463044288442</v>
      </c>
      <c r="T2222" s="18">
        <f>S2222/Explications!$C$8</f>
        <v>7.4784876814294812E-2</v>
      </c>
    </row>
    <row r="2223" spans="7:20">
      <c r="G2223" s="7" t="s">
        <v>47</v>
      </c>
      <c r="H2223" s="7" t="s">
        <v>99</v>
      </c>
      <c r="I2223" s="7">
        <v>46.805500000000002</v>
      </c>
      <c r="J2223" s="7">
        <v>-71.217299999999994</v>
      </c>
      <c r="K2223" s="7">
        <v>46.8157</v>
      </c>
      <c r="L2223" s="7">
        <v>-71.201899999999995</v>
      </c>
      <c r="M2223" s="10" t="str">
        <f t="shared" si="209"/>
        <v>C31</v>
      </c>
      <c r="N2223" s="10" t="str">
        <f t="shared" si="210"/>
        <v>C83</v>
      </c>
      <c r="O2223" s="5">
        <f t="shared" si="211"/>
        <v>1.6309324587978964</v>
      </c>
      <c r="P2223" s="22">
        <f>O2223/Explications!$C$8</f>
        <v>5.4364415293263212E-2</v>
      </c>
      <c r="Q2223" s="7" t="str">
        <f t="shared" si="212"/>
        <v>C83</v>
      </c>
      <c r="R2223" s="7" t="str">
        <f t="shared" si="213"/>
        <v>C31</v>
      </c>
      <c r="S2223" s="18">
        <f t="shared" si="214"/>
        <v>1.6309324587978964</v>
      </c>
      <c r="T2223" s="18">
        <f>S2223/Explications!$C$8</f>
        <v>5.4364415293263212E-2</v>
      </c>
    </row>
    <row r="2224" spans="7:20">
      <c r="G2224" s="7" t="s">
        <v>47</v>
      </c>
      <c r="H2224" s="7" t="s">
        <v>100</v>
      </c>
      <c r="I2224" s="7">
        <v>46.805500000000002</v>
      </c>
      <c r="J2224" s="7">
        <v>-71.217299999999994</v>
      </c>
      <c r="K2224" s="7">
        <v>46.837600000000002</v>
      </c>
      <c r="L2224" s="7">
        <v>-71.196299999999994</v>
      </c>
      <c r="M2224" s="10" t="str">
        <f t="shared" si="209"/>
        <v>C31</v>
      </c>
      <c r="N2224" s="10" t="str">
        <f t="shared" si="210"/>
        <v>C84</v>
      </c>
      <c r="O2224" s="5">
        <f t="shared" si="211"/>
        <v>3.9106785055176374</v>
      </c>
      <c r="P2224" s="22">
        <f>O2224/Explications!$C$8</f>
        <v>0.13035595018392124</v>
      </c>
      <c r="Q2224" s="7" t="str">
        <f t="shared" si="212"/>
        <v>C84</v>
      </c>
      <c r="R2224" s="7" t="str">
        <f t="shared" si="213"/>
        <v>C31</v>
      </c>
      <c r="S2224" s="18">
        <f t="shared" si="214"/>
        <v>3.9106785055176374</v>
      </c>
      <c r="T2224" s="18">
        <f>S2224/Explications!$C$8</f>
        <v>0.13035595018392124</v>
      </c>
    </row>
    <row r="2225" spans="7:20">
      <c r="G2225" s="7" t="s">
        <v>47</v>
      </c>
      <c r="H2225" s="7" t="s">
        <v>101</v>
      </c>
      <c r="I2225" s="7">
        <v>46.805500000000002</v>
      </c>
      <c r="J2225" s="7">
        <v>-71.217299999999994</v>
      </c>
      <c r="K2225" s="7">
        <v>46.7988</v>
      </c>
      <c r="L2225" s="7">
        <v>-71.318200000000004</v>
      </c>
      <c r="M2225" s="10" t="str">
        <f t="shared" si="209"/>
        <v>C31</v>
      </c>
      <c r="N2225" s="10" t="str">
        <f t="shared" si="210"/>
        <v>C85</v>
      </c>
      <c r="O2225" s="5">
        <f t="shared" si="211"/>
        <v>7.7160657559944639</v>
      </c>
      <c r="P2225" s="22">
        <f>O2225/Explications!$C$8</f>
        <v>0.25720219186648213</v>
      </c>
      <c r="Q2225" s="7" t="str">
        <f t="shared" si="212"/>
        <v>C85</v>
      </c>
      <c r="R2225" s="7" t="str">
        <f t="shared" si="213"/>
        <v>C31</v>
      </c>
      <c r="S2225" s="18">
        <f t="shared" si="214"/>
        <v>7.7160657559944639</v>
      </c>
      <c r="T2225" s="18">
        <f>S2225/Explications!$C$8</f>
        <v>0.25720219186648213</v>
      </c>
    </row>
    <row r="2226" spans="7:20">
      <c r="G2226" s="7" t="s">
        <v>48</v>
      </c>
      <c r="H2226" s="7" t="s">
        <v>49</v>
      </c>
      <c r="I2226" s="7">
        <v>46.792299999999997</v>
      </c>
      <c r="J2226" s="7">
        <v>-71.172899999999998</v>
      </c>
      <c r="K2226" s="7">
        <v>46.7883</v>
      </c>
      <c r="L2226" s="7">
        <v>-71.131200000000007</v>
      </c>
      <c r="M2226" s="10" t="str">
        <f t="shared" si="209"/>
        <v>C32</v>
      </c>
      <c r="N2226" s="10" t="str">
        <f t="shared" si="210"/>
        <v>C33</v>
      </c>
      <c r="O2226" s="5">
        <f t="shared" si="211"/>
        <v>3.2057053565070621</v>
      </c>
      <c r="P2226" s="22">
        <f>O2226/Explications!$C$8</f>
        <v>0.10685684521690207</v>
      </c>
      <c r="Q2226" s="7" t="str">
        <f t="shared" si="212"/>
        <v>C33</v>
      </c>
      <c r="R2226" s="7" t="str">
        <f t="shared" si="213"/>
        <v>C32</v>
      </c>
      <c r="S2226" s="18">
        <f t="shared" si="214"/>
        <v>3.2057053565070621</v>
      </c>
      <c r="T2226" s="18">
        <f>S2226/Explications!$C$8</f>
        <v>0.10685684521690207</v>
      </c>
    </row>
    <row r="2227" spans="7:20">
      <c r="G2227" s="7" t="s">
        <v>48</v>
      </c>
      <c r="H2227" s="7" t="s">
        <v>50</v>
      </c>
      <c r="I2227" s="7">
        <v>46.792299999999997</v>
      </c>
      <c r="J2227" s="7">
        <v>-71.172899999999998</v>
      </c>
      <c r="K2227" s="7">
        <v>46.8611</v>
      </c>
      <c r="L2227" s="7">
        <v>-71.268799999999999</v>
      </c>
      <c r="M2227" s="10" t="str">
        <f t="shared" si="209"/>
        <v>C32</v>
      </c>
      <c r="N2227" s="10" t="str">
        <f t="shared" si="210"/>
        <v>C34</v>
      </c>
      <c r="O2227" s="5">
        <f t="shared" si="211"/>
        <v>10.571608044876927</v>
      </c>
      <c r="P2227" s="22">
        <f>O2227/Explications!$C$8</f>
        <v>0.35238693482923089</v>
      </c>
      <c r="Q2227" s="7" t="str">
        <f t="shared" si="212"/>
        <v>C34</v>
      </c>
      <c r="R2227" s="7" t="str">
        <f t="shared" si="213"/>
        <v>C32</v>
      </c>
      <c r="S2227" s="18">
        <f t="shared" si="214"/>
        <v>10.571608044876927</v>
      </c>
      <c r="T2227" s="18">
        <f>S2227/Explications!$C$8</f>
        <v>0.35238693482923089</v>
      </c>
    </row>
    <row r="2228" spans="7:20">
      <c r="G2228" s="7" t="s">
        <v>48</v>
      </c>
      <c r="H2228" s="7" t="s">
        <v>51</v>
      </c>
      <c r="I2228" s="7">
        <v>46.792299999999997</v>
      </c>
      <c r="J2228" s="7">
        <v>-71.172899999999998</v>
      </c>
      <c r="K2228" s="7">
        <v>46.869700000000002</v>
      </c>
      <c r="L2228" s="7">
        <v>-71.205200000000005</v>
      </c>
      <c r="M2228" s="10" t="str">
        <f t="shared" si="209"/>
        <v>C32</v>
      </c>
      <c r="N2228" s="10" t="str">
        <f t="shared" si="210"/>
        <v>C35</v>
      </c>
      <c r="O2228" s="5">
        <f t="shared" si="211"/>
        <v>8.9503883062599048</v>
      </c>
      <c r="P2228" s="22">
        <f>O2228/Explications!$C$8</f>
        <v>0.29834627687533016</v>
      </c>
      <c r="Q2228" s="7" t="str">
        <f t="shared" si="212"/>
        <v>C35</v>
      </c>
      <c r="R2228" s="7" t="str">
        <f t="shared" si="213"/>
        <v>C32</v>
      </c>
      <c r="S2228" s="18">
        <f t="shared" si="214"/>
        <v>8.9503883062599048</v>
      </c>
      <c r="T2228" s="18">
        <f>S2228/Explications!$C$8</f>
        <v>0.29834627687533016</v>
      </c>
    </row>
    <row r="2229" spans="7:20">
      <c r="G2229" s="7" t="s">
        <v>48</v>
      </c>
      <c r="H2229" s="7" t="s">
        <v>52</v>
      </c>
      <c r="I2229" s="7">
        <v>46.792299999999997</v>
      </c>
      <c r="J2229" s="7">
        <v>-71.172899999999998</v>
      </c>
      <c r="K2229" s="7">
        <v>46.774099999999997</v>
      </c>
      <c r="L2229" s="7">
        <v>-71.174000000000007</v>
      </c>
      <c r="M2229" s="10" t="str">
        <f t="shared" si="209"/>
        <v>C32</v>
      </c>
      <c r="N2229" s="10" t="str">
        <f t="shared" si="210"/>
        <v>C36</v>
      </c>
      <c r="O2229" s="5">
        <f t="shared" si="211"/>
        <v>2.0254801170830072</v>
      </c>
      <c r="P2229" s="22">
        <f>O2229/Explications!$C$8</f>
        <v>6.7516003902766908E-2</v>
      </c>
      <c r="Q2229" s="7" t="str">
        <f t="shared" si="212"/>
        <v>C36</v>
      </c>
      <c r="R2229" s="7" t="str">
        <f t="shared" si="213"/>
        <v>C32</v>
      </c>
      <c r="S2229" s="18">
        <f t="shared" si="214"/>
        <v>2.0254801170830072</v>
      </c>
      <c r="T2229" s="18">
        <f>S2229/Explications!$C$8</f>
        <v>6.7516003902766908E-2</v>
      </c>
    </row>
    <row r="2230" spans="7:20">
      <c r="G2230" s="7" t="s">
        <v>48</v>
      </c>
      <c r="H2230" s="7" t="s">
        <v>53</v>
      </c>
      <c r="I2230" s="7">
        <v>46.792299999999997</v>
      </c>
      <c r="J2230" s="7">
        <v>-71.172899999999998</v>
      </c>
      <c r="K2230" s="7">
        <v>46.808500000000002</v>
      </c>
      <c r="L2230" s="7">
        <v>-71.326599999999999</v>
      </c>
      <c r="M2230" s="10" t="str">
        <f t="shared" si="209"/>
        <v>C32</v>
      </c>
      <c r="N2230" s="10" t="str">
        <f t="shared" si="210"/>
        <v>C37</v>
      </c>
      <c r="O2230" s="5">
        <f t="shared" si="211"/>
        <v>11.837139784578607</v>
      </c>
      <c r="P2230" s="22">
        <f>O2230/Explications!$C$8</f>
        <v>0.39457132615262025</v>
      </c>
      <c r="Q2230" s="7" t="str">
        <f t="shared" si="212"/>
        <v>C37</v>
      </c>
      <c r="R2230" s="7" t="str">
        <f t="shared" si="213"/>
        <v>C32</v>
      </c>
      <c r="S2230" s="18">
        <f t="shared" si="214"/>
        <v>11.837139784578607</v>
      </c>
      <c r="T2230" s="18">
        <f>S2230/Explications!$C$8</f>
        <v>0.39457132615262025</v>
      </c>
    </row>
    <row r="2231" spans="7:20">
      <c r="G2231" s="7" t="s">
        <v>48</v>
      </c>
      <c r="H2231" s="7" t="s">
        <v>54</v>
      </c>
      <c r="I2231" s="7">
        <v>46.792299999999997</v>
      </c>
      <c r="J2231" s="7">
        <v>-71.172899999999998</v>
      </c>
      <c r="K2231" s="7">
        <v>46.797499999999999</v>
      </c>
      <c r="L2231" s="7">
        <v>-71.306100000000001</v>
      </c>
      <c r="M2231" s="10" t="str">
        <f t="shared" si="209"/>
        <v>C32</v>
      </c>
      <c r="N2231" s="10" t="str">
        <f t="shared" si="210"/>
        <v>C38</v>
      </c>
      <c r="O2231" s="5">
        <f t="shared" si="211"/>
        <v>10.156371921290464</v>
      </c>
      <c r="P2231" s="22">
        <f>O2231/Explications!$C$8</f>
        <v>0.33854573070968214</v>
      </c>
      <c r="Q2231" s="7" t="str">
        <f t="shared" si="212"/>
        <v>C38</v>
      </c>
      <c r="R2231" s="7" t="str">
        <f t="shared" si="213"/>
        <v>C32</v>
      </c>
      <c r="S2231" s="18">
        <f t="shared" si="214"/>
        <v>10.156371921290464</v>
      </c>
      <c r="T2231" s="18">
        <f>S2231/Explications!$C$8</f>
        <v>0.33854573070968214</v>
      </c>
    </row>
    <row r="2232" spans="7:20">
      <c r="G2232" s="7" t="s">
        <v>48</v>
      </c>
      <c r="H2232" s="7" t="s">
        <v>55</v>
      </c>
      <c r="I2232" s="7">
        <v>46.792299999999997</v>
      </c>
      <c r="J2232" s="7">
        <v>-71.172899999999998</v>
      </c>
      <c r="K2232" s="7">
        <v>46.8155</v>
      </c>
      <c r="L2232" s="7">
        <v>-71.268199999999993</v>
      </c>
      <c r="M2232" s="10" t="str">
        <f t="shared" si="209"/>
        <v>C32</v>
      </c>
      <c r="N2232" s="10" t="str">
        <f t="shared" si="210"/>
        <v>C39</v>
      </c>
      <c r="O2232" s="5">
        <f t="shared" si="211"/>
        <v>7.6986188476285218</v>
      </c>
      <c r="P2232" s="22">
        <f>O2232/Explications!$C$8</f>
        <v>0.25662062825428406</v>
      </c>
      <c r="Q2232" s="7" t="str">
        <f t="shared" si="212"/>
        <v>C39</v>
      </c>
      <c r="R2232" s="7" t="str">
        <f t="shared" si="213"/>
        <v>C32</v>
      </c>
      <c r="S2232" s="18">
        <f t="shared" si="214"/>
        <v>7.6986188476285218</v>
      </c>
      <c r="T2232" s="18">
        <f>S2232/Explications!$C$8</f>
        <v>0.25662062825428406</v>
      </c>
    </row>
    <row r="2233" spans="7:20">
      <c r="G2233" s="7" t="s">
        <v>48</v>
      </c>
      <c r="H2233" s="7" t="s">
        <v>56</v>
      </c>
      <c r="I2233" s="7">
        <v>46.792299999999997</v>
      </c>
      <c r="J2233" s="7">
        <v>-71.172899999999998</v>
      </c>
      <c r="K2233" s="7">
        <v>46.866700000000002</v>
      </c>
      <c r="L2233" s="7">
        <v>-71.215900000000005</v>
      </c>
      <c r="M2233" s="10" t="str">
        <f t="shared" si="209"/>
        <v>C32</v>
      </c>
      <c r="N2233" s="10" t="str">
        <f t="shared" si="210"/>
        <v>C40</v>
      </c>
      <c r="O2233" s="5">
        <f t="shared" si="211"/>
        <v>8.8961914497150971</v>
      </c>
      <c r="P2233" s="22">
        <f>O2233/Explications!$C$8</f>
        <v>0.29653971499050324</v>
      </c>
      <c r="Q2233" s="7" t="str">
        <f t="shared" si="212"/>
        <v>C40</v>
      </c>
      <c r="R2233" s="7" t="str">
        <f t="shared" si="213"/>
        <v>C32</v>
      </c>
      <c r="S2233" s="18">
        <f t="shared" si="214"/>
        <v>8.8961914497150971</v>
      </c>
      <c r="T2233" s="18">
        <f>S2233/Explications!$C$8</f>
        <v>0.29653971499050324</v>
      </c>
    </row>
    <row r="2234" spans="7:20">
      <c r="G2234" s="7" t="s">
        <v>48</v>
      </c>
      <c r="H2234" s="7" t="s">
        <v>57</v>
      </c>
      <c r="I2234" s="7">
        <v>46.792299999999997</v>
      </c>
      <c r="J2234" s="7">
        <v>-71.172899999999998</v>
      </c>
      <c r="K2234" s="7">
        <v>46.762099999999997</v>
      </c>
      <c r="L2234" s="7">
        <v>-71.235399999999998</v>
      </c>
      <c r="M2234" s="10" t="str">
        <f t="shared" si="209"/>
        <v>C32</v>
      </c>
      <c r="N2234" s="10" t="str">
        <f t="shared" si="210"/>
        <v>C41</v>
      </c>
      <c r="O2234" s="5">
        <f t="shared" si="211"/>
        <v>5.8248296591675075</v>
      </c>
      <c r="P2234" s="22">
        <f>O2234/Explications!$C$8</f>
        <v>0.19416098863891693</v>
      </c>
      <c r="Q2234" s="7" t="str">
        <f t="shared" si="212"/>
        <v>C41</v>
      </c>
      <c r="R2234" s="7" t="str">
        <f t="shared" si="213"/>
        <v>C32</v>
      </c>
      <c r="S2234" s="18">
        <f t="shared" si="214"/>
        <v>5.8248296591675075</v>
      </c>
      <c r="T2234" s="18">
        <f>S2234/Explications!$C$8</f>
        <v>0.19416098863891693</v>
      </c>
    </row>
    <row r="2235" spans="7:20">
      <c r="G2235" s="7" t="s">
        <v>48</v>
      </c>
      <c r="H2235" s="7" t="s">
        <v>58</v>
      </c>
      <c r="I2235" s="7">
        <v>46.792299999999997</v>
      </c>
      <c r="J2235" s="7">
        <v>-71.172899999999998</v>
      </c>
      <c r="K2235" s="7">
        <v>46.8157</v>
      </c>
      <c r="L2235" s="7">
        <v>-71.2042</v>
      </c>
      <c r="M2235" s="10" t="str">
        <f t="shared" si="209"/>
        <v>C32</v>
      </c>
      <c r="N2235" s="10" t="str">
        <f t="shared" si="210"/>
        <v>C42</v>
      </c>
      <c r="O2235" s="5">
        <f t="shared" si="211"/>
        <v>3.5278403516127348</v>
      </c>
      <c r="P2235" s="22">
        <f>O2235/Explications!$C$8</f>
        <v>0.11759467838709116</v>
      </c>
      <c r="Q2235" s="7" t="str">
        <f t="shared" si="212"/>
        <v>C42</v>
      </c>
      <c r="R2235" s="7" t="str">
        <f t="shared" si="213"/>
        <v>C32</v>
      </c>
      <c r="S2235" s="18">
        <f t="shared" si="214"/>
        <v>3.5278403516127348</v>
      </c>
      <c r="T2235" s="18">
        <f>S2235/Explications!$C$8</f>
        <v>0.11759467838709116</v>
      </c>
    </row>
    <row r="2236" spans="7:20">
      <c r="G2236" s="7" t="s">
        <v>48</v>
      </c>
      <c r="H2236" s="7" t="s">
        <v>59</v>
      </c>
      <c r="I2236" s="7">
        <v>46.792299999999997</v>
      </c>
      <c r="J2236" s="7">
        <v>-71.172899999999998</v>
      </c>
      <c r="K2236" s="7">
        <v>46.707000000000001</v>
      </c>
      <c r="L2236" s="7">
        <v>-71.217100000000002</v>
      </c>
      <c r="M2236" s="10" t="str">
        <f t="shared" si="209"/>
        <v>C32</v>
      </c>
      <c r="N2236" s="10" t="str">
        <f t="shared" si="210"/>
        <v>C43</v>
      </c>
      <c r="O2236" s="5">
        <f t="shared" si="211"/>
        <v>10.065006864954324</v>
      </c>
      <c r="P2236" s="22">
        <f>O2236/Explications!$C$8</f>
        <v>0.3355002288318108</v>
      </c>
      <c r="Q2236" s="7" t="str">
        <f t="shared" si="212"/>
        <v>C43</v>
      </c>
      <c r="R2236" s="7" t="str">
        <f t="shared" si="213"/>
        <v>C32</v>
      </c>
      <c r="S2236" s="18">
        <f t="shared" si="214"/>
        <v>10.065006864954324</v>
      </c>
      <c r="T2236" s="18">
        <f>S2236/Explications!$C$8</f>
        <v>0.3355002288318108</v>
      </c>
    </row>
    <row r="2237" spans="7:20">
      <c r="G2237" s="7" t="s">
        <v>48</v>
      </c>
      <c r="H2237" s="7" t="s">
        <v>60</v>
      </c>
      <c r="I2237" s="7">
        <v>46.792299999999997</v>
      </c>
      <c r="J2237" s="7">
        <v>-71.172899999999998</v>
      </c>
      <c r="K2237" s="7">
        <v>46.802900000000001</v>
      </c>
      <c r="L2237" s="7">
        <v>-71.228899999999996</v>
      </c>
      <c r="M2237" s="10" t="str">
        <f t="shared" si="209"/>
        <v>C32</v>
      </c>
      <c r="N2237" s="10" t="str">
        <f t="shared" si="210"/>
        <v>C44</v>
      </c>
      <c r="O2237" s="5">
        <f t="shared" si="211"/>
        <v>4.4227570467578108</v>
      </c>
      <c r="P2237" s="22">
        <f>O2237/Explications!$C$8</f>
        <v>0.14742523489192702</v>
      </c>
      <c r="Q2237" s="7" t="str">
        <f t="shared" si="212"/>
        <v>C44</v>
      </c>
      <c r="R2237" s="7" t="str">
        <f t="shared" si="213"/>
        <v>C32</v>
      </c>
      <c r="S2237" s="18">
        <f t="shared" si="214"/>
        <v>4.4227570467578108</v>
      </c>
      <c r="T2237" s="18">
        <f>S2237/Explications!$C$8</f>
        <v>0.14742523489192702</v>
      </c>
    </row>
    <row r="2238" spans="7:20">
      <c r="G2238" s="7" t="s">
        <v>48</v>
      </c>
      <c r="H2238" s="7" t="s">
        <v>61</v>
      </c>
      <c r="I2238" s="7">
        <v>46.792299999999997</v>
      </c>
      <c r="J2238" s="7">
        <v>-71.172899999999998</v>
      </c>
      <c r="K2238" s="7">
        <v>46.796900000000001</v>
      </c>
      <c r="L2238" s="7">
        <v>-71.3078</v>
      </c>
      <c r="M2238" s="10" t="str">
        <f t="shared" si="209"/>
        <v>C32</v>
      </c>
      <c r="N2238" s="10" t="str">
        <f t="shared" si="210"/>
        <v>C45</v>
      </c>
      <c r="O2238" s="5">
        <f t="shared" si="211"/>
        <v>10.282100159777858</v>
      </c>
      <c r="P2238" s="22">
        <f>O2238/Explications!$C$8</f>
        <v>0.34273667199259528</v>
      </c>
      <c r="Q2238" s="7" t="str">
        <f t="shared" si="212"/>
        <v>C45</v>
      </c>
      <c r="R2238" s="7" t="str">
        <f t="shared" si="213"/>
        <v>C32</v>
      </c>
      <c r="S2238" s="18">
        <f t="shared" si="214"/>
        <v>10.282100159777858</v>
      </c>
      <c r="T2238" s="18">
        <f>S2238/Explications!$C$8</f>
        <v>0.34273667199259528</v>
      </c>
    </row>
    <row r="2239" spans="7:20">
      <c r="G2239" s="7" t="s">
        <v>48</v>
      </c>
      <c r="H2239" s="7" t="s">
        <v>62</v>
      </c>
      <c r="I2239" s="7">
        <v>46.792299999999997</v>
      </c>
      <c r="J2239" s="7">
        <v>-71.172899999999998</v>
      </c>
      <c r="K2239" s="7">
        <v>46.803600000000003</v>
      </c>
      <c r="L2239" s="7">
        <v>-71.231099999999998</v>
      </c>
      <c r="M2239" s="10" t="str">
        <f t="shared" si="209"/>
        <v>C32</v>
      </c>
      <c r="N2239" s="10" t="str">
        <f t="shared" si="210"/>
        <v>C46</v>
      </c>
      <c r="O2239" s="5">
        <f t="shared" si="211"/>
        <v>4.6049839786855387</v>
      </c>
      <c r="P2239" s="22">
        <f>O2239/Explications!$C$8</f>
        <v>0.15349946595618463</v>
      </c>
      <c r="Q2239" s="7" t="str">
        <f t="shared" si="212"/>
        <v>C46</v>
      </c>
      <c r="R2239" s="7" t="str">
        <f t="shared" si="213"/>
        <v>C32</v>
      </c>
      <c r="S2239" s="18">
        <f t="shared" si="214"/>
        <v>4.6049839786855387</v>
      </c>
      <c r="T2239" s="18">
        <f>S2239/Explications!$C$8</f>
        <v>0.15349946595618463</v>
      </c>
    </row>
    <row r="2240" spans="7:20">
      <c r="G2240" s="7" t="s">
        <v>48</v>
      </c>
      <c r="H2240" s="7" t="s">
        <v>63</v>
      </c>
      <c r="I2240" s="7">
        <v>46.792299999999997</v>
      </c>
      <c r="J2240" s="7">
        <v>-71.172899999999998</v>
      </c>
      <c r="K2240" s="7">
        <v>46.802399999999999</v>
      </c>
      <c r="L2240" s="7">
        <v>-71.269800000000004</v>
      </c>
      <c r="M2240" s="10" t="str">
        <f t="shared" si="209"/>
        <v>C32</v>
      </c>
      <c r="N2240" s="10" t="str">
        <f t="shared" si="210"/>
        <v>C47</v>
      </c>
      <c r="O2240" s="5">
        <f t="shared" si="211"/>
        <v>7.4612198237490235</v>
      </c>
      <c r="P2240" s="22">
        <f>O2240/Explications!$C$8</f>
        <v>0.24870732745830079</v>
      </c>
      <c r="Q2240" s="7" t="str">
        <f t="shared" si="212"/>
        <v>C47</v>
      </c>
      <c r="R2240" s="7" t="str">
        <f t="shared" si="213"/>
        <v>C32</v>
      </c>
      <c r="S2240" s="18">
        <f t="shared" si="214"/>
        <v>7.4612198237490235</v>
      </c>
      <c r="T2240" s="18">
        <f>S2240/Explications!$C$8</f>
        <v>0.24870732745830079</v>
      </c>
    </row>
    <row r="2241" spans="7:20">
      <c r="G2241" s="7" t="s">
        <v>48</v>
      </c>
      <c r="H2241" s="7" t="s">
        <v>64</v>
      </c>
      <c r="I2241" s="7">
        <v>46.792299999999997</v>
      </c>
      <c r="J2241" s="7">
        <v>-71.172899999999998</v>
      </c>
      <c r="K2241" s="7">
        <v>46.826799999999999</v>
      </c>
      <c r="L2241" s="7">
        <v>-71.224199999999996</v>
      </c>
      <c r="M2241" s="10" t="str">
        <f t="shared" si="209"/>
        <v>C32</v>
      </c>
      <c r="N2241" s="10" t="str">
        <f t="shared" si="210"/>
        <v>C48</v>
      </c>
      <c r="O2241" s="5">
        <f t="shared" si="211"/>
        <v>5.4734954921311862</v>
      </c>
      <c r="P2241" s="22">
        <f>O2241/Explications!$C$8</f>
        <v>0.1824498497377062</v>
      </c>
      <c r="Q2241" s="7" t="str">
        <f t="shared" si="212"/>
        <v>C48</v>
      </c>
      <c r="R2241" s="7" t="str">
        <f t="shared" si="213"/>
        <v>C32</v>
      </c>
      <c r="S2241" s="18">
        <f t="shared" si="214"/>
        <v>5.4734954921311862</v>
      </c>
      <c r="T2241" s="18">
        <f>S2241/Explications!$C$8</f>
        <v>0.1824498497377062</v>
      </c>
    </row>
    <row r="2242" spans="7:20">
      <c r="G2242" s="7" t="s">
        <v>48</v>
      </c>
      <c r="H2242" s="7" t="s">
        <v>65</v>
      </c>
      <c r="I2242" s="7">
        <v>46.792299999999997</v>
      </c>
      <c r="J2242" s="7">
        <v>-71.172899999999998</v>
      </c>
      <c r="K2242" s="7">
        <v>46.864100000000001</v>
      </c>
      <c r="L2242" s="7">
        <v>-71.255499999999998</v>
      </c>
      <c r="M2242" s="10" t="str">
        <f t="shared" si="209"/>
        <v>C32</v>
      </c>
      <c r="N2242" s="10" t="str">
        <f t="shared" si="210"/>
        <v>C49</v>
      </c>
      <c r="O2242" s="5">
        <f t="shared" si="211"/>
        <v>10.160237821531261</v>
      </c>
      <c r="P2242" s="22">
        <f>O2242/Explications!$C$8</f>
        <v>0.33867459405104205</v>
      </c>
      <c r="Q2242" s="7" t="str">
        <f t="shared" si="212"/>
        <v>C49</v>
      </c>
      <c r="R2242" s="7" t="str">
        <f t="shared" si="213"/>
        <v>C32</v>
      </c>
      <c r="S2242" s="18">
        <f t="shared" si="214"/>
        <v>10.160237821531261</v>
      </c>
      <c r="T2242" s="18">
        <f>S2242/Explications!$C$8</f>
        <v>0.33867459405104205</v>
      </c>
    </row>
    <row r="2243" spans="7:20">
      <c r="G2243" s="7" t="s">
        <v>48</v>
      </c>
      <c r="H2243" s="7" t="s">
        <v>66</v>
      </c>
      <c r="I2243" s="7">
        <v>46.792299999999997</v>
      </c>
      <c r="J2243" s="7">
        <v>-71.172899999999998</v>
      </c>
      <c r="K2243" s="7">
        <v>46.843800000000002</v>
      </c>
      <c r="L2243" s="7">
        <v>-71.247299999999996</v>
      </c>
      <c r="M2243" s="10" t="str">
        <f t="shared" si="209"/>
        <v>C32</v>
      </c>
      <c r="N2243" s="10" t="str">
        <f t="shared" si="210"/>
        <v>C50</v>
      </c>
      <c r="O2243" s="5">
        <f t="shared" si="211"/>
        <v>8.0525433018869741</v>
      </c>
      <c r="P2243" s="22">
        <f>O2243/Explications!$C$8</f>
        <v>0.26841811006289912</v>
      </c>
      <c r="Q2243" s="7" t="str">
        <f t="shared" si="212"/>
        <v>C50</v>
      </c>
      <c r="R2243" s="7" t="str">
        <f t="shared" si="213"/>
        <v>C32</v>
      </c>
      <c r="S2243" s="18">
        <f t="shared" si="214"/>
        <v>8.0525433018869741</v>
      </c>
      <c r="T2243" s="18">
        <f>S2243/Explications!$C$8</f>
        <v>0.26841811006289912</v>
      </c>
    </row>
    <row r="2244" spans="7:20">
      <c r="G2244" s="7" t="s">
        <v>48</v>
      </c>
      <c r="H2244" s="7" t="s">
        <v>67</v>
      </c>
      <c r="I2244" s="7">
        <v>46.792299999999997</v>
      </c>
      <c r="J2244" s="7">
        <v>-71.172899999999998</v>
      </c>
      <c r="K2244" s="7">
        <v>46.765599999999999</v>
      </c>
      <c r="L2244" s="7">
        <v>-71.312100000000001</v>
      </c>
      <c r="M2244" s="10" t="str">
        <f t="shared" ref="M2244:M2307" si="215">G2244</f>
        <v>C32</v>
      </c>
      <c r="N2244" s="10" t="str">
        <f t="shared" ref="N2244:N2307" si="216">H2244</f>
        <v>C51</v>
      </c>
      <c r="O2244" s="5">
        <f t="shared" ref="O2244:O2307" si="217">ACOS(SIN(RADIANS(I2244))*SIN(RADIANS(K2244))+COS(RADIANS(I2244))*COS(RADIANS(K2244))*COS(RADIANS(J2244-L2244)))*6371</f>
        <v>11.007723324145301</v>
      </c>
      <c r="P2244" s="22">
        <f>O2244/Explications!$C$8</f>
        <v>0.36692411080484338</v>
      </c>
      <c r="Q2244" s="7" t="str">
        <f t="shared" ref="Q2244:Q2307" si="218">N2244</f>
        <v>C51</v>
      </c>
      <c r="R2244" s="7" t="str">
        <f t="shared" ref="R2244:R2307" si="219">M2244</f>
        <v>C32</v>
      </c>
      <c r="S2244" s="18">
        <f t="shared" ref="S2244:S2307" si="220">O2244</f>
        <v>11.007723324145301</v>
      </c>
      <c r="T2244" s="18">
        <f>S2244/Explications!$C$8</f>
        <v>0.36692411080484338</v>
      </c>
    </row>
    <row r="2245" spans="7:20">
      <c r="G2245" s="7" t="s">
        <v>48</v>
      </c>
      <c r="H2245" s="7" t="s">
        <v>68</v>
      </c>
      <c r="I2245" s="7">
        <v>46.792299999999997</v>
      </c>
      <c r="J2245" s="7">
        <v>-71.172899999999998</v>
      </c>
      <c r="K2245" s="7">
        <v>46.787599999999998</v>
      </c>
      <c r="L2245" s="7">
        <v>-71.288600000000002</v>
      </c>
      <c r="M2245" s="10" t="str">
        <f t="shared" si="215"/>
        <v>C32</v>
      </c>
      <c r="N2245" s="10" t="str">
        <f t="shared" si="216"/>
        <v>C52</v>
      </c>
      <c r="O2245" s="5">
        <f t="shared" si="217"/>
        <v>8.8240057874276303</v>
      </c>
      <c r="P2245" s="22">
        <f>O2245/Explications!$C$8</f>
        <v>0.29413352624758765</v>
      </c>
      <c r="Q2245" s="7" t="str">
        <f t="shared" si="218"/>
        <v>C52</v>
      </c>
      <c r="R2245" s="7" t="str">
        <f t="shared" si="219"/>
        <v>C32</v>
      </c>
      <c r="S2245" s="18">
        <f t="shared" si="220"/>
        <v>8.8240057874276303</v>
      </c>
      <c r="T2245" s="18">
        <f>S2245/Explications!$C$8</f>
        <v>0.29413352624758765</v>
      </c>
    </row>
    <row r="2246" spans="7:20">
      <c r="G2246" s="7" t="s">
        <v>48</v>
      </c>
      <c r="H2246" s="7" t="s">
        <v>69</v>
      </c>
      <c r="I2246" s="7">
        <v>46.792299999999997</v>
      </c>
      <c r="J2246" s="7">
        <v>-71.172899999999998</v>
      </c>
      <c r="K2246" s="7">
        <v>46.764600000000002</v>
      </c>
      <c r="L2246" s="7">
        <v>-71.308300000000003</v>
      </c>
      <c r="M2246" s="10" t="str">
        <f t="shared" si="215"/>
        <v>C32</v>
      </c>
      <c r="N2246" s="10" t="str">
        <f t="shared" si="216"/>
        <v>C53</v>
      </c>
      <c r="O2246" s="5">
        <f t="shared" si="217"/>
        <v>10.760759296458485</v>
      </c>
      <c r="P2246" s="22">
        <f>O2246/Explications!$C$8</f>
        <v>0.35869197654861618</v>
      </c>
      <c r="Q2246" s="7" t="str">
        <f t="shared" si="218"/>
        <v>C53</v>
      </c>
      <c r="R2246" s="7" t="str">
        <f t="shared" si="219"/>
        <v>C32</v>
      </c>
      <c r="S2246" s="18">
        <f t="shared" si="220"/>
        <v>10.760759296458485</v>
      </c>
      <c r="T2246" s="18">
        <f>S2246/Explications!$C$8</f>
        <v>0.35869197654861618</v>
      </c>
    </row>
    <row r="2247" spans="7:20">
      <c r="G2247" s="7" t="s">
        <v>48</v>
      </c>
      <c r="H2247" s="7" t="s">
        <v>70</v>
      </c>
      <c r="I2247" s="7">
        <v>46.792299999999997</v>
      </c>
      <c r="J2247" s="7">
        <v>-71.172899999999998</v>
      </c>
      <c r="K2247" s="7">
        <v>46.849699999999999</v>
      </c>
      <c r="L2247" s="7">
        <v>-71.097399999999993</v>
      </c>
      <c r="M2247" s="10" t="str">
        <f t="shared" si="215"/>
        <v>C32</v>
      </c>
      <c r="N2247" s="10" t="str">
        <f t="shared" si="216"/>
        <v>C54</v>
      </c>
      <c r="O2247" s="5">
        <f t="shared" si="217"/>
        <v>8.5871270407684825</v>
      </c>
      <c r="P2247" s="22">
        <f>O2247/Explications!$C$8</f>
        <v>0.28623756802561606</v>
      </c>
      <c r="Q2247" s="7" t="str">
        <f t="shared" si="218"/>
        <v>C54</v>
      </c>
      <c r="R2247" s="7" t="str">
        <f t="shared" si="219"/>
        <v>C32</v>
      </c>
      <c r="S2247" s="18">
        <f t="shared" si="220"/>
        <v>8.5871270407684825</v>
      </c>
      <c r="T2247" s="18">
        <f>S2247/Explications!$C$8</f>
        <v>0.28623756802561606</v>
      </c>
    </row>
    <row r="2248" spans="7:20">
      <c r="G2248" s="7" t="s">
        <v>48</v>
      </c>
      <c r="H2248" s="7" t="s">
        <v>71</v>
      </c>
      <c r="I2248" s="7">
        <v>46.792299999999997</v>
      </c>
      <c r="J2248" s="7">
        <v>-71.172899999999998</v>
      </c>
      <c r="K2248" s="7">
        <v>46.788899999999998</v>
      </c>
      <c r="L2248" s="7">
        <v>-71.321399999999997</v>
      </c>
      <c r="M2248" s="10" t="str">
        <f t="shared" si="215"/>
        <v>C32</v>
      </c>
      <c r="N2248" s="10" t="str">
        <f t="shared" si="216"/>
        <v>C55</v>
      </c>
      <c r="O2248" s="5">
        <f t="shared" si="217"/>
        <v>11.311840052538283</v>
      </c>
      <c r="P2248" s="22">
        <f>O2248/Explications!$C$8</f>
        <v>0.37706133508460943</v>
      </c>
      <c r="Q2248" s="7" t="str">
        <f t="shared" si="218"/>
        <v>C55</v>
      </c>
      <c r="R2248" s="7" t="str">
        <f t="shared" si="219"/>
        <v>C32</v>
      </c>
      <c r="S2248" s="18">
        <f t="shared" si="220"/>
        <v>11.311840052538283</v>
      </c>
      <c r="T2248" s="18">
        <f>S2248/Explications!$C$8</f>
        <v>0.37706133508460943</v>
      </c>
    </row>
    <row r="2249" spans="7:20">
      <c r="G2249" s="7" t="s">
        <v>48</v>
      </c>
      <c r="H2249" s="7" t="s">
        <v>72</v>
      </c>
      <c r="I2249" s="7">
        <v>46.792299999999997</v>
      </c>
      <c r="J2249" s="7">
        <v>-71.172899999999998</v>
      </c>
      <c r="K2249" s="7">
        <v>46.795400000000001</v>
      </c>
      <c r="L2249" s="7">
        <v>-71.232600000000005</v>
      </c>
      <c r="M2249" s="10" t="str">
        <f t="shared" si="215"/>
        <v>C32</v>
      </c>
      <c r="N2249" s="10" t="str">
        <f t="shared" si="216"/>
        <v>C56</v>
      </c>
      <c r="O2249" s="5">
        <f t="shared" si="217"/>
        <v>4.557827274783433</v>
      </c>
      <c r="P2249" s="22">
        <f>O2249/Explications!$C$8</f>
        <v>0.15192757582611444</v>
      </c>
      <c r="Q2249" s="7" t="str">
        <f t="shared" si="218"/>
        <v>C56</v>
      </c>
      <c r="R2249" s="7" t="str">
        <f t="shared" si="219"/>
        <v>C32</v>
      </c>
      <c r="S2249" s="18">
        <f t="shared" si="220"/>
        <v>4.557827274783433</v>
      </c>
      <c r="T2249" s="18">
        <f>S2249/Explications!$C$8</f>
        <v>0.15192757582611444</v>
      </c>
    </row>
    <row r="2250" spans="7:20">
      <c r="G2250" s="7" t="s">
        <v>48</v>
      </c>
      <c r="H2250" s="7" t="s">
        <v>73</v>
      </c>
      <c r="I2250" s="7">
        <v>46.792299999999997</v>
      </c>
      <c r="J2250" s="7">
        <v>-71.172899999999998</v>
      </c>
      <c r="K2250" s="7">
        <v>46.801200000000001</v>
      </c>
      <c r="L2250" s="7">
        <v>-71.224999999999994</v>
      </c>
      <c r="M2250" s="10" t="str">
        <f t="shared" si="215"/>
        <v>C32</v>
      </c>
      <c r="N2250" s="10" t="str">
        <f t="shared" si="216"/>
        <v>C57</v>
      </c>
      <c r="O2250" s="5">
        <f t="shared" si="217"/>
        <v>4.0876032453768865</v>
      </c>
      <c r="P2250" s="22">
        <f>O2250/Explications!$C$8</f>
        <v>0.13625344151256288</v>
      </c>
      <c r="Q2250" s="7" t="str">
        <f t="shared" si="218"/>
        <v>C57</v>
      </c>
      <c r="R2250" s="7" t="str">
        <f t="shared" si="219"/>
        <v>C32</v>
      </c>
      <c r="S2250" s="18">
        <f t="shared" si="220"/>
        <v>4.0876032453768865</v>
      </c>
      <c r="T2250" s="18">
        <f>S2250/Explications!$C$8</f>
        <v>0.13625344151256288</v>
      </c>
    </row>
    <row r="2251" spans="7:20">
      <c r="G2251" s="7" t="s">
        <v>48</v>
      </c>
      <c r="H2251" s="7" t="s">
        <v>74</v>
      </c>
      <c r="I2251" s="7">
        <v>46.792299999999997</v>
      </c>
      <c r="J2251" s="7">
        <v>-71.172899999999998</v>
      </c>
      <c r="K2251" s="7">
        <v>46.773200000000003</v>
      </c>
      <c r="L2251" s="7">
        <v>-71.275899999999993</v>
      </c>
      <c r="M2251" s="10" t="str">
        <f t="shared" si="215"/>
        <v>C32</v>
      </c>
      <c r="N2251" s="10" t="str">
        <f t="shared" si="216"/>
        <v>C58</v>
      </c>
      <c r="O2251" s="5">
        <f t="shared" si="217"/>
        <v>8.125165218956127</v>
      </c>
      <c r="P2251" s="22">
        <f>O2251/Explications!$C$8</f>
        <v>0.27083884063187091</v>
      </c>
      <c r="Q2251" s="7" t="str">
        <f t="shared" si="218"/>
        <v>C58</v>
      </c>
      <c r="R2251" s="7" t="str">
        <f t="shared" si="219"/>
        <v>C32</v>
      </c>
      <c r="S2251" s="18">
        <f t="shared" si="220"/>
        <v>8.125165218956127</v>
      </c>
      <c r="T2251" s="18">
        <f>S2251/Explications!$C$8</f>
        <v>0.27083884063187091</v>
      </c>
    </row>
    <row r="2252" spans="7:20">
      <c r="G2252" s="7" t="s">
        <v>48</v>
      </c>
      <c r="H2252" s="7" t="s">
        <v>75</v>
      </c>
      <c r="I2252" s="7">
        <v>46.792299999999997</v>
      </c>
      <c r="J2252" s="7">
        <v>-71.172899999999998</v>
      </c>
      <c r="K2252" s="7">
        <v>46.814399999999999</v>
      </c>
      <c r="L2252" s="7">
        <v>-71.225700000000003</v>
      </c>
      <c r="M2252" s="10" t="str">
        <f t="shared" si="215"/>
        <v>C32</v>
      </c>
      <c r="N2252" s="10" t="str">
        <f t="shared" si="216"/>
        <v>C59</v>
      </c>
      <c r="O2252" s="5">
        <f t="shared" si="217"/>
        <v>4.7105749186254275</v>
      </c>
      <c r="P2252" s="22">
        <f>O2252/Explications!$C$8</f>
        <v>0.15701916395418092</v>
      </c>
      <c r="Q2252" s="7" t="str">
        <f t="shared" si="218"/>
        <v>C59</v>
      </c>
      <c r="R2252" s="7" t="str">
        <f t="shared" si="219"/>
        <v>C32</v>
      </c>
      <c r="S2252" s="18">
        <f t="shared" si="220"/>
        <v>4.7105749186254275</v>
      </c>
      <c r="T2252" s="18">
        <f>S2252/Explications!$C$8</f>
        <v>0.15701916395418092</v>
      </c>
    </row>
    <row r="2253" spans="7:20">
      <c r="G2253" s="7" t="s">
        <v>48</v>
      </c>
      <c r="H2253" s="7" t="s">
        <v>76</v>
      </c>
      <c r="I2253" s="7">
        <v>46.792299999999997</v>
      </c>
      <c r="J2253" s="7">
        <v>-71.172899999999998</v>
      </c>
      <c r="K2253" s="7">
        <v>46.772500000000001</v>
      </c>
      <c r="L2253" s="7">
        <v>-71.276300000000006</v>
      </c>
      <c r="M2253" s="10" t="str">
        <f t="shared" si="215"/>
        <v>C32</v>
      </c>
      <c r="N2253" s="10" t="str">
        <f t="shared" si="216"/>
        <v>C60</v>
      </c>
      <c r="O2253" s="5">
        <f t="shared" si="217"/>
        <v>8.175234122458976</v>
      </c>
      <c r="P2253" s="22">
        <f>O2253/Explications!$C$8</f>
        <v>0.27250780408196584</v>
      </c>
      <c r="Q2253" s="7" t="str">
        <f t="shared" si="218"/>
        <v>C60</v>
      </c>
      <c r="R2253" s="7" t="str">
        <f t="shared" si="219"/>
        <v>C32</v>
      </c>
      <c r="S2253" s="18">
        <f t="shared" si="220"/>
        <v>8.175234122458976</v>
      </c>
      <c r="T2253" s="18">
        <f>S2253/Explications!$C$8</f>
        <v>0.27250780408196584</v>
      </c>
    </row>
    <row r="2254" spans="7:20">
      <c r="G2254" s="7" t="s">
        <v>48</v>
      </c>
      <c r="H2254" s="7" t="s">
        <v>77</v>
      </c>
      <c r="I2254" s="7">
        <v>46.792299999999997</v>
      </c>
      <c r="J2254" s="7">
        <v>-71.172899999999998</v>
      </c>
      <c r="K2254" s="7">
        <v>46.810899999999997</v>
      </c>
      <c r="L2254" s="7">
        <v>-71.215599999999995</v>
      </c>
      <c r="M2254" s="10" t="str">
        <f t="shared" si="215"/>
        <v>C32</v>
      </c>
      <c r="N2254" s="10" t="str">
        <f t="shared" si="216"/>
        <v>C61</v>
      </c>
      <c r="O2254" s="5">
        <f t="shared" si="217"/>
        <v>3.8524051102630326</v>
      </c>
      <c r="P2254" s="22">
        <f>O2254/Explications!$C$8</f>
        <v>0.12841350367543442</v>
      </c>
      <c r="Q2254" s="7" t="str">
        <f t="shared" si="218"/>
        <v>C61</v>
      </c>
      <c r="R2254" s="7" t="str">
        <f t="shared" si="219"/>
        <v>C32</v>
      </c>
      <c r="S2254" s="18">
        <f t="shared" si="220"/>
        <v>3.8524051102630326</v>
      </c>
      <c r="T2254" s="18">
        <f>S2254/Explications!$C$8</f>
        <v>0.12841350367543442</v>
      </c>
    </row>
    <row r="2255" spans="7:20">
      <c r="G2255" s="7" t="s">
        <v>48</v>
      </c>
      <c r="H2255" s="7" t="s">
        <v>78</v>
      </c>
      <c r="I2255" s="7">
        <v>46.792299999999997</v>
      </c>
      <c r="J2255" s="7">
        <v>-71.172899999999998</v>
      </c>
      <c r="K2255" s="7">
        <v>46.795200000000001</v>
      </c>
      <c r="L2255" s="7">
        <v>-71.245099999999994</v>
      </c>
      <c r="M2255" s="10" t="str">
        <f t="shared" si="215"/>
        <v>C32</v>
      </c>
      <c r="N2255" s="10" t="str">
        <f t="shared" si="216"/>
        <v>C62</v>
      </c>
      <c r="O2255" s="5">
        <f t="shared" si="217"/>
        <v>5.5058208909065982</v>
      </c>
      <c r="P2255" s="22">
        <f>O2255/Explications!$C$8</f>
        <v>0.18352736303021994</v>
      </c>
      <c r="Q2255" s="7" t="str">
        <f t="shared" si="218"/>
        <v>C62</v>
      </c>
      <c r="R2255" s="7" t="str">
        <f t="shared" si="219"/>
        <v>C32</v>
      </c>
      <c r="S2255" s="18">
        <f t="shared" si="220"/>
        <v>5.5058208909065982</v>
      </c>
      <c r="T2255" s="18">
        <f>S2255/Explications!$C$8</f>
        <v>0.18352736303021994</v>
      </c>
    </row>
    <row r="2256" spans="7:20">
      <c r="G2256" s="7" t="s">
        <v>48</v>
      </c>
      <c r="H2256" s="7" t="s">
        <v>79</v>
      </c>
      <c r="I2256" s="7">
        <v>46.792299999999997</v>
      </c>
      <c r="J2256" s="7">
        <v>-71.172899999999998</v>
      </c>
      <c r="K2256" s="7">
        <v>46.822000000000003</v>
      </c>
      <c r="L2256" s="7">
        <v>-71.345699999999994</v>
      </c>
      <c r="M2256" s="10" t="str">
        <f t="shared" si="215"/>
        <v>C32</v>
      </c>
      <c r="N2256" s="10" t="str">
        <f t="shared" si="216"/>
        <v>C63</v>
      </c>
      <c r="O2256" s="5">
        <f t="shared" si="217"/>
        <v>13.559776422914318</v>
      </c>
      <c r="P2256" s="22">
        <f>O2256/Explications!$C$8</f>
        <v>0.45199254743047729</v>
      </c>
      <c r="Q2256" s="7" t="str">
        <f t="shared" si="218"/>
        <v>C63</v>
      </c>
      <c r="R2256" s="7" t="str">
        <f t="shared" si="219"/>
        <v>C32</v>
      </c>
      <c r="S2256" s="18">
        <f t="shared" si="220"/>
        <v>13.559776422914318</v>
      </c>
      <c r="T2256" s="18">
        <f>S2256/Explications!$C$8</f>
        <v>0.45199254743047729</v>
      </c>
    </row>
    <row r="2257" spans="7:20">
      <c r="G2257" s="7" t="s">
        <v>48</v>
      </c>
      <c r="H2257" s="7" t="s">
        <v>80</v>
      </c>
      <c r="I2257" s="7">
        <v>46.792299999999997</v>
      </c>
      <c r="J2257" s="7">
        <v>-71.172899999999998</v>
      </c>
      <c r="K2257" s="7">
        <v>46.779400000000003</v>
      </c>
      <c r="L2257" s="7">
        <v>-71.350399999999993</v>
      </c>
      <c r="M2257" s="10" t="str">
        <f t="shared" si="215"/>
        <v>C32</v>
      </c>
      <c r="N2257" s="10" t="str">
        <f t="shared" si="216"/>
        <v>C64</v>
      </c>
      <c r="O2257" s="5">
        <f t="shared" si="217"/>
        <v>13.590434455519041</v>
      </c>
      <c r="P2257" s="22">
        <f>O2257/Explications!$C$8</f>
        <v>0.4530144818506347</v>
      </c>
      <c r="Q2257" s="7" t="str">
        <f t="shared" si="218"/>
        <v>C64</v>
      </c>
      <c r="R2257" s="7" t="str">
        <f t="shared" si="219"/>
        <v>C32</v>
      </c>
      <c r="S2257" s="18">
        <f t="shared" si="220"/>
        <v>13.590434455519041</v>
      </c>
      <c r="T2257" s="18">
        <f>S2257/Explications!$C$8</f>
        <v>0.4530144818506347</v>
      </c>
    </row>
    <row r="2258" spans="7:20">
      <c r="G2258" s="7" t="s">
        <v>48</v>
      </c>
      <c r="H2258" s="7" t="s">
        <v>81</v>
      </c>
      <c r="I2258" s="7">
        <v>46.792299999999997</v>
      </c>
      <c r="J2258" s="7">
        <v>-71.172899999999998</v>
      </c>
      <c r="K2258" s="7">
        <v>46.772300000000001</v>
      </c>
      <c r="L2258" s="7">
        <v>-71.279799999999994</v>
      </c>
      <c r="M2258" s="10" t="str">
        <f t="shared" si="215"/>
        <v>C32</v>
      </c>
      <c r="N2258" s="10" t="str">
        <f t="shared" si="216"/>
        <v>C65</v>
      </c>
      <c r="O2258" s="5">
        <f t="shared" si="217"/>
        <v>8.438042601560273</v>
      </c>
      <c r="P2258" s="22">
        <f>O2258/Explications!$C$8</f>
        <v>0.28126808671867576</v>
      </c>
      <c r="Q2258" s="7" t="str">
        <f t="shared" si="218"/>
        <v>C65</v>
      </c>
      <c r="R2258" s="7" t="str">
        <f t="shared" si="219"/>
        <v>C32</v>
      </c>
      <c r="S2258" s="18">
        <f t="shared" si="220"/>
        <v>8.438042601560273</v>
      </c>
      <c r="T2258" s="18">
        <f>S2258/Explications!$C$8</f>
        <v>0.28126808671867576</v>
      </c>
    </row>
    <row r="2259" spans="7:20">
      <c r="G2259" s="7" t="s">
        <v>48</v>
      </c>
      <c r="H2259" s="7" t="s">
        <v>82</v>
      </c>
      <c r="I2259" s="7">
        <v>46.792299999999997</v>
      </c>
      <c r="J2259" s="7">
        <v>-71.172899999999998</v>
      </c>
      <c r="K2259" s="7">
        <v>46.814900000000002</v>
      </c>
      <c r="L2259" s="7">
        <v>-71.225200000000001</v>
      </c>
      <c r="M2259" s="10" t="str">
        <f t="shared" si="215"/>
        <v>C32</v>
      </c>
      <c r="N2259" s="10" t="str">
        <f t="shared" si="216"/>
        <v>C66</v>
      </c>
      <c r="O2259" s="5">
        <f t="shared" si="217"/>
        <v>4.7075764133442597</v>
      </c>
      <c r="P2259" s="22">
        <f>O2259/Explications!$C$8</f>
        <v>0.156919213778142</v>
      </c>
      <c r="Q2259" s="7" t="str">
        <f t="shared" si="218"/>
        <v>C66</v>
      </c>
      <c r="R2259" s="7" t="str">
        <f t="shared" si="219"/>
        <v>C32</v>
      </c>
      <c r="S2259" s="18">
        <f t="shared" si="220"/>
        <v>4.7075764133442597</v>
      </c>
      <c r="T2259" s="18">
        <f>S2259/Explications!$C$8</f>
        <v>0.156919213778142</v>
      </c>
    </row>
    <row r="2260" spans="7:20">
      <c r="G2260" s="7" t="s">
        <v>48</v>
      </c>
      <c r="H2260" s="7" t="s">
        <v>83</v>
      </c>
      <c r="I2260" s="7">
        <v>46.792299999999997</v>
      </c>
      <c r="J2260" s="7">
        <v>-71.172899999999998</v>
      </c>
      <c r="K2260" s="7">
        <v>46.814700000000002</v>
      </c>
      <c r="L2260" s="7">
        <v>-71.207300000000004</v>
      </c>
      <c r="M2260" s="10" t="str">
        <f t="shared" si="215"/>
        <v>C32</v>
      </c>
      <c r="N2260" s="10" t="str">
        <f t="shared" si="216"/>
        <v>C67</v>
      </c>
      <c r="O2260" s="5">
        <f t="shared" si="217"/>
        <v>3.6137768164677526</v>
      </c>
      <c r="P2260" s="22">
        <f>O2260/Explications!$C$8</f>
        <v>0.12045922721559175</v>
      </c>
      <c r="Q2260" s="7" t="str">
        <f t="shared" si="218"/>
        <v>C67</v>
      </c>
      <c r="R2260" s="7" t="str">
        <f t="shared" si="219"/>
        <v>C32</v>
      </c>
      <c r="S2260" s="18">
        <f t="shared" si="220"/>
        <v>3.6137768164677526</v>
      </c>
      <c r="T2260" s="18">
        <f>S2260/Explications!$C$8</f>
        <v>0.12045922721559175</v>
      </c>
    </row>
    <row r="2261" spans="7:20">
      <c r="G2261" s="7" t="s">
        <v>48</v>
      </c>
      <c r="H2261" s="7" t="s">
        <v>84</v>
      </c>
      <c r="I2261" s="7">
        <v>46.792299999999997</v>
      </c>
      <c r="J2261" s="7">
        <v>-71.172899999999998</v>
      </c>
      <c r="K2261" s="7">
        <v>46.815600000000003</v>
      </c>
      <c r="L2261" s="7">
        <v>-71.2029</v>
      </c>
      <c r="M2261" s="10" t="str">
        <f t="shared" si="215"/>
        <v>C32</v>
      </c>
      <c r="N2261" s="10" t="str">
        <f t="shared" si="216"/>
        <v>C68</v>
      </c>
      <c r="O2261" s="5">
        <f t="shared" si="217"/>
        <v>3.4534436051706674</v>
      </c>
      <c r="P2261" s="22">
        <f>O2261/Explications!$C$8</f>
        <v>0.11511478683902225</v>
      </c>
      <c r="Q2261" s="7" t="str">
        <f t="shared" si="218"/>
        <v>C68</v>
      </c>
      <c r="R2261" s="7" t="str">
        <f t="shared" si="219"/>
        <v>C32</v>
      </c>
      <c r="S2261" s="18">
        <f t="shared" si="220"/>
        <v>3.4534436051706674</v>
      </c>
      <c r="T2261" s="18">
        <f>S2261/Explications!$C$8</f>
        <v>0.11511478683902225</v>
      </c>
    </row>
    <row r="2262" spans="7:20">
      <c r="G2262" s="7" t="s">
        <v>48</v>
      </c>
      <c r="H2262" s="7" t="s">
        <v>85</v>
      </c>
      <c r="I2262" s="7">
        <v>46.792299999999997</v>
      </c>
      <c r="J2262" s="7">
        <v>-71.172899999999998</v>
      </c>
      <c r="K2262" s="7">
        <v>46.821899999999999</v>
      </c>
      <c r="L2262" s="7">
        <v>-71.249899999999997</v>
      </c>
      <c r="M2262" s="10" t="str">
        <f t="shared" si="215"/>
        <v>C32</v>
      </c>
      <c r="N2262" s="10" t="str">
        <f t="shared" si="216"/>
        <v>C69</v>
      </c>
      <c r="O2262" s="5">
        <f t="shared" si="217"/>
        <v>6.721348172994082</v>
      </c>
      <c r="P2262" s="22">
        <f>O2262/Explications!$C$8</f>
        <v>0.22404493909980275</v>
      </c>
      <c r="Q2262" s="7" t="str">
        <f t="shared" si="218"/>
        <v>C69</v>
      </c>
      <c r="R2262" s="7" t="str">
        <f t="shared" si="219"/>
        <v>C32</v>
      </c>
      <c r="S2262" s="18">
        <f t="shared" si="220"/>
        <v>6.721348172994082</v>
      </c>
      <c r="T2262" s="18">
        <f>S2262/Explications!$C$8</f>
        <v>0.22404493909980275</v>
      </c>
    </row>
    <row r="2263" spans="7:20">
      <c r="G2263" s="7" t="s">
        <v>48</v>
      </c>
      <c r="H2263" s="7" t="s">
        <v>86</v>
      </c>
      <c r="I2263" s="7">
        <v>46.792299999999997</v>
      </c>
      <c r="J2263" s="7">
        <v>-71.172899999999998</v>
      </c>
      <c r="K2263" s="7">
        <v>46.8872</v>
      </c>
      <c r="L2263" s="7">
        <v>-71.27</v>
      </c>
      <c r="M2263" s="10" t="str">
        <f t="shared" si="215"/>
        <v>C32</v>
      </c>
      <c r="N2263" s="10" t="str">
        <f t="shared" si="216"/>
        <v>C70</v>
      </c>
      <c r="O2263" s="5">
        <f t="shared" si="217"/>
        <v>12.880229503196402</v>
      </c>
      <c r="P2263" s="22">
        <f>O2263/Explications!$C$8</f>
        <v>0.42934098343988009</v>
      </c>
      <c r="Q2263" s="7" t="str">
        <f t="shared" si="218"/>
        <v>C70</v>
      </c>
      <c r="R2263" s="7" t="str">
        <f t="shared" si="219"/>
        <v>C32</v>
      </c>
      <c r="S2263" s="18">
        <f t="shared" si="220"/>
        <v>12.880229503196402</v>
      </c>
      <c r="T2263" s="18">
        <f>S2263/Explications!$C$8</f>
        <v>0.42934098343988009</v>
      </c>
    </row>
    <row r="2264" spans="7:20">
      <c r="G2264" s="7" t="s">
        <v>48</v>
      </c>
      <c r="H2264" s="7" t="s">
        <v>87</v>
      </c>
      <c r="I2264" s="7">
        <v>46.792299999999997</v>
      </c>
      <c r="J2264" s="7">
        <v>-71.172899999999998</v>
      </c>
      <c r="K2264" s="7">
        <v>46.816299999999998</v>
      </c>
      <c r="L2264" s="7">
        <v>-71.210300000000004</v>
      </c>
      <c r="M2264" s="10" t="str">
        <f t="shared" si="215"/>
        <v>C32</v>
      </c>
      <c r="N2264" s="10" t="str">
        <f t="shared" si="216"/>
        <v>C71</v>
      </c>
      <c r="O2264" s="5">
        <f t="shared" si="217"/>
        <v>3.9019133848610705</v>
      </c>
      <c r="P2264" s="22">
        <f>O2264/Explications!$C$8</f>
        <v>0.13006377949536901</v>
      </c>
      <c r="Q2264" s="7" t="str">
        <f t="shared" si="218"/>
        <v>C71</v>
      </c>
      <c r="R2264" s="7" t="str">
        <f t="shared" si="219"/>
        <v>C32</v>
      </c>
      <c r="S2264" s="18">
        <f t="shared" si="220"/>
        <v>3.9019133848610705</v>
      </c>
      <c r="T2264" s="18">
        <f>S2264/Explications!$C$8</f>
        <v>0.13006377949536901</v>
      </c>
    </row>
    <row r="2265" spans="7:20">
      <c r="G2265" s="7" t="s">
        <v>48</v>
      </c>
      <c r="H2265" s="7" t="s">
        <v>88</v>
      </c>
      <c r="I2265" s="7">
        <v>46.792299999999997</v>
      </c>
      <c r="J2265" s="7">
        <v>-71.172899999999998</v>
      </c>
      <c r="K2265" s="7">
        <v>46.807000000000002</v>
      </c>
      <c r="L2265" s="7">
        <v>-71.3566</v>
      </c>
      <c r="M2265" s="10" t="str">
        <f t="shared" si="215"/>
        <v>C32</v>
      </c>
      <c r="N2265" s="10" t="str">
        <f t="shared" si="216"/>
        <v>C72</v>
      </c>
      <c r="O2265" s="5">
        <f t="shared" si="217"/>
        <v>14.078208017992164</v>
      </c>
      <c r="P2265" s="22">
        <f>O2265/Explications!$C$8</f>
        <v>0.46927360059973883</v>
      </c>
      <c r="Q2265" s="7" t="str">
        <f t="shared" si="218"/>
        <v>C72</v>
      </c>
      <c r="R2265" s="7" t="str">
        <f t="shared" si="219"/>
        <v>C32</v>
      </c>
      <c r="S2265" s="18">
        <f t="shared" si="220"/>
        <v>14.078208017992164</v>
      </c>
      <c r="T2265" s="18">
        <f>S2265/Explications!$C$8</f>
        <v>0.46927360059973883</v>
      </c>
    </row>
    <row r="2266" spans="7:20">
      <c r="G2266" s="7" t="s">
        <v>48</v>
      </c>
      <c r="H2266" s="7" t="s">
        <v>89</v>
      </c>
      <c r="I2266" s="7">
        <v>46.792299999999997</v>
      </c>
      <c r="J2266" s="7">
        <v>-71.172899999999998</v>
      </c>
      <c r="K2266" s="7">
        <v>46.822899999999997</v>
      </c>
      <c r="L2266" s="7">
        <v>-71.341899999999995</v>
      </c>
      <c r="M2266" s="10" t="str">
        <f t="shared" si="215"/>
        <v>C32</v>
      </c>
      <c r="N2266" s="10" t="str">
        <f t="shared" si="216"/>
        <v>C73</v>
      </c>
      <c r="O2266" s="5">
        <f t="shared" si="217"/>
        <v>13.304598415210414</v>
      </c>
      <c r="P2266" s="22">
        <f>O2266/Explications!$C$8</f>
        <v>0.44348661384034715</v>
      </c>
      <c r="Q2266" s="7" t="str">
        <f t="shared" si="218"/>
        <v>C73</v>
      </c>
      <c r="R2266" s="7" t="str">
        <f t="shared" si="219"/>
        <v>C32</v>
      </c>
      <c r="S2266" s="18">
        <f t="shared" si="220"/>
        <v>13.304598415210414</v>
      </c>
      <c r="T2266" s="18">
        <f>S2266/Explications!$C$8</f>
        <v>0.44348661384034715</v>
      </c>
    </row>
    <row r="2267" spans="7:20">
      <c r="G2267" s="7" t="s">
        <v>48</v>
      </c>
      <c r="H2267" s="7" t="s">
        <v>90</v>
      </c>
      <c r="I2267" s="7">
        <v>46.792299999999997</v>
      </c>
      <c r="J2267" s="7">
        <v>-71.172899999999998</v>
      </c>
      <c r="K2267" s="7">
        <v>46.730699999999999</v>
      </c>
      <c r="L2267" s="7">
        <v>-71.261099999999999</v>
      </c>
      <c r="M2267" s="10" t="str">
        <f t="shared" si="215"/>
        <v>C32</v>
      </c>
      <c r="N2267" s="10" t="str">
        <f t="shared" si="216"/>
        <v>C74</v>
      </c>
      <c r="O2267" s="5">
        <f t="shared" si="217"/>
        <v>9.5944946884194628</v>
      </c>
      <c r="P2267" s="22">
        <f>O2267/Explications!$C$8</f>
        <v>0.31981648961398207</v>
      </c>
      <c r="Q2267" s="7" t="str">
        <f t="shared" si="218"/>
        <v>C74</v>
      </c>
      <c r="R2267" s="7" t="str">
        <f t="shared" si="219"/>
        <v>C32</v>
      </c>
      <c r="S2267" s="18">
        <f t="shared" si="220"/>
        <v>9.5944946884194628</v>
      </c>
      <c r="T2267" s="18">
        <f>S2267/Explications!$C$8</f>
        <v>0.31981648961398207</v>
      </c>
    </row>
    <row r="2268" spans="7:20">
      <c r="G2268" s="7" t="s">
        <v>48</v>
      </c>
      <c r="H2268" s="7" t="s">
        <v>91</v>
      </c>
      <c r="I2268" s="7">
        <v>46.792299999999997</v>
      </c>
      <c r="J2268" s="7">
        <v>-71.172899999999998</v>
      </c>
      <c r="K2268" s="7">
        <v>46.840600000000002</v>
      </c>
      <c r="L2268" s="7">
        <v>-71.289100000000005</v>
      </c>
      <c r="M2268" s="10" t="str">
        <f t="shared" si="215"/>
        <v>C32</v>
      </c>
      <c r="N2268" s="10" t="str">
        <f t="shared" si="216"/>
        <v>C75</v>
      </c>
      <c r="O2268" s="5">
        <f t="shared" si="217"/>
        <v>10.345506696349352</v>
      </c>
      <c r="P2268" s="22">
        <f>O2268/Explications!$C$8</f>
        <v>0.34485022321164505</v>
      </c>
      <c r="Q2268" s="7" t="str">
        <f t="shared" si="218"/>
        <v>C75</v>
      </c>
      <c r="R2268" s="7" t="str">
        <f t="shared" si="219"/>
        <v>C32</v>
      </c>
      <c r="S2268" s="18">
        <f t="shared" si="220"/>
        <v>10.345506696349352</v>
      </c>
      <c r="T2268" s="18">
        <f>S2268/Explications!$C$8</f>
        <v>0.34485022321164505</v>
      </c>
    </row>
    <row r="2269" spans="7:20">
      <c r="G2269" s="7" t="s">
        <v>48</v>
      </c>
      <c r="H2269" s="7" t="s">
        <v>92</v>
      </c>
      <c r="I2269" s="7">
        <v>46.792299999999997</v>
      </c>
      <c r="J2269" s="7">
        <v>-71.172899999999998</v>
      </c>
      <c r="K2269" s="7">
        <v>46.840600000000002</v>
      </c>
      <c r="L2269" s="7">
        <v>-71.281599999999997</v>
      </c>
      <c r="M2269" s="10" t="str">
        <f t="shared" si="215"/>
        <v>C32</v>
      </c>
      <c r="N2269" s="10" t="str">
        <f t="shared" si="216"/>
        <v>C76</v>
      </c>
      <c r="O2269" s="5">
        <f t="shared" si="217"/>
        <v>9.8621753721413938</v>
      </c>
      <c r="P2269" s="22">
        <f>O2269/Explications!$C$8</f>
        <v>0.32873917907137978</v>
      </c>
      <c r="Q2269" s="7" t="str">
        <f t="shared" si="218"/>
        <v>C76</v>
      </c>
      <c r="R2269" s="7" t="str">
        <f t="shared" si="219"/>
        <v>C32</v>
      </c>
      <c r="S2269" s="18">
        <f t="shared" si="220"/>
        <v>9.8621753721413938</v>
      </c>
      <c r="T2269" s="18">
        <f>S2269/Explications!$C$8</f>
        <v>0.32873917907137978</v>
      </c>
    </row>
    <row r="2270" spans="7:20">
      <c r="G2270" s="7" t="s">
        <v>48</v>
      </c>
      <c r="H2270" s="7" t="s">
        <v>93</v>
      </c>
      <c r="I2270" s="7">
        <v>46.792299999999997</v>
      </c>
      <c r="J2270" s="7">
        <v>-71.172899999999998</v>
      </c>
      <c r="K2270" s="7">
        <v>46.839399999999998</v>
      </c>
      <c r="L2270" s="7">
        <v>-71.282600000000002</v>
      </c>
      <c r="M2270" s="10" t="str">
        <f t="shared" si="215"/>
        <v>C32</v>
      </c>
      <c r="N2270" s="10" t="str">
        <f t="shared" si="216"/>
        <v>C77</v>
      </c>
      <c r="O2270" s="5">
        <f t="shared" si="217"/>
        <v>9.8546041141563467</v>
      </c>
      <c r="P2270" s="22">
        <f>O2270/Explications!$C$8</f>
        <v>0.32848680380521156</v>
      </c>
      <c r="Q2270" s="7" t="str">
        <f t="shared" si="218"/>
        <v>C77</v>
      </c>
      <c r="R2270" s="7" t="str">
        <f t="shared" si="219"/>
        <v>C32</v>
      </c>
      <c r="S2270" s="18">
        <f t="shared" si="220"/>
        <v>9.8546041141563467</v>
      </c>
      <c r="T2270" s="18">
        <f>S2270/Explications!$C$8</f>
        <v>0.32848680380521156</v>
      </c>
    </row>
    <row r="2271" spans="7:20">
      <c r="G2271" s="7" t="s">
        <v>48</v>
      </c>
      <c r="H2271" s="7" t="s">
        <v>94</v>
      </c>
      <c r="I2271" s="7">
        <v>46.792299999999997</v>
      </c>
      <c r="J2271" s="7">
        <v>-71.172899999999998</v>
      </c>
      <c r="K2271" s="7">
        <v>46.788499999999999</v>
      </c>
      <c r="L2271" s="7">
        <v>-71.282399999999996</v>
      </c>
      <c r="M2271" s="10" t="str">
        <f t="shared" si="215"/>
        <v>C32</v>
      </c>
      <c r="N2271" s="10" t="str">
        <f t="shared" si="216"/>
        <v>C78</v>
      </c>
      <c r="O2271" s="5">
        <f t="shared" si="217"/>
        <v>8.3471270482875202</v>
      </c>
      <c r="P2271" s="22">
        <f>O2271/Explications!$C$8</f>
        <v>0.27823756827625068</v>
      </c>
      <c r="Q2271" s="7" t="str">
        <f t="shared" si="218"/>
        <v>C78</v>
      </c>
      <c r="R2271" s="7" t="str">
        <f t="shared" si="219"/>
        <v>C32</v>
      </c>
      <c r="S2271" s="18">
        <f t="shared" si="220"/>
        <v>8.3471270482875202</v>
      </c>
      <c r="T2271" s="18">
        <f>S2271/Explications!$C$8</f>
        <v>0.27823756827625068</v>
      </c>
    </row>
    <row r="2272" spans="7:20">
      <c r="G2272" s="7" t="s">
        <v>48</v>
      </c>
      <c r="H2272" s="7" t="s">
        <v>95</v>
      </c>
      <c r="I2272" s="7">
        <v>46.792299999999997</v>
      </c>
      <c r="J2272" s="7">
        <v>-71.172899999999998</v>
      </c>
      <c r="K2272" s="7">
        <v>46.840699999999998</v>
      </c>
      <c r="L2272" s="7">
        <v>-71.325400000000002</v>
      </c>
      <c r="M2272" s="10" t="str">
        <f t="shared" si="215"/>
        <v>C32</v>
      </c>
      <c r="N2272" s="10" t="str">
        <f t="shared" si="216"/>
        <v>C79</v>
      </c>
      <c r="O2272" s="5">
        <f t="shared" si="217"/>
        <v>12.79169865810649</v>
      </c>
      <c r="P2272" s="22">
        <f>O2272/Explications!$C$8</f>
        <v>0.42638995527021634</v>
      </c>
      <c r="Q2272" s="7" t="str">
        <f t="shared" si="218"/>
        <v>C79</v>
      </c>
      <c r="R2272" s="7" t="str">
        <f t="shared" si="219"/>
        <v>C32</v>
      </c>
      <c r="S2272" s="18">
        <f t="shared" si="220"/>
        <v>12.79169865810649</v>
      </c>
      <c r="T2272" s="18">
        <f>S2272/Explications!$C$8</f>
        <v>0.42638995527021634</v>
      </c>
    </row>
    <row r="2273" spans="7:20">
      <c r="G2273" s="7" t="s">
        <v>48</v>
      </c>
      <c r="H2273" s="7" t="s">
        <v>96</v>
      </c>
      <c r="I2273" s="7">
        <v>46.792299999999997</v>
      </c>
      <c r="J2273" s="7">
        <v>-71.172899999999998</v>
      </c>
      <c r="K2273" s="7">
        <v>46.798400000000001</v>
      </c>
      <c r="L2273" s="7">
        <v>-71.183199999999999</v>
      </c>
      <c r="M2273" s="10" t="str">
        <f t="shared" si="215"/>
        <v>C32</v>
      </c>
      <c r="N2273" s="10" t="str">
        <f t="shared" si="216"/>
        <v>C80</v>
      </c>
      <c r="O2273" s="5">
        <f t="shared" si="217"/>
        <v>1.0367570126871826</v>
      </c>
      <c r="P2273" s="22">
        <f>O2273/Explications!$C$8</f>
        <v>3.455856708957275E-2</v>
      </c>
      <c r="Q2273" s="7" t="str">
        <f t="shared" si="218"/>
        <v>C80</v>
      </c>
      <c r="R2273" s="7" t="str">
        <f t="shared" si="219"/>
        <v>C32</v>
      </c>
      <c r="S2273" s="18">
        <f t="shared" si="220"/>
        <v>1.0367570126871826</v>
      </c>
      <c r="T2273" s="18">
        <f>S2273/Explications!$C$8</f>
        <v>3.455856708957275E-2</v>
      </c>
    </row>
    <row r="2274" spans="7:20">
      <c r="G2274" s="7" t="s">
        <v>48</v>
      </c>
      <c r="H2274" s="7" t="s">
        <v>97</v>
      </c>
      <c r="I2274" s="7">
        <v>46.792299999999997</v>
      </c>
      <c r="J2274" s="7">
        <v>-71.172899999999998</v>
      </c>
      <c r="K2274" s="7">
        <v>46.724800000000002</v>
      </c>
      <c r="L2274" s="7">
        <v>-71.2988</v>
      </c>
      <c r="M2274" s="10" t="str">
        <f t="shared" si="215"/>
        <v>C32</v>
      </c>
      <c r="N2274" s="10" t="str">
        <f t="shared" si="216"/>
        <v>C81</v>
      </c>
      <c r="O2274" s="5">
        <f t="shared" si="217"/>
        <v>12.17848661782255</v>
      </c>
      <c r="P2274" s="22">
        <f>O2274/Explications!$C$8</f>
        <v>0.40594955392741833</v>
      </c>
      <c r="Q2274" s="7" t="str">
        <f t="shared" si="218"/>
        <v>C81</v>
      </c>
      <c r="R2274" s="7" t="str">
        <f t="shared" si="219"/>
        <v>C32</v>
      </c>
      <c r="S2274" s="18">
        <f t="shared" si="220"/>
        <v>12.17848661782255</v>
      </c>
      <c r="T2274" s="18">
        <f>S2274/Explications!$C$8</f>
        <v>0.40594955392741833</v>
      </c>
    </row>
    <row r="2275" spans="7:20">
      <c r="G2275" s="7" t="s">
        <v>48</v>
      </c>
      <c r="H2275" s="7" t="s">
        <v>98</v>
      </c>
      <c r="I2275" s="7">
        <v>46.792299999999997</v>
      </c>
      <c r="J2275" s="7">
        <v>-71.172899999999998</v>
      </c>
      <c r="K2275" s="7">
        <v>46.795499999999997</v>
      </c>
      <c r="L2275" s="7">
        <v>-71.242900000000006</v>
      </c>
      <c r="M2275" s="10" t="str">
        <f t="shared" si="215"/>
        <v>C32</v>
      </c>
      <c r="N2275" s="10" t="str">
        <f t="shared" si="216"/>
        <v>C82</v>
      </c>
      <c r="O2275" s="5">
        <f t="shared" si="217"/>
        <v>5.3407418996020288</v>
      </c>
      <c r="P2275" s="22">
        <f>O2275/Explications!$C$8</f>
        <v>0.1780247299867343</v>
      </c>
      <c r="Q2275" s="7" t="str">
        <f t="shared" si="218"/>
        <v>C82</v>
      </c>
      <c r="R2275" s="7" t="str">
        <f t="shared" si="219"/>
        <v>C32</v>
      </c>
      <c r="S2275" s="18">
        <f t="shared" si="220"/>
        <v>5.3407418996020288</v>
      </c>
      <c r="T2275" s="18">
        <f>S2275/Explications!$C$8</f>
        <v>0.1780247299867343</v>
      </c>
    </row>
    <row r="2276" spans="7:20">
      <c r="G2276" s="7" t="s">
        <v>48</v>
      </c>
      <c r="H2276" s="7" t="s">
        <v>99</v>
      </c>
      <c r="I2276" s="7">
        <v>46.792299999999997</v>
      </c>
      <c r="J2276" s="7">
        <v>-71.172899999999998</v>
      </c>
      <c r="K2276" s="7">
        <v>46.8157</v>
      </c>
      <c r="L2276" s="7">
        <v>-71.201899999999995</v>
      </c>
      <c r="M2276" s="10" t="str">
        <f t="shared" si="215"/>
        <v>C32</v>
      </c>
      <c r="N2276" s="10" t="str">
        <f t="shared" si="216"/>
        <v>C83</v>
      </c>
      <c r="O2276" s="5">
        <f t="shared" si="217"/>
        <v>3.4120683897302611</v>
      </c>
      <c r="P2276" s="22">
        <f>O2276/Explications!$C$8</f>
        <v>0.11373561299100871</v>
      </c>
      <c r="Q2276" s="7" t="str">
        <f t="shared" si="218"/>
        <v>C83</v>
      </c>
      <c r="R2276" s="7" t="str">
        <f t="shared" si="219"/>
        <v>C32</v>
      </c>
      <c r="S2276" s="18">
        <f t="shared" si="220"/>
        <v>3.4120683897302611</v>
      </c>
      <c r="T2276" s="18">
        <f>S2276/Explications!$C$8</f>
        <v>0.11373561299100871</v>
      </c>
    </row>
    <row r="2277" spans="7:20">
      <c r="G2277" s="7" t="s">
        <v>48</v>
      </c>
      <c r="H2277" s="7" t="s">
        <v>100</v>
      </c>
      <c r="I2277" s="7">
        <v>46.792299999999997</v>
      </c>
      <c r="J2277" s="7">
        <v>-71.172899999999998</v>
      </c>
      <c r="K2277" s="7">
        <v>46.837600000000002</v>
      </c>
      <c r="L2277" s="7">
        <v>-71.196299999999994</v>
      </c>
      <c r="M2277" s="10" t="str">
        <f t="shared" si="215"/>
        <v>C32</v>
      </c>
      <c r="N2277" s="10" t="str">
        <f t="shared" si="216"/>
        <v>C84</v>
      </c>
      <c r="O2277" s="5">
        <f t="shared" si="217"/>
        <v>5.3426085065761013</v>
      </c>
      <c r="P2277" s="22">
        <f>O2277/Explications!$C$8</f>
        <v>0.17808695021920337</v>
      </c>
      <c r="Q2277" s="7" t="str">
        <f t="shared" si="218"/>
        <v>C84</v>
      </c>
      <c r="R2277" s="7" t="str">
        <f t="shared" si="219"/>
        <v>C32</v>
      </c>
      <c r="S2277" s="18">
        <f t="shared" si="220"/>
        <v>5.3426085065761013</v>
      </c>
      <c r="T2277" s="18">
        <f>S2277/Explications!$C$8</f>
        <v>0.17808695021920337</v>
      </c>
    </row>
    <row r="2278" spans="7:20">
      <c r="G2278" s="7" t="s">
        <v>48</v>
      </c>
      <c r="H2278" s="7" t="s">
        <v>101</v>
      </c>
      <c r="I2278" s="7">
        <v>46.792299999999997</v>
      </c>
      <c r="J2278" s="7">
        <v>-71.172899999999998</v>
      </c>
      <c r="K2278" s="7">
        <v>46.7988</v>
      </c>
      <c r="L2278" s="7">
        <v>-71.318200000000004</v>
      </c>
      <c r="M2278" s="10" t="str">
        <f t="shared" si="215"/>
        <v>C32</v>
      </c>
      <c r="N2278" s="10" t="str">
        <f t="shared" si="216"/>
        <v>C85</v>
      </c>
      <c r="O2278" s="5">
        <f t="shared" si="217"/>
        <v>11.084471756104472</v>
      </c>
      <c r="P2278" s="22">
        <f>O2278/Explications!$C$8</f>
        <v>0.36948239187014909</v>
      </c>
      <c r="Q2278" s="7" t="str">
        <f t="shared" si="218"/>
        <v>C85</v>
      </c>
      <c r="R2278" s="7" t="str">
        <f t="shared" si="219"/>
        <v>C32</v>
      </c>
      <c r="S2278" s="18">
        <f t="shared" si="220"/>
        <v>11.084471756104472</v>
      </c>
      <c r="T2278" s="18">
        <f>S2278/Explications!$C$8</f>
        <v>0.36948239187014909</v>
      </c>
    </row>
    <row r="2279" spans="7:20">
      <c r="G2279" s="7" t="s">
        <v>49</v>
      </c>
      <c r="H2279" s="7" t="s">
        <v>50</v>
      </c>
      <c r="I2279" s="7">
        <v>46.7883</v>
      </c>
      <c r="J2279" s="7">
        <v>-71.131200000000007</v>
      </c>
      <c r="K2279" s="7">
        <v>46.8611</v>
      </c>
      <c r="L2279" s="7">
        <v>-71.268799999999999</v>
      </c>
      <c r="M2279" s="10" t="str">
        <f t="shared" si="215"/>
        <v>C33</v>
      </c>
      <c r="N2279" s="10" t="str">
        <f t="shared" si="216"/>
        <v>C34</v>
      </c>
      <c r="O2279" s="5">
        <f t="shared" si="217"/>
        <v>13.233661448075356</v>
      </c>
      <c r="P2279" s="22">
        <f>O2279/Explications!$C$8</f>
        <v>0.44112204826917856</v>
      </c>
      <c r="Q2279" s="7" t="str">
        <f t="shared" si="218"/>
        <v>C34</v>
      </c>
      <c r="R2279" s="7" t="str">
        <f t="shared" si="219"/>
        <v>C33</v>
      </c>
      <c r="S2279" s="18">
        <f t="shared" si="220"/>
        <v>13.233661448075356</v>
      </c>
      <c r="T2279" s="18">
        <f>S2279/Explications!$C$8</f>
        <v>0.44112204826917856</v>
      </c>
    </row>
    <row r="2280" spans="7:20">
      <c r="G2280" s="7" t="s">
        <v>49</v>
      </c>
      <c r="H2280" s="7" t="s">
        <v>51</v>
      </c>
      <c r="I2280" s="7">
        <v>46.7883</v>
      </c>
      <c r="J2280" s="7">
        <v>-71.131200000000007</v>
      </c>
      <c r="K2280" s="7">
        <v>46.869700000000002</v>
      </c>
      <c r="L2280" s="7">
        <v>-71.205200000000005</v>
      </c>
      <c r="M2280" s="10" t="str">
        <f t="shared" si="215"/>
        <v>C33</v>
      </c>
      <c r="N2280" s="10" t="str">
        <f t="shared" si="216"/>
        <v>C35</v>
      </c>
      <c r="O2280" s="5">
        <f t="shared" si="217"/>
        <v>10.65922209392876</v>
      </c>
      <c r="P2280" s="22">
        <f>O2280/Explications!$C$8</f>
        <v>0.35530740313095865</v>
      </c>
      <c r="Q2280" s="7" t="str">
        <f t="shared" si="218"/>
        <v>C35</v>
      </c>
      <c r="R2280" s="7" t="str">
        <f t="shared" si="219"/>
        <v>C33</v>
      </c>
      <c r="S2280" s="18">
        <f t="shared" si="220"/>
        <v>10.65922209392876</v>
      </c>
      <c r="T2280" s="18">
        <f>S2280/Explications!$C$8</f>
        <v>0.35530740313095865</v>
      </c>
    </row>
    <row r="2281" spans="7:20">
      <c r="G2281" s="7" t="s">
        <v>49</v>
      </c>
      <c r="H2281" s="7" t="s">
        <v>52</v>
      </c>
      <c r="I2281" s="7">
        <v>46.7883</v>
      </c>
      <c r="J2281" s="7">
        <v>-71.131200000000007</v>
      </c>
      <c r="K2281" s="7">
        <v>46.774099999999997</v>
      </c>
      <c r="L2281" s="7">
        <v>-71.174000000000007</v>
      </c>
      <c r="M2281" s="10" t="str">
        <f t="shared" si="215"/>
        <v>C33</v>
      </c>
      <c r="N2281" s="10" t="str">
        <f t="shared" si="216"/>
        <v>C36</v>
      </c>
      <c r="O2281" s="5">
        <f t="shared" si="217"/>
        <v>3.6213522195995171</v>
      </c>
      <c r="P2281" s="22">
        <f>O2281/Explications!$C$8</f>
        <v>0.12071174065331723</v>
      </c>
      <c r="Q2281" s="7" t="str">
        <f t="shared" si="218"/>
        <v>C36</v>
      </c>
      <c r="R2281" s="7" t="str">
        <f t="shared" si="219"/>
        <v>C33</v>
      </c>
      <c r="S2281" s="18">
        <f t="shared" si="220"/>
        <v>3.6213522195995171</v>
      </c>
      <c r="T2281" s="18">
        <f>S2281/Explications!$C$8</f>
        <v>0.12071174065331723</v>
      </c>
    </row>
    <row r="2282" spans="7:20">
      <c r="G2282" s="7" t="s">
        <v>49</v>
      </c>
      <c r="H2282" s="7" t="s">
        <v>53</v>
      </c>
      <c r="I2282" s="7">
        <v>46.7883</v>
      </c>
      <c r="J2282" s="7">
        <v>-71.131200000000007</v>
      </c>
      <c r="K2282" s="7">
        <v>46.808500000000002</v>
      </c>
      <c r="L2282" s="7">
        <v>-71.326599999999999</v>
      </c>
      <c r="M2282" s="10" t="str">
        <f t="shared" si="215"/>
        <v>C33</v>
      </c>
      <c r="N2282" s="10" t="str">
        <f t="shared" si="216"/>
        <v>C37</v>
      </c>
      <c r="O2282" s="5">
        <f t="shared" si="217"/>
        <v>15.042568140881183</v>
      </c>
      <c r="P2282" s="22">
        <f>O2282/Explications!$C$8</f>
        <v>0.50141893802937276</v>
      </c>
      <c r="Q2282" s="7" t="str">
        <f t="shared" si="218"/>
        <v>C37</v>
      </c>
      <c r="R2282" s="7" t="str">
        <f t="shared" si="219"/>
        <v>C33</v>
      </c>
      <c r="S2282" s="18">
        <f t="shared" si="220"/>
        <v>15.042568140881183</v>
      </c>
      <c r="T2282" s="18">
        <f>S2282/Explications!$C$8</f>
        <v>0.50141893802937276</v>
      </c>
    </row>
    <row r="2283" spans="7:20">
      <c r="G2283" s="7" t="s">
        <v>49</v>
      </c>
      <c r="H2283" s="7" t="s">
        <v>54</v>
      </c>
      <c r="I2283" s="7">
        <v>46.7883</v>
      </c>
      <c r="J2283" s="7">
        <v>-71.131200000000007</v>
      </c>
      <c r="K2283" s="7">
        <v>46.797499999999999</v>
      </c>
      <c r="L2283" s="7">
        <v>-71.306100000000001</v>
      </c>
      <c r="M2283" s="10" t="str">
        <f t="shared" si="215"/>
        <v>C33</v>
      </c>
      <c r="N2283" s="10" t="str">
        <f t="shared" si="216"/>
        <v>C38</v>
      </c>
      <c r="O2283" s="5">
        <f t="shared" si="217"/>
        <v>13.354062038666253</v>
      </c>
      <c r="P2283" s="22">
        <f>O2283/Explications!$C$8</f>
        <v>0.44513540128887513</v>
      </c>
      <c r="Q2283" s="7" t="str">
        <f t="shared" si="218"/>
        <v>C38</v>
      </c>
      <c r="R2283" s="7" t="str">
        <f t="shared" si="219"/>
        <v>C33</v>
      </c>
      <c r="S2283" s="18">
        <f t="shared" si="220"/>
        <v>13.354062038666253</v>
      </c>
      <c r="T2283" s="18">
        <f>S2283/Explications!$C$8</f>
        <v>0.44513540128887513</v>
      </c>
    </row>
    <row r="2284" spans="7:20">
      <c r="G2284" s="7" t="s">
        <v>49</v>
      </c>
      <c r="H2284" s="7" t="s">
        <v>55</v>
      </c>
      <c r="I2284" s="7">
        <v>46.7883</v>
      </c>
      <c r="J2284" s="7">
        <v>-71.131200000000007</v>
      </c>
      <c r="K2284" s="7">
        <v>46.8155</v>
      </c>
      <c r="L2284" s="7">
        <v>-71.268199999999993</v>
      </c>
      <c r="M2284" s="10" t="str">
        <f t="shared" si="215"/>
        <v>C33</v>
      </c>
      <c r="N2284" s="10" t="str">
        <f t="shared" si="216"/>
        <v>C39</v>
      </c>
      <c r="O2284" s="5">
        <f t="shared" si="217"/>
        <v>10.857578629574935</v>
      </c>
      <c r="P2284" s="22">
        <f>O2284/Explications!$C$8</f>
        <v>0.36191928765249781</v>
      </c>
      <c r="Q2284" s="7" t="str">
        <f t="shared" si="218"/>
        <v>C39</v>
      </c>
      <c r="R2284" s="7" t="str">
        <f t="shared" si="219"/>
        <v>C33</v>
      </c>
      <c r="S2284" s="18">
        <f t="shared" si="220"/>
        <v>10.857578629574935</v>
      </c>
      <c r="T2284" s="18">
        <f>S2284/Explications!$C$8</f>
        <v>0.36191928765249781</v>
      </c>
    </row>
    <row r="2285" spans="7:20">
      <c r="G2285" s="7" t="s">
        <v>49</v>
      </c>
      <c r="H2285" s="7" t="s">
        <v>56</v>
      </c>
      <c r="I2285" s="7">
        <v>46.7883</v>
      </c>
      <c r="J2285" s="7">
        <v>-71.131200000000007</v>
      </c>
      <c r="K2285" s="7">
        <v>46.866700000000002</v>
      </c>
      <c r="L2285" s="7">
        <v>-71.215900000000005</v>
      </c>
      <c r="M2285" s="10" t="str">
        <f t="shared" si="215"/>
        <v>C33</v>
      </c>
      <c r="N2285" s="10" t="str">
        <f t="shared" si="216"/>
        <v>C40</v>
      </c>
      <c r="O2285" s="5">
        <f t="shared" si="217"/>
        <v>10.840754629787298</v>
      </c>
      <c r="P2285" s="22">
        <f>O2285/Explications!$C$8</f>
        <v>0.36135848765957662</v>
      </c>
      <c r="Q2285" s="7" t="str">
        <f t="shared" si="218"/>
        <v>C40</v>
      </c>
      <c r="R2285" s="7" t="str">
        <f t="shared" si="219"/>
        <v>C33</v>
      </c>
      <c r="S2285" s="18">
        <f t="shared" si="220"/>
        <v>10.840754629787298</v>
      </c>
      <c r="T2285" s="18">
        <f>S2285/Explications!$C$8</f>
        <v>0.36135848765957662</v>
      </c>
    </row>
    <row r="2286" spans="7:20">
      <c r="G2286" s="7" t="s">
        <v>49</v>
      </c>
      <c r="H2286" s="7" t="s">
        <v>57</v>
      </c>
      <c r="I2286" s="7">
        <v>46.7883</v>
      </c>
      <c r="J2286" s="7">
        <v>-71.131200000000007</v>
      </c>
      <c r="K2286" s="7">
        <v>46.762099999999997</v>
      </c>
      <c r="L2286" s="7">
        <v>-71.235399999999998</v>
      </c>
      <c r="M2286" s="10" t="str">
        <f t="shared" si="215"/>
        <v>C33</v>
      </c>
      <c r="N2286" s="10" t="str">
        <f t="shared" si="216"/>
        <v>C41</v>
      </c>
      <c r="O2286" s="5">
        <f t="shared" si="217"/>
        <v>8.4530606511864566</v>
      </c>
      <c r="P2286" s="22">
        <f>O2286/Explications!$C$8</f>
        <v>0.28176868837288188</v>
      </c>
      <c r="Q2286" s="7" t="str">
        <f t="shared" si="218"/>
        <v>C41</v>
      </c>
      <c r="R2286" s="7" t="str">
        <f t="shared" si="219"/>
        <v>C33</v>
      </c>
      <c r="S2286" s="18">
        <f t="shared" si="220"/>
        <v>8.4530606511864566</v>
      </c>
      <c r="T2286" s="18">
        <f>S2286/Explications!$C$8</f>
        <v>0.28176868837288188</v>
      </c>
    </row>
    <row r="2287" spans="7:20">
      <c r="G2287" s="7" t="s">
        <v>49</v>
      </c>
      <c r="H2287" s="7" t="s">
        <v>58</v>
      </c>
      <c r="I2287" s="7">
        <v>46.7883</v>
      </c>
      <c r="J2287" s="7">
        <v>-71.131200000000007</v>
      </c>
      <c r="K2287" s="7">
        <v>46.8157</v>
      </c>
      <c r="L2287" s="7">
        <v>-71.2042</v>
      </c>
      <c r="M2287" s="10" t="str">
        <f t="shared" si="215"/>
        <v>C33</v>
      </c>
      <c r="N2287" s="10" t="str">
        <f t="shared" si="216"/>
        <v>C42</v>
      </c>
      <c r="O2287" s="5">
        <f t="shared" si="217"/>
        <v>6.3369096257400965</v>
      </c>
      <c r="P2287" s="22">
        <f>O2287/Explications!$C$8</f>
        <v>0.21123032085800322</v>
      </c>
      <c r="Q2287" s="7" t="str">
        <f t="shared" si="218"/>
        <v>C42</v>
      </c>
      <c r="R2287" s="7" t="str">
        <f t="shared" si="219"/>
        <v>C33</v>
      </c>
      <c r="S2287" s="18">
        <f t="shared" si="220"/>
        <v>6.3369096257400965</v>
      </c>
      <c r="T2287" s="18">
        <f>S2287/Explications!$C$8</f>
        <v>0.21123032085800322</v>
      </c>
    </row>
    <row r="2288" spans="7:20">
      <c r="G2288" s="7" t="s">
        <v>49</v>
      </c>
      <c r="H2288" s="7" t="s">
        <v>59</v>
      </c>
      <c r="I2288" s="7">
        <v>46.7883</v>
      </c>
      <c r="J2288" s="7">
        <v>-71.131200000000007</v>
      </c>
      <c r="K2288" s="7">
        <v>46.707000000000001</v>
      </c>
      <c r="L2288" s="7">
        <v>-71.217100000000002</v>
      </c>
      <c r="M2288" s="10" t="str">
        <f t="shared" si="215"/>
        <v>C33</v>
      </c>
      <c r="N2288" s="10" t="str">
        <f t="shared" si="216"/>
        <v>C43</v>
      </c>
      <c r="O2288" s="5">
        <f t="shared" si="217"/>
        <v>11.160648357186878</v>
      </c>
      <c r="P2288" s="22">
        <f>O2288/Explications!$C$8</f>
        <v>0.37202161190622923</v>
      </c>
      <c r="Q2288" s="7" t="str">
        <f t="shared" si="218"/>
        <v>C43</v>
      </c>
      <c r="R2288" s="7" t="str">
        <f t="shared" si="219"/>
        <v>C33</v>
      </c>
      <c r="S2288" s="18">
        <f t="shared" si="220"/>
        <v>11.160648357186878</v>
      </c>
      <c r="T2288" s="18">
        <f>S2288/Explications!$C$8</f>
        <v>0.37202161190622923</v>
      </c>
    </row>
    <row r="2289" spans="7:20">
      <c r="G2289" s="7" t="s">
        <v>49</v>
      </c>
      <c r="H2289" s="7" t="s">
        <v>60</v>
      </c>
      <c r="I2289" s="7">
        <v>46.7883</v>
      </c>
      <c r="J2289" s="7">
        <v>-71.131200000000007</v>
      </c>
      <c r="K2289" s="7">
        <v>46.802900000000001</v>
      </c>
      <c r="L2289" s="7">
        <v>-71.228899999999996</v>
      </c>
      <c r="M2289" s="10" t="str">
        <f t="shared" si="215"/>
        <v>C33</v>
      </c>
      <c r="N2289" s="10" t="str">
        <f t="shared" si="216"/>
        <v>C44</v>
      </c>
      <c r="O2289" s="5">
        <f t="shared" si="217"/>
        <v>7.6124756900144002</v>
      </c>
      <c r="P2289" s="22">
        <f>O2289/Explications!$C$8</f>
        <v>0.25374918966714666</v>
      </c>
      <c r="Q2289" s="7" t="str">
        <f t="shared" si="218"/>
        <v>C44</v>
      </c>
      <c r="R2289" s="7" t="str">
        <f t="shared" si="219"/>
        <v>C33</v>
      </c>
      <c r="S2289" s="18">
        <f t="shared" si="220"/>
        <v>7.6124756900144002</v>
      </c>
      <c r="T2289" s="18">
        <f>S2289/Explications!$C$8</f>
        <v>0.25374918966714666</v>
      </c>
    </row>
    <row r="2290" spans="7:20">
      <c r="G2290" s="7" t="s">
        <v>49</v>
      </c>
      <c r="H2290" s="7" t="s">
        <v>61</v>
      </c>
      <c r="I2290" s="7">
        <v>46.7883</v>
      </c>
      <c r="J2290" s="7">
        <v>-71.131200000000007</v>
      </c>
      <c r="K2290" s="7">
        <v>46.796900000000001</v>
      </c>
      <c r="L2290" s="7">
        <v>-71.3078</v>
      </c>
      <c r="M2290" s="10" t="str">
        <f t="shared" si="215"/>
        <v>C33</v>
      </c>
      <c r="N2290" s="10" t="str">
        <f t="shared" si="216"/>
        <v>C45</v>
      </c>
      <c r="O2290" s="5">
        <f t="shared" si="217"/>
        <v>13.478280233790066</v>
      </c>
      <c r="P2290" s="22">
        <f>O2290/Explications!$C$8</f>
        <v>0.4492760077930022</v>
      </c>
      <c r="Q2290" s="7" t="str">
        <f t="shared" si="218"/>
        <v>C45</v>
      </c>
      <c r="R2290" s="7" t="str">
        <f t="shared" si="219"/>
        <v>C33</v>
      </c>
      <c r="S2290" s="18">
        <f t="shared" si="220"/>
        <v>13.478280233790066</v>
      </c>
      <c r="T2290" s="18">
        <f>S2290/Explications!$C$8</f>
        <v>0.4492760077930022</v>
      </c>
    </row>
    <row r="2291" spans="7:20">
      <c r="G2291" s="7" t="s">
        <v>49</v>
      </c>
      <c r="H2291" s="7" t="s">
        <v>62</v>
      </c>
      <c r="I2291" s="7">
        <v>46.7883</v>
      </c>
      <c r="J2291" s="7">
        <v>-71.131200000000007</v>
      </c>
      <c r="K2291" s="7">
        <v>46.803600000000003</v>
      </c>
      <c r="L2291" s="7">
        <v>-71.231099999999998</v>
      </c>
      <c r="M2291" s="10" t="str">
        <f t="shared" si="215"/>
        <v>C33</v>
      </c>
      <c r="N2291" s="10" t="str">
        <f t="shared" si="216"/>
        <v>C46</v>
      </c>
      <c r="O2291" s="5">
        <f t="shared" si="217"/>
        <v>7.7927521980661654</v>
      </c>
      <c r="P2291" s="22">
        <f>O2291/Explications!$C$8</f>
        <v>0.2597584066022055</v>
      </c>
      <c r="Q2291" s="7" t="str">
        <f t="shared" si="218"/>
        <v>C46</v>
      </c>
      <c r="R2291" s="7" t="str">
        <f t="shared" si="219"/>
        <v>C33</v>
      </c>
      <c r="S2291" s="18">
        <f t="shared" si="220"/>
        <v>7.7927521980661654</v>
      </c>
      <c r="T2291" s="18">
        <f>S2291/Explications!$C$8</f>
        <v>0.2597584066022055</v>
      </c>
    </row>
    <row r="2292" spans="7:20">
      <c r="G2292" s="7" t="s">
        <v>49</v>
      </c>
      <c r="H2292" s="7" t="s">
        <v>63</v>
      </c>
      <c r="I2292" s="7">
        <v>46.7883</v>
      </c>
      <c r="J2292" s="7">
        <v>-71.131200000000007</v>
      </c>
      <c r="K2292" s="7">
        <v>46.802399999999999</v>
      </c>
      <c r="L2292" s="7">
        <v>-71.269800000000004</v>
      </c>
      <c r="M2292" s="10" t="str">
        <f t="shared" si="215"/>
        <v>C33</v>
      </c>
      <c r="N2292" s="10" t="str">
        <f t="shared" si="216"/>
        <v>C47</v>
      </c>
      <c r="O2292" s="5">
        <f t="shared" si="217"/>
        <v>10.666742027166945</v>
      </c>
      <c r="P2292" s="22">
        <f>O2292/Explications!$C$8</f>
        <v>0.35555806757223152</v>
      </c>
      <c r="Q2292" s="7" t="str">
        <f t="shared" si="218"/>
        <v>C47</v>
      </c>
      <c r="R2292" s="7" t="str">
        <f t="shared" si="219"/>
        <v>C33</v>
      </c>
      <c r="S2292" s="18">
        <f t="shared" si="220"/>
        <v>10.666742027166945</v>
      </c>
      <c r="T2292" s="18">
        <f>S2292/Explications!$C$8</f>
        <v>0.35555806757223152</v>
      </c>
    </row>
    <row r="2293" spans="7:20">
      <c r="G2293" s="7" t="s">
        <v>49</v>
      </c>
      <c r="H2293" s="7" t="s">
        <v>64</v>
      </c>
      <c r="I2293" s="7">
        <v>46.7883</v>
      </c>
      <c r="J2293" s="7">
        <v>-71.131200000000007</v>
      </c>
      <c r="K2293" s="7">
        <v>46.826799999999999</v>
      </c>
      <c r="L2293" s="7">
        <v>-71.224199999999996</v>
      </c>
      <c r="M2293" s="10" t="str">
        <f t="shared" si="215"/>
        <v>C33</v>
      </c>
      <c r="N2293" s="10" t="str">
        <f t="shared" si="216"/>
        <v>C48</v>
      </c>
      <c r="O2293" s="5">
        <f t="shared" si="217"/>
        <v>8.271941347321647</v>
      </c>
      <c r="P2293" s="22">
        <f>O2293/Explications!$C$8</f>
        <v>0.27573137824405491</v>
      </c>
      <c r="Q2293" s="7" t="str">
        <f t="shared" si="218"/>
        <v>C48</v>
      </c>
      <c r="R2293" s="7" t="str">
        <f t="shared" si="219"/>
        <v>C33</v>
      </c>
      <c r="S2293" s="18">
        <f t="shared" si="220"/>
        <v>8.271941347321647</v>
      </c>
      <c r="T2293" s="18">
        <f>S2293/Explications!$C$8</f>
        <v>0.27573137824405491</v>
      </c>
    </row>
    <row r="2294" spans="7:20">
      <c r="G2294" s="7" t="s">
        <v>49</v>
      </c>
      <c r="H2294" s="7" t="s">
        <v>65</v>
      </c>
      <c r="I2294" s="7">
        <v>46.7883</v>
      </c>
      <c r="J2294" s="7">
        <v>-71.131200000000007</v>
      </c>
      <c r="K2294" s="7">
        <v>46.864100000000001</v>
      </c>
      <c r="L2294" s="7">
        <v>-71.255499999999998</v>
      </c>
      <c r="M2294" s="10" t="str">
        <f t="shared" si="215"/>
        <v>C33</v>
      </c>
      <c r="N2294" s="10" t="str">
        <f t="shared" si="216"/>
        <v>C49</v>
      </c>
      <c r="O2294" s="5">
        <f t="shared" si="217"/>
        <v>12.667808849846015</v>
      </c>
      <c r="P2294" s="22">
        <f>O2294/Explications!$C$8</f>
        <v>0.42226029499486717</v>
      </c>
      <c r="Q2294" s="7" t="str">
        <f t="shared" si="218"/>
        <v>C49</v>
      </c>
      <c r="R2294" s="7" t="str">
        <f t="shared" si="219"/>
        <v>C33</v>
      </c>
      <c r="S2294" s="18">
        <f t="shared" si="220"/>
        <v>12.667808849846015</v>
      </c>
      <c r="T2294" s="18">
        <f>S2294/Explications!$C$8</f>
        <v>0.42226029499486717</v>
      </c>
    </row>
    <row r="2295" spans="7:20">
      <c r="G2295" s="7" t="s">
        <v>49</v>
      </c>
      <c r="H2295" s="7" t="s">
        <v>66</v>
      </c>
      <c r="I2295" s="7">
        <v>46.7883</v>
      </c>
      <c r="J2295" s="7">
        <v>-71.131200000000007</v>
      </c>
      <c r="K2295" s="7">
        <v>46.843800000000002</v>
      </c>
      <c r="L2295" s="7">
        <v>-71.247299999999996</v>
      </c>
      <c r="M2295" s="10" t="str">
        <f t="shared" si="215"/>
        <v>C33</v>
      </c>
      <c r="N2295" s="10" t="str">
        <f t="shared" si="216"/>
        <v>C50</v>
      </c>
      <c r="O2295" s="5">
        <f t="shared" si="217"/>
        <v>10.776675916358954</v>
      </c>
      <c r="P2295" s="22">
        <f>O2295/Explications!$C$8</f>
        <v>0.35922253054529846</v>
      </c>
      <c r="Q2295" s="7" t="str">
        <f t="shared" si="218"/>
        <v>C50</v>
      </c>
      <c r="R2295" s="7" t="str">
        <f t="shared" si="219"/>
        <v>C33</v>
      </c>
      <c r="S2295" s="18">
        <f t="shared" si="220"/>
        <v>10.776675916358954</v>
      </c>
      <c r="T2295" s="18">
        <f>S2295/Explications!$C$8</f>
        <v>0.35922253054529846</v>
      </c>
    </row>
    <row r="2296" spans="7:20">
      <c r="G2296" s="7" t="s">
        <v>49</v>
      </c>
      <c r="H2296" s="7" t="s">
        <v>67</v>
      </c>
      <c r="I2296" s="7">
        <v>46.7883</v>
      </c>
      <c r="J2296" s="7">
        <v>-71.131200000000007</v>
      </c>
      <c r="K2296" s="7">
        <v>46.765599999999999</v>
      </c>
      <c r="L2296" s="7">
        <v>-71.312100000000001</v>
      </c>
      <c r="M2296" s="10" t="str">
        <f t="shared" si="215"/>
        <v>C33</v>
      </c>
      <c r="N2296" s="10" t="str">
        <f t="shared" si="216"/>
        <v>C51</v>
      </c>
      <c r="O2296" s="5">
        <f t="shared" si="217"/>
        <v>14.005010028456022</v>
      </c>
      <c r="P2296" s="22">
        <f>O2296/Explications!$C$8</f>
        <v>0.46683366761520073</v>
      </c>
      <c r="Q2296" s="7" t="str">
        <f t="shared" si="218"/>
        <v>C51</v>
      </c>
      <c r="R2296" s="7" t="str">
        <f t="shared" si="219"/>
        <v>C33</v>
      </c>
      <c r="S2296" s="18">
        <f t="shared" si="220"/>
        <v>14.005010028456022</v>
      </c>
      <c r="T2296" s="18">
        <f>S2296/Explications!$C$8</f>
        <v>0.46683366761520073</v>
      </c>
    </row>
    <row r="2297" spans="7:20">
      <c r="G2297" s="7" t="s">
        <v>49</v>
      </c>
      <c r="H2297" s="7" t="s">
        <v>68</v>
      </c>
      <c r="I2297" s="7">
        <v>46.7883</v>
      </c>
      <c r="J2297" s="7">
        <v>-71.131200000000007</v>
      </c>
      <c r="K2297" s="7">
        <v>46.787599999999998</v>
      </c>
      <c r="L2297" s="7">
        <v>-71.288600000000002</v>
      </c>
      <c r="M2297" s="10" t="str">
        <f t="shared" si="215"/>
        <v>C33</v>
      </c>
      <c r="N2297" s="10" t="str">
        <f t="shared" si="216"/>
        <v>C52</v>
      </c>
      <c r="O2297" s="5">
        <f t="shared" si="217"/>
        <v>11.983932980449385</v>
      </c>
      <c r="P2297" s="22">
        <f>O2297/Explications!$C$8</f>
        <v>0.39946443268164616</v>
      </c>
      <c r="Q2297" s="7" t="str">
        <f t="shared" si="218"/>
        <v>C52</v>
      </c>
      <c r="R2297" s="7" t="str">
        <f t="shared" si="219"/>
        <v>C33</v>
      </c>
      <c r="S2297" s="18">
        <f t="shared" si="220"/>
        <v>11.983932980449385</v>
      </c>
      <c r="T2297" s="18">
        <f>S2297/Explications!$C$8</f>
        <v>0.39946443268164616</v>
      </c>
    </row>
    <row r="2298" spans="7:20">
      <c r="G2298" s="7" t="s">
        <v>49</v>
      </c>
      <c r="H2298" s="7" t="s">
        <v>69</v>
      </c>
      <c r="I2298" s="7">
        <v>46.7883</v>
      </c>
      <c r="J2298" s="7">
        <v>-71.131200000000007</v>
      </c>
      <c r="K2298" s="7">
        <v>46.764600000000002</v>
      </c>
      <c r="L2298" s="7">
        <v>-71.308300000000003</v>
      </c>
      <c r="M2298" s="10" t="str">
        <f t="shared" si="215"/>
        <v>C33</v>
      </c>
      <c r="N2298" s="10" t="str">
        <f t="shared" si="216"/>
        <v>C53</v>
      </c>
      <c r="O2298" s="5">
        <f t="shared" si="217"/>
        <v>13.741488879478945</v>
      </c>
      <c r="P2298" s="22">
        <f>O2298/Explications!$C$8</f>
        <v>0.45804962931596482</v>
      </c>
      <c r="Q2298" s="7" t="str">
        <f t="shared" si="218"/>
        <v>C53</v>
      </c>
      <c r="R2298" s="7" t="str">
        <f t="shared" si="219"/>
        <v>C33</v>
      </c>
      <c r="S2298" s="18">
        <f t="shared" si="220"/>
        <v>13.741488879478945</v>
      </c>
      <c r="T2298" s="18">
        <f>S2298/Explications!$C$8</f>
        <v>0.45804962931596482</v>
      </c>
    </row>
    <row r="2299" spans="7:20">
      <c r="G2299" s="7" t="s">
        <v>49</v>
      </c>
      <c r="H2299" s="7" t="s">
        <v>70</v>
      </c>
      <c r="I2299" s="7">
        <v>46.7883</v>
      </c>
      <c r="J2299" s="7">
        <v>-71.131200000000007</v>
      </c>
      <c r="K2299" s="7">
        <v>46.849699999999999</v>
      </c>
      <c r="L2299" s="7">
        <v>-71.097399999999993</v>
      </c>
      <c r="M2299" s="10" t="str">
        <f t="shared" si="215"/>
        <v>C33</v>
      </c>
      <c r="N2299" s="10" t="str">
        <f t="shared" si="216"/>
        <v>C54</v>
      </c>
      <c r="O2299" s="5">
        <f t="shared" si="217"/>
        <v>7.2957214676440767</v>
      </c>
      <c r="P2299" s="22">
        <f>O2299/Explications!$C$8</f>
        <v>0.2431907155881359</v>
      </c>
      <c r="Q2299" s="7" t="str">
        <f t="shared" si="218"/>
        <v>C54</v>
      </c>
      <c r="R2299" s="7" t="str">
        <f t="shared" si="219"/>
        <v>C33</v>
      </c>
      <c r="S2299" s="18">
        <f t="shared" si="220"/>
        <v>7.2957214676440767</v>
      </c>
      <c r="T2299" s="18">
        <f>S2299/Explications!$C$8</f>
        <v>0.2431907155881359</v>
      </c>
    </row>
    <row r="2300" spans="7:20">
      <c r="G2300" s="7" t="s">
        <v>49</v>
      </c>
      <c r="H2300" s="7" t="s">
        <v>71</v>
      </c>
      <c r="I2300" s="7">
        <v>46.7883</v>
      </c>
      <c r="J2300" s="7">
        <v>-71.131200000000007</v>
      </c>
      <c r="K2300" s="7">
        <v>46.788899999999998</v>
      </c>
      <c r="L2300" s="7">
        <v>-71.321399999999997</v>
      </c>
      <c r="M2300" s="10" t="str">
        <f t="shared" si="215"/>
        <v>C33</v>
      </c>
      <c r="N2300" s="10" t="str">
        <f t="shared" si="216"/>
        <v>C55</v>
      </c>
      <c r="O2300" s="5">
        <f t="shared" si="217"/>
        <v>14.480892413165552</v>
      </c>
      <c r="P2300" s="22">
        <f>O2300/Explications!$C$8</f>
        <v>0.48269641377218508</v>
      </c>
      <c r="Q2300" s="7" t="str">
        <f t="shared" si="218"/>
        <v>C55</v>
      </c>
      <c r="R2300" s="7" t="str">
        <f t="shared" si="219"/>
        <v>C33</v>
      </c>
      <c r="S2300" s="18">
        <f t="shared" si="220"/>
        <v>14.480892413165552</v>
      </c>
      <c r="T2300" s="18">
        <f>S2300/Explications!$C$8</f>
        <v>0.48269641377218508</v>
      </c>
    </row>
    <row r="2301" spans="7:20">
      <c r="G2301" s="7" t="s">
        <v>49</v>
      </c>
      <c r="H2301" s="7" t="s">
        <v>72</v>
      </c>
      <c r="I2301" s="7">
        <v>46.7883</v>
      </c>
      <c r="J2301" s="7">
        <v>-71.131200000000007</v>
      </c>
      <c r="K2301" s="7">
        <v>46.795400000000001</v>
      </c>
      <c r="L2301" s="7">
        <v>-71.232600000000005</v>
      </c>
      <c r="M2301" s="10" t="str">
        <f t="shared" si="215"/>
        <v>C33</v>
      </c>
      <c r="N2301" s="10" t="str">
        <f t="shared" si="216"/>
        <v>C56</v>
      </c>
      <c r="O2301" s="5">
        <f t="shared" si="217"/>
        <v>7.7598159936230395</v>
      </c>
      <c r="P2301" s="22">
        <f>O2301/Explications!$C$8</f>
        <v>0.25866053312076798</v>
      </c>
      <c r="Q2301" s="7" t="str">
        <f t="shared" si="218"/>
        <v>C56</v>
      </c>
      <c r="R2301" s="7" t="str">
        <f t="shared" si="219"/>
        <v>C33</v>
      </c>
      <c r="S2301" s="18">
        <f t="shared" si="220"/>
        <v>7.7598159936230395</v>
      </c>
      <c r="T2301" s="18">
        <f>S2301/Explications!$C$8</f>
        <v>0.25866053312076798</v>
      </c>
    </row>
    <row r="2302" spans="7:20">
      <c r="G2302" s="7" t="s">
        <v>49</v>
      </c>
      <c r="H2302" s="7" t="s">
        <v>73</v>
      </c>
      <c r="I2302" s="7">
        <v>46.7883</v>
      </c>
      <c r="J2302" s="7">
        <v>-71.131200000000007</v>
      </c>
      <c r="K2302" s="7">
        <v>46.801200000000001</v>
      </c>
      <c r="L2302" s="7">
        <v>-71.224999999999994</v>
      </c>
      <c r="M2302" s="10" t="str">
        <f t="shared" si="215"/>
        <v>C33</v>
      </c>
      <c r="N2302" s="10" t="str">
        <f t="shared" si="216"/>
        <v>C57</v>
      </c>
      <c r="O2302" s="5">
        <f t="shared" si="217"/>
        <v>7.2832292751289209</v>
      </c>
      <c r="P2302" s="22">
        <f>O2302/Explications!$C$8</f>
        <v>0.24277430917096404</v>
      </c>
      <c r="Q2302" s="7" t="str">
        <f t="shared" si="218"/>
        <v>C57</v>
      </c>
      <c r="R2302" s="7" t="str">
        <f t="shared" si="219"/>
        <v>C33</v>
      </c>
      <c r="S2302" s="18">
        <f t="shared" si="220"/>
        <v>7.2832292751289209</v>
      </c>
      <c r="T2302" s="18">
        <f>S2302/Explications!$C$8</f>
        <v>0.24277430917096404</v>
      </c>
    </row>
    <row r="2303" spans="7:20">
      <c r="G2303" s="7" t="s">
        <v>49</v>
      </c>
      <c r="H2303" s="7" t="s">
        <v>74</v>
      </c>
      <c r="I2303" s="7">
        <v>46.7883</v>
      </c>
      <c r="J2303" s="7">
        <v>-71.131200000000007</v>
      </c>
      <c r="K2303" s="7">
        <v>46.773200000000003</v>
      </c>
      <c r="L2303" s="7">
        <v>-71.275899999999993</v>
      </c>
      <c r="M2303" s="10" t="str">
        <f t="shared" si="215"/>
        <v>C33</v>
      </c>
      <c r="N2303" s="10" t="str">
        <f t="shared" si="216"/>
        <v>C58</v>
      </c>
      <c r="O2303" s="5">
        <f t="shared" si="217"/>
        <v>11.145435403247657</v>
      </c>
      <c r="P2303" s="22">
        <f>O2303/Explications!$C$8</f>
        <v>0.37151451344158853</v>
      </c>
      <c r="Q2303" s="7" t="str">
        <f t="shared" si="218"/>
        <v>C58</v>
      </c>
      <c r="R2303" s="7" t="str">
        <f t="shared" si="219"/>
        <v>C33</v>
      </c>
      <c r="S2303" s="18">
        <f t="shared" si="220"/>
        <v>11.145435403247657</v>
      </c>
      <c r="T2303" s="18">
        <f>S2303/Explications!$C$8</f>
        <v>0.37151451344158853</v>
      </c>
    </row>
    <row r="2304" spans="7:20">
      <c r="G2304" s="7" t="s">
        <v>49</v>
      </c>
      <c r="H2304" s="7" t="s">
        <v>75</v>
      </c>
      <c r="I2304" s="7">
        <v>46.7883</v>
      </c>
      <c r="J2304" s="7">
        <v>-71.131200000000007</v>
      </c>
      <c r="K2304" s="7">
        <v>46.814399999999999</v>
      </c>
      <c r="L2304" s="7">
        <v>-71.225700000000003</v>
      </c>
      <c r="M2304" s="10" t="str">
        <f t="shared" si="215"/>
        <v>C33</v>
      </c>
      <c r="N2304" s="10" t="str">
        <f t="shared" si="216"/>
        <v>C59</v>
      </c>
      <c r="O2304" s="5">
        <f t="shared" si="217"/>
        <v>7.756399425873254</v>
      </c>
      <c r="P2304" s="22">
        <f>O2304/Explications!$C$8</f>
        <v>0.25854664752910844</v>
      </c>
      <c r="Q2304" s="7" t="str">
        <f t="shared" si="218"/>
        <v>C59</v>
      </c>
      <c r="R2304" s="7" t="str">
        <f t="shared" si="219"/>
        <v>C33</v>
      </c>
      <c r="S2304" s="18">
        <f t="shared" si="220"/>
        <v>7.756399425873254</v>
      </c>
      <c r="T2304" s="18">
        <f>S2304/Explications!$C$8</f>
        <v>0.25854664752910844</v>
      </c>
    </row>
    <row r="2305" spans="7:20">
      <c r="G2305" s="7" t="s">
        <v>49</v>
      </c>
      <c r="H2305" s="7" t="s">
        <v>76</v>
      </c>
      <c r="I2305" s="7">
        <v>46.7883</v>
      </c>
      <c r="J2305" s="7">
        <v>-71.131200000000007</v>
      </c>
      <c r="K2305" s="7">
        <v>46.772500000000001</v>
      </c>
      <c r="L2305" s="7">
        <v>-71.276300000000006</v>
      </c>
      <c r="M2305" s="10" t="str">
        <f t="shared" si="215"/>
        <v>C33</v>
      </c>
      <c r="N2305" s="10" t="str">
        <f t="shared" si="216"/>
        <v>C60</v>
      </c>
      <c r="O2305" s="5">
        <f t="shared" si="217"/>
        <v>11.187576816033634</v>
      </c>
      <c r="P2305" s="22">
        <f>O2305/Explications!$C$8</f>
        <v>0.37291922720112114</v>
      </c>
      <c r="Q2305" s="7" t="str">
        <f t="shared" si="218"/>
        <v>C60</v>
      </c>
      <c r="R2305" s="7" t="str">
        <f t="shared" si="219"/>
        <v>C33</v>
      </c>
      <c r="S2305" s="18">
        <f t="shared" si="220"/>
        <v>11.187576816033634</v>
      </c>
      <c r="T2305" s="18">
        <f>S2305/Explications!$C$8</f>
        <v>0.37291922720112114</v>
      </c>
    </row>
    <row r="2306" spans="7:20">
      <c r="G2306" s="7" t="s">
        <v>49</v>
      </c>
      <c r="H2306" s="7" t="s">
        <v>77</v>
      </c>
      <c r="I2306" s="7">
        <v>46.7883</v>
      </c>
      <c r="J2306" s="7">
        <v>-71.131200000000007</v>
      </c>
      <c r="K2306" s="7">
        <v>46.810899999999997</v>
      </c>
      <c r="L2306" s="7">
        <v>-71.215599999999995</v>
      </c>
      <c r="M2306" s="10" t="str">
        <f t="shared" si="215"/>
        <v>C33</v>
      </c>
      <c r="N2306" s="10" t="str">
        <f t="shared" si="216"/>
        <v>C61</v>
      </c>
      <c r="O2306" s="5">
        <f t="shared" si="217"/>
        <v>6.8984326852603495</v>
      </c>
      <c r="P2306" s="22">
        <f>O2306/Explications!$C$8</f>
        <v>0.22994775617534499</v>
      </c>
      <c r="Q2306" s="7" t="str">
        <f t="shared" si="218"/>
        <v>C61</v>
      </c>
      <c r="R2306" s="7" t="str">
        <f t="shared" si="219"/>
        <v>C33</v>
      </c>
      <c r="S2306" s="18">
        <f t="shared" si="220"/>
        <v>6.8984326852603495</v>
      </c>
      <c r="T2306" s="18">
        <f>S2306/Explications!$C$8</f>
        <v>0.22994775617534499</v>
      </c>
    </row>
    <row r="2307" spans="7:20">
      <c r="G2307" s="7" t="s">
        <v>49</v>
      </c>
      <c r="H2307" s="7" t="s">
        <v>78</v>
      </c>
      <c r="I2307" s="7">
        <v>46.7883</v>
      </c>
      <c r="J2307" s="7">
        <v>-71.131200000000007</v>
      </c>
      <c r="K2307" s="7">
        <v>46.795200000000001</v>
      </c>
      <c r="L2307" s="7">
        <v>-71.245099999999994</v>
      </c>
      <c r="M2307" s="10" t="str">
        <f t="shared" si="215"/>
        <v>C33</v>
      </c>
      <c r="N2307" s="10" t="str">
        <f t="shared" si="216"/>
        <v>C62</v>
      </c>
      <c r="O2307" s="5">
        <f t="shared" si="217"/>
        <v>8.7050650780889001</v>
      </c>
      <c r="P2307" s="22">
        <f>O2307/Explications!$C$8</f>
        <v>0.29016883593629667</v>
      </c>
      <c r="Q2307" s="7" t="str">
        <f t="shared" si="218"/>
        <v>C62</v>
      </c>
      <c r="R2307" s="7" t="str">
        <f t="shared" si="219"/>
        <v>C33</v>
      </c>
      <c r="S2307" s="18">
        <f t="shared" si="220"/>
        <v>8.7050650780889001</v>
      </c>
      <c r="T2307" s="18">
        <f>S2307/Explications!$C$8</f>
        <v>0.29016883593629667</v>
      </c>
    </row>
    <row r="2308" spans="7:20">
      <c r="G2308" s="7" t="s">
        <v>49</v>
      </c>
      <c r="H2308" s="7" t="s">
        <v>79</v>
      </c>
      <c r="I2308" s="7">
        <v>46.7883</v>
      </c>
      <c r="J2308" s="7">
        <v>-71.131200000000007</v>
      </c>
      <c r="K2308" s="7">
        <v>46.822000000000003</v>
      </c>
      <c r="L2308" s="7">
        <v>-71.345699999999994</v>
      </c>
      <c r="M2308" s="10" t="str">
        <f t="shared" ref="M2308:M2371" si="221">G2308</f>
        <v>C33</v>
      </c>
      <c r="N2308" s="10" t="str">
        <f t="shared" ref="N2308:N2371" si="222">H2308</f>
        <v>C63</v>
      </c>
      <c r="O2308" s="5">
        <f t="shared" ref="O2308:O2371" si="223">ACOS(SIN(RADIANS(I2308))*SIN(RADIANS(K2308))+COS(RADIANS(I2308))*COS(RADIANS(K2308))*COS(RADIANS(J2308-L2308)))*6371</f>
        <v>16.750314473511374</v>
      </c>
      <c r="P2308" s="22">
        <f>O2308/Explications!$C$8</f>
        <v>0.5583438157837125</v>
      </c>
      <c r="Q2308" s="7" t="str">
        <f t="shared" ref="Q2308:Q2371" si="224">N2308</f>
        <v>C63</v>
      </c>
      <c r="R2308" s="7" t="str">
        <f t="shared" ref="R2308:R2371" si="225">M2308</f>
        <v>C33</v>
      </c>
      <c r="S2308" s="18">
        <f t="shared" ref="S2308:S2371" si="226">O2308</f>
        <v>16.750314473511374</v>
      </c>
      <c r="T2308" s="18">
        <f>S2308/Explications!$C$8</f>
        <v>0.5583438157837125</v>
      </c>
    </row>
    <row r="2309" spans="7:20">
      <c r="G2309" s="7" t="s">
        <v>49</v>
      </c>
      <c r="H2309" s="7" t="s">
        <v>80</v>
      </c>
      <c r="I2309" s="7">
        <v>46.7883</v>
      </c>
      <c r="J2309" s="7">
        <v>-71.131200000000007</v>
      </c>
      <c r="K2309" s="7">
        <v>46.779400000000003</v>
      </c>
      <c r="L2309" s="7">
        <v>-71.350399999999993</v>
      </c>
      <c r="M2309" s="10" t="str">
        <f t="shared" si="221"/>
        <v>C33</v>
      </c>
      <c r="N2309" s="10" t="str">
        <f t="shared" si="222"/>
        <v>C64</v>
      </c>
      <c r="O2309" s="5">
        <f t="shared" si="223"/>
        <v>16.719418216574056</v>
      </c>
      <c r="P2309" s="22">
        <f>O2309/Explications!$C$8</f>
        <v>0.55731394055246852</v>
      </c>
      <c r="Q2309" s="7" t="str">
        <f t="shared" si="224"/>
        <v>C64</v>
      </c>
      <c r="R2309" s="7" t="str">
        <f t="shared" si="225"/>
        <v>C33</v>
      </c>
      <c r="S2309" s="18">
        <f t="shared" si="226"/>
        <v>16.719418216574056</v>
      </c>
      <c r="T2309" s="18">
        <f>S2309/Explications!$C$8</f>
        <v>0.55731394055246852</v>
      </c>
    </row>
    <row r="2310" spans="7:20">
      <c r="G2310" s="7" t="s">
        <v>49</v>
      </c>
      <c r="H2310" s="7" t="s">
        <v>81</v>
      </c>
      <c r="I2310" s="7">
        <v>46.7883</v>
      </c>
      <c r="J2310" s="7">
        <v>-71.131200000000007</v>
      </c>
      <c r="K2310" s="7">
        <v>46.772300000000001</v>
      </c>
      <c r="L2310" s="7">
        <v>-71.279799999999994</v>
      </c>
      <c r="M2310" s="10" t="str">
        <f t="shared" si="221"/>
        <v>C33</v>
      </c>
      <c r="N2310" s="10" t="str">
        <f t="shared" si="222"/>
        <v>C65</v>
      </c>
      <c r="O2310" s="5">
        <f t="shared" si="223"/>
        <v>11.454310977738958</v>
      </c>
      <c r="P2310" s="22">
        <f>O2310/Explications!$C$8</f>
        <v>0.38181036592463191</v>
      </c>
      <c r="Q2310" s="7" t="str">
        <f t="shared" si="224"/>
        <v>C65</v>
      </c>
      <c r="R2310" s="7" t="str">
        <f t="shared" si="225"/>
        <v>C33</v>
      </c>
      <c r="S2310" s="18">
        <f t="shared" si="226"/>
        <v>11.454310977738958</v>
      </c>
      <c r="T2310" s="18">
        <f>S2310/Explications!$C$8</f>
        <v>0.38181036592463191</v>
      </c>
    </row>
    <row r="2311" spans="7:20">
      <c r="G2311" s="7" t="s">
        <v>49</v>
      </c>
      <c r="H2311" s="7" t="s">
        <v>82</v>
      </c>
      <c r="I2311" s="7">
        <v>46.7883</v>
      </c>
      <c r="J2311" s="7">
        <v>-71.131200000000007</v>
      </c>
      <c r="K2311" s="7">
        <v>46.814900000000002</v>
      </c>
      <c r="L2311" s="7">
        <v>-71.225200000000001</v>
      </c>
      <c r="M2311" s="10" t="str">
        <f t="shared" si="221"/>
        <v>C33</v>
      </c>
      <c r="N2311" s="10" t="str">
        <f t="shared" si="222"/>
        <v>C66</v>
      </c>
      <c r="O2311" s="5">
        <f t="shared" si="223"/>
        <v>7.7421573992227941</v>
      </c>
      <c r="P2311" s="22">
        <f>O2311/Explications!$C$8</f>
        <v>0.25807191330742646</v>
      </c>
      <c r="Q2311" s="7" t="str">
        <f t="shared" si="224"/>
        <v>C66</v>
      </c>
      <c r="R2311" s="7" t="str">
        <f t="shared" si="225"/>
        <v>C33</v>
      </c>
      <c r="S2311" s="18">
        <f t="shared" si="226"/>
        <v>7.7421573992227941</v>
      </c>
      <c r="T2311" s="18">
        <f>S2311/Explications!$C$8</f>
        <v>0.25807191330742646</v>
      </c>
    </row>
    <row r="2312" spans="7:20">
      <c r="G2312" s="7" t="s">
        <v>49</v>
      </c>
      <c r="H2312" s="7" t="s">
        <v>83</v>
      </c>
      <c r="I2312" s="7">
        <v>46.7883</v>
      </c>
      <c r="J2312" s="7">
        <v>-71.131200000000007</v>
      </c>
      <c r="K2312" s="7">
        <v>46.814700000000002</v>
      </c>
      <c r="L2312" s="7">
        <v>-71.207300000000004</v>
      </c>
      <c r="M2312" s="10" t="str">
        <f t="shared" si="221"/>
        <v>C33</v>
      </c>
      <c r="N2312" s="10" t="str">
        <f t="shared" si="222"/>
        <v>C67</v>
      </c>
      <c r="O2312" s="5">
        <f t="shared" si="223"/>
        <v>6.4938186744241184</v>
      </c>
      <c r="P2312" s="22">
        <f>O2312/Explications!$C$8</f>
        <v>0.21646062248080394</v>
      </c>
      <c r="Q2312" s="7" t="str">
        <f t="shared" si="224"/>
        <v>C67</v>
      </c>
      <c r="R2312" s="7" t="str">
        <f t="shared" si="225"/>
        <v>C33</v>
      </c>
      <c r="S2312" s="18">
        <f t="shared" si="226"/>
        <v>6.4938186744241184</v>
      </c>
      <c r="T2312" s="18">
        <f>S2312/Explications!$C$8</f>
        <v>0.21646062248080394</v>
      </c>
    </row>
    <row r="2313" spans="7:20">
      <c r="G2313" s="7" t="s">
        <v>49</v>
      </c>
      <c r="H2313" s="7" t="s">
        <v>84</v>
      </c>
      <c r="I2313" s="7">
        <v>46.7883</v>
      </c>
      <c r="J2313" s="7">
        <v>-71.131200000000007</v>
      </c>
      <c r="K2313" s="7">
        <v>46.815600000000003</v>
      </c>
      <c r="L2313" s="7">
        <v>-71.2029</v>
      </c>
      <c r="M2313" s="10" t="str">
        <f t="shared" si="221"/>
        <v>C33</v>
      </c>
      <c r="N2313" s="10" t="str">
        <f t="shared" si="222"/>
        <v>C68</v>
      </c>
      <c r="O2313" s="5">
        <f t="shared" si="223"/>
        <v>6.2449197617211549</v>
      </c>
      <c r="P2313" s="22">
        <f>O2313/Explications!$C$8</f>
        <v>0.20816399205737182</v>
      </c>
      <c r="Q2313" s="7" t="str">
        <f t="shared" si="224"/>
        <v>C68</v>
      </c>
      <c r="R2313" s="7" t="str">
        <f t="shared" si="225"/>
        <v>C33</v>
      </c>
      <c r="S2313" s="18">
        <f t="shared" si="226"/>
        <v>6.2449197617211549</v>
      </c>
      <c r="T2313" s="18">
        <f>S2313/Explications!$C$8</f>
        <v>0.20816399205737182</v>
      </c>
    </row>
    <row r="2314" spans="7:20">
      <c r="G2314" s="7" t="s">
        <v>49</v>
      </c>
      <c r="H2314" s="7" t="s">
        <v>85</v>
      </c>
      <c r="I2314" s="7">
        <v>46.7883</v>
      </c>
      <c r="J2314" s="7">
        <v>-71.131200000000007</v>
      </c>
      <c r="K2314" s="7">
        <v>46.821899999999999</v>
      </c>
      <c r="L2314" s="7">
        <v>-71.249899999999997</v>
      </c>
      <c r="M2314" s="10" t="str">
        <f t="shared" si="221"/>
        <v>C33</v>
      </c>
      <c r="N2314" s="10" t="str">
        <f t="shared" si="222"/>
        <v>C69</v>
      </c>
      <c r="O2314" s="5">
        <f t="shared" si="223"/>
        <v>9.7764320824307056</v>
      </c>
      <c r="P2314" s="22">
        <f>O2314/Explications!$C$8</f>
        <v>0.32588106941435685</v>
      </c>
      <c r="Q2314" s="7" t="str">
        <f t="shared" si="224"/>
        <v>C69</v>
      </c>
      <c r="R2314" s="7" t="str">
        <f t="shared" si="225"/>
        <v>C33</v>
      </c>
      <c r="S2314" s="18">
        <f t="shared" si="226"/>
        <v>9.7764320824307056</v>
      </c>
      <c r="T2314" s="18">
        <f>S2314/Explications!$C$8</f>
        <v>0.32588106941435685</v>
      </c>
    </row>
    <row r="2315" spans="7:20">
      <c r="G2315" s="7" t="s">
        <v>49</v>
      </c>
      <c r="H2315" s="7" t="s">
        <v>86</v>
      </c>
      <c r="I2315" s="7">
        <v>46.7883</v>
      </c>
      <c r="J2315" s="7">
        <v>-71.131200000000007</v>
      </c>
      <c r="K2315" s="7">
        <v>46.8872</v>
      </c>
      <c r="L2315" s="7">
        <v>-71.27</v>
      </c>
      <c r="M2315" s="10" t="str">
        <f t="shared" si="221"/>
        <v>C33</v>
      </c>
      <c r="N2315" s="10" t="str">
        <f t="shared" si="222"/>
        <v>C70</v>
      </c>
      <c r="O2315" s="5">
        <f t="shared" si="223"/>
        <v>15.244823064793831</v>
      </c>
      <c r="P2315" s="22">
        <f>O2315/Explications!$C$8</f>
        <v>0.508160768826461</v>
      </c>
      <c r="Q2315" s="7" t="str">
        <f t="shared" si="224"/>
        <v>C70</v>
      </c>
      <c r="R2315" s="7" t="str">
        <f t="shared" si="225"/>
        <v>C33</v>
      </c>
      <c r="S2315" s="18">
        <f t="shared" si="226"/>
        <v>15.244823064793831</v>
      </c>
      <c r="T2315" s="18">
        <f>S2315/Explications!$C$8</f>
        <v>0.508160768826461</v>
      </c>
    </row>
    <row r="2316" spans="7:20">
      <c r="G2316" s="7" t="s">
        <v>49</v>
      </c>
      <c r="H2316" s="7" t="s">
        <v>87</v>
      </c>
      <c r="I2316" s="7">
        <v>46.7883</v>
      </c>
      <c r="J2316" s="7">
        <v>-71.131200000000007</v>
      </c>
      <c r="K2316" s="7">
        <v>46.816299999999998</v>
      </c>
      <c r="L2316" s="7">
        <v>-71.210300000000004</v>
      </c>
      <c r="M2316" s="10" t="str">
        <f t="shared" si="221"/>
        <v>C33</v>
      </c>
      <c r="N2316" s="10" t="str">
        <f t="shared" si="222"/>
        <v>C71</v>
      </c>
      <c r="O2316" s="5">
        <f t="shared" si="223"/>
        <v>6.7780761298308523</v>
      </c>
      <c r="P2316" s="22">
        <f>O2316/Explications!$C$8</f>
        <v>0.22593587099436174</v>
      </c>
      <c r="Q2316" s="7" t="str">
        <f t="shared" si="224"/>
        <v>C71</v>
      </c>
      <c r="R2316" s="7" t="str">
        <f t="shared" si="225"/>
        <v>C33</v>
      </c>
      <c r="S2316" s="18">
        <f t="shared" si="226"/>
        <v>6.7780761298308523</v>
      </c>
      <c r="T2316" s="18">
        <f>S2316/Explications!$C$8</f>
        <v>0.22593587099436174</v>
      </c>
    </row>
    <row r="2317" spans="7:20">
      <c r="G2317" s="7" t="s">
        <v>49</v>
      </c>
      <c r="H2317" s="7" t="s">
        <v>88</v>
      </c>
      <c r="I2317" s="7">
        <v>46.7883</v>
      </c>
      <c r="J2317" s="7">
        <v>-71.131200000000007</v>
      </c>
      <c r="K2317" s="7">
        <v>46.807000000000002</v>
      </c>
      <c r="L2317" s="7">
        <v>-71.3566</v>
      </c>
      <c r="M2317" s="10" t="str">
        <f t="shared" si="221"/>
        <v>C33</v>
      </c>
      <c r="N2317" s="10" t="str">
        <f t="shared" si="222"/>
        <v>C72</v>
      </c>
      <c r="O2317" s="5">
        <f t="shared" si="223"/>
        <v>17.283315873711793</v>
      </c>
      <c r="P2317" s="22">
        <f>O2317/Explications!$C$8</f>
        <v>0.5761105291237264</v>
      </c>
      <c r="Q2317" s="7" t="str">
        <f t="shared" si="224"/>
        <v>C72</v>
      </c>
      <c r="R2317" s="7" t="str">
        <f t="shared" si="225"/>
        <v>C33</v>
      </c>
      <c r="S2317" s="18">
        <f t="shared" si="226"/>
        <v>17.283315873711793</v>
      </c>
      <c r="T2317" s="18">
        <f>S2317/Explications!$C$8</f>
        <v>0.5761105291237264</v>
      </c>
    </row>
    <row r="2318" spans="7:20">
      <c r="G2318" s="7" t="s">
        <v>49</v>
      </c>
      <c r="H2318" s="7" t="s">
        <v>89</v>
      </c>
      <c r="I2318" s="7">
        <v>46.7883</v>
      </c>
      <c r="J2318" s="7">
        <v>-71.131200000000007</v>
      </c>
      <c r="K2318" s="7">
        <v>46.822899999999997</v>
      </c>
      <c r="L2318" s="7">
        <v>-71.341899999999995</v>
      </c>
      <c r="M2318" s="10" t="str">
        <f t="shared" si="221"/>
        <v>C33</v>
      </c>
      <c r="N2318" s="10" t="str">
        <f t="shared" si="222"/>
        <v>C73</v>
      </c>
      <c r="O2318" s="5">
        <f t="shared" si="223"/>
        <v>16.491479511257328</v>
      </c>
      <c r="P2318" s="22">
        <f>O2318/Explications!$C$8</f>
        <v>0.54971598370857755</v>
      </c>
      <c r="Q2318" s="7" t="str">
        <f t="shared" si="224"/>
        <v>C73</v>
      </c>
      <c r="R2318" s="7" t="str">
        <f t="shared" si="225"/>
        <v>C33</v>
      </c>
      <c r="S2318" s="18">
        <f t="shared" si="226"/>
        <v>16.491479511257328</v>
      </c>
      <c r="T2318" s="18">
        <f>S2318/Explications!$C$8</f>
        <v>0.54971598370857755</v>
      </c>
    </row>
    <row r="2319" spans="7:20">
      <c r="G2319" s="7" t="s">
        <v>49</v>
      </c>
      <c r="H2319" s="7" t="s">
        <v>90</v>
      </c>
      <c r="I2319" s="7">
        <v>46.7883</v>
      </c>
      <c r="J2319" s="7">
        <v>-71.131200000000007</v>
      </c>
      <c r="K2319" s="7">
        <v>46.730699999999999</v>
      </c>
      <c r="L2319" s="7">
        <v>-71.261099999999999</v>
      </c>
      <c r="M2319" s="10" t="str">
        <f t="shared" si="221"/>
        <v>C33</v>
      </c>
      <c r="N2319" s="10" t="str">
        <f t="shared" si="222"/>
        <v>C74</v>
      </c>
      <c r="O2319" s="5">
        <f t="shared" si="223"/>
        <v>11.787134723446643</v>
      </c>
      <c r="P2319" s="22">
        <f>O2319/Explications!$C$8</f>
        <v>0.39290449078155476</v>
      </c>
      <c r="Q2319" s="7" t="str">
        <f t="shared" si="224"/>
        <v>C74</v>
      </c>
      <c r="R2319" s="7" t="str">
        <f t="shared" si="225"/>
        <v>C33</v>
      </c>
      <c r="S2319" s="18">
        <f t="shared" si="226"/>
        <v>11.787134723446643</v>
      </c>
      <c r="T2319" s="18">
        <f>S2319/Explications!$C$8</f>
        <v>0.39290449078155476</v>
      </c>
    </row>
    <row r="2320" spans="7:20">
      <c r="G2320" s="7" t="s">
        <v>49</v>
      </c>
      <c r="H2320" s="7" t="s">
        <v>91</v>
      </c>
      <c r="I2320" s="7">
        <v>46.7883</v>
      </c>
      <c r="J2320" s="7">
        <v>-71.131200000000007</v>
      </c>
      <c r="K2320" s="7">
        <v>46.840600000000002</v>
      </c>
      <c r="L2320" s="7">
        <v>-71.289100000000005</v>
      </c>
      <c r="M2320" s="10" t="str">
        <f t="shared" si="221"/>
        <v>C33</v>
      </c>
      <c r="N2320" s="10" t="str">
        <f t="shared" si="222"/>
        <v>C75</v>
      </c>
      <c r="O2320" s="5">
        <f t="shared" si="223"/>
        <v>13.349159374701779</v>
      </c>
      <c r="P2320" s="22">
        <f>O2320/Explications!$C$8</f>
        <v>0.44497197915672598</v>
      </c>
      <c r="Q2320" s="7" t="str">
        <f t="shared" si="224"/>
        <v>C75</v>
      </c>
      <c r="R2320" s="7" t="str">
        <f t="shared" si="225"/>
        <v>C33</v>
      </c>
      <c r="S2320" s="18">
        <f t="shared" si="226"/>
        <v>13.349159374701779</v>
      </c>
      <c r="T2320" s="18">
        <f>S2320/Explications!$C$8</f>
        <v>0.44497197915672598</v>
      </c>
    </row>
    <row r="2321" spans="7:20">
      <c r="G2321" s="7" t="s">
        <v>49</v>
      </c>
      <c r="H2321" s="7" t="s">
        <v>92</v>
      </c>
      <c r="I2321" s="7">
        <v>46.7883</v>
      </c>
      <c r="J2321" s="7">
        <v>-71.131200000000007</v>
      </c>
      <c r="K2321" s="7">
        <v>46.840600000000002</v>
      </c>
      <c r="L2321" s="7">
        <v>-71.281599999999997</v>
      </c>
      <c r="M2321" s="10" t="str">
        <f t="shared" si="221"/>
        <v>C33</v>
      </c>
      <c r="N2321" s="10" t="str">
        <f t="shared" si="222"/>
        <v>C76</v>
      </c>
      <c r="O2321" s="5">
        <f t="shared" si="223"/>
        <v>12.837840384240648</v>
      </c>
      <c r="P2321" s="22">
        <f>O2321/Explications!$C$8</f>
        <v>0.42792801280802162</v>
      </c>
      <c r="Q2321" s="7" t="str">
        <f t="shared" si="224"/>
        <v>C76</v>
      </c>
      <c r="R2321" s="7" t="str">
        <f t="shared" si="225"/>
        <v>C33</v>
      </c>
      <c r="S2321" s="18">
        <f t="shared" si="226"/>
        <v>12.837840384240648</v>
      </c>
      <c r="T2321" s="18">
        <f>S2321/Explications!$C$8</f>
        <v>0.42792801280802162</v>
      </c>
    </row>
    <row r="2322" spans="7:20">
      <c r="G2322" s="7" t="s">
        <v>49</v>
      </c>
      <c r="H2322" s="7" t="s">
        <v>93</v>
      </c>
      <c r="I2322" s="7">
        <v>46.7883</v>
      </c>
      <c r="J2322" s="7">
        <v>-71.131200000000007</v>
      </c>
      <c r="K2322" s="7">
        <v>46.839399999999998</v>
      </c>
      <c r="L2322" s="7">
        <v>-71.282600000000002</v>
      </c>
      <c r="M2322" s="10" t="str">
        <f t="shared" si="221"/>
        <v>C33</v>
      </c>
      <c r="N2322" s="10" t="str">
        <f t="shared" si="222"/>
        <v>C77</v>
      </c>
      <c r="O2322" s="5">
        <f t="shared" si="223"/>
        <v>12.846268974949936</v>
      </c>
      <c r="P2322" s="22">
        <f>O2322/Explications!$C$8</f>
        <v>0.42820896583166451</v>
      </c>
      <c r="Q2322" s="7" t="str">
        <f t="shared" si="224"/>
        <v>C77</v>
      </c>
      <c r="R2322" s="7" t="str">
        <f t="shared" si="225"/>
        <v>C33</v>
      </c>
      <c r="S2322" s="18">
        <f t="shared" si="226"/>
        <v>12.846268974949936</v>
      </c>
      <c r="T2322" s="18">
        <f>S2322/Explications!$C$8</f>
        <v>0.42820896583166451</v>
      </c>
    </row>
    <row r="2323" spans="7:20">
      <c r="G2323" s="7" t="s">
        <v>49</v>
      </c>
      <c r="H2323" s="7" t="s">
        <v>94</v>
      </c>
      <c r="I2323" s="7">
        <v>46.7883</v>
      </c>
      <c r="J2323" s="7">
        <v>-71.131200000000007</v>
      </c>
      <c r="K2323" s="7">
        <v>46.788499999999999</v>
      </c>
      <c r="L2323" s="7">
        <v>-71.282399999999996</v>
      </c>
      <c r="M2323" s="10" t="str">
        <f t="shared" si="221"/>
        <v>C33</v>
      </c>
      <c r="N2323" s="10" t="str">
        <f t="shared" si="222"/>
        <v>C78</v>
      </c>
      <c r="O2323" s="5">
        <f t="shared" si="223"/>
        <v>11.511567363720141</v>
      </c>
      <c r="P2323" s="22">
        <f>O2323/Explications!$C$8</f>
        <v>0.38371891212400472</v>
      </c>
      <c r="Q2323" s="7" t="str">
        <f t="shared" si="224"/>
        <v>C78</v>
      </c>
      <c r="R2323" s="7" t="str">
        <f t="shared" si="225"/>
        <v>C33</v>
      </c>
      <c r="S2323" s="18">
        <f t="shared" si="226"/>
        <v>11.511567363720141</v>
      </c>
      <c r="T2323" s="18">
        <f>S2323/Explications!$C$8</f>
        <v>0.38371891212400472</v>
      </c>
    </row>
    <row r="2324" spans="7:20">
      <c r="G2324" s="7" t="s">
        <v>49</v>
      </c>
      <c r="H2324" s="7" t="s">
        <v>95</v>
      </c>
      <c r="I2324" s="7">
        <v>46.7883</v>
      </c>
      <c r="J2324" s="7">
        <v>-71.131200000000007</v>
      </c>
      <c r="K2324" s="7">
        <v>46.840699999999998</v>
      </c>
      <c r="L2324" s="7">
        <v>-71.325400000000002</v>
      </c>
      <c r="M2324" s="10" t="str">
        <f t="shared" si="221"/>
        <v>C33</v>
      </c>
      <c r="N2324" s="10" t="str">
        <f t="shared" si="222"/>
        <v>C79</v>
      </c>
      <c r="O2324" s="5">
        <f t="shared" si="223"/>
        <v>15.885319344241189</v>
      </c>
      <c r="P2324" s="22">
        <f>O2324/Explications!$C$8</f>
        <v>0.52951064480803967</v>
      </c>
      <c r="Q2324" s="7" t="str">
        <f t="shared" si="224"/>
        <v>C79</v>
      </c>
      <c r="R2324" s="7" t="str">
        <f t="shared" si="225"/>
        <v>C33</v>
      </c>
      <c r="S2324" s="18">
        <f t="shared" si="226"/>
        <v>15.885319344241189</v>
      </c>
      <c r="T2324" s="18">
        <f>S2324/Explications!$C$8</f>
        <v>0.52951064480803967</v>
      </c>
    </row>
    <row r="2325" spans="7:20">
      <c r="G2325" s="7" t="s">
        <v>49</v>
      </c>
      <c r="H2325" s="7" t="s">
        <v>96</v>
      </c>
      <c r="I2325" s="7">
        <v>46.7883</v>
      </c>
      <c r="J2325" s="7">
        <v>-71.131200000000007</v>
      </c>
      <c r="K2325" s="7">
        <v>46.798400000000001</v>
      </c>
      <c r="L2325" s="7">
        <v>-71.183199999999999</v>
      </c>
      <c r="M2325" s="10" t="str">
        <f t="shared" si="221"/>
        <v>C33</v>
      </c>
      <c r="N2325" s="10" t="str">
        <f t="shared" si="222"/>
        <v>C80</v>
      </c>
      <c r="O2325" s="5">
        <f t="shared" si="223"/>
        <v>4.1148589355318341</v>
      </c>
      <c r="P2325" s="22">
        <f>O2325/Explications!$C$8</f>
        <v>0.1371619645177278</v>
      </c>
      <c r="Q2325" s="7" t="str">
        <f t="shared" si="224"/>
        <v>C80</v>
      </c>
      <c r="R2325" s="7" t="str">
        <f t="shared" si="225"/>
        <v>C33</v>
      </c>
      <c r="S2325" s="18">
        <f t="shared" si="226"/>
        <v>4.1148589355318341</v>
      </c>
      <c r="T2325" s="18">
        <f>S2325/Explications!$C$8</f>
        <v>0.1371619645177278</v>
      </c>
    </row>
    <row r="2326" spans="7:20">
      <c r="G2326" s="7" t="s">
        <v>49</v>
      </c>
      <c r="H2326" s="7" t="s">
        <v>97</v>
      </c>
      <c r="I2326" s="7">
        <v>46.7883</v>
      </c>
      <c r="J2326" s="7">
        <v>-71.131200000000007</v>
      </c>
      <c r="K2326" s="7">
        <v>46.724800000000002</v>
      </c>
      <c r="L2326" s="7">
        <v>-71.2988</v>
      </c>
      <c r="M2326" s="10" t="str">
        <f t="shared" si="221"/>
        <v>C33</v>
      </c>
      <c r="N2326" s="10" t="str">
        <f t="shared" si="222"/>
        <v>C81</v>
      </c>
      <c r="O2326" s="5">
        <f t="shared" si="223"/>
        <v>14.590068692484394</v>
      </c>
      <c r="P2326" s="22">
        <f>O2326/Explications!$C$8</f>
        <v>0.48633562308281314</v>
      </c>
      <c r="Q2326" s="7" t="str">
        <f t="shared" si="224"/>
        <v>C81</v>
      </c>
      <c r="R2326" s="7" t="str">
        <f t="shared" si="225"/>
        <v>C33</v>
      </c>
      <c r="S2326" s="18">
        <f t="shared" si="226"/>
        <v>14.590068692484394</v>
      </c>
      <c r="T2326" s="18">
        <f>S2326/Explications!$C$8</f>
        <v>0.48633562308281314</v>
      </c>
    </row>
    <row r="2327" spans="7:20">
      <c r="G2327" s="7" t="s">
        <v>49</v>
      </c>
      <c r="H2327" s="7" t="s">
        <v>98</v>
      </c>
      <c r="I2327" s="7">
        <v>46.7883</v>
      </c>
      <c r="J2327" s="7">
        <v>-71.131200000000007</v>
      </c>
      <c r="K2327" s="7">
        <v>46.795499999999997</v>
      </c>
      <c r="L2327" s="7">
        <v>-71.242900000000006</v>
      </c>
      <c r="M2327" s="10" t="str">
        <f t="shared" si="221"/>
        <v>C33</v>
      </c>
      <c r="N2327" s="10" t="str">
        <f t="shared" si="222"/>
        <v>C82</v>
      </c>
      <c r="O2327" s="5">
        <f t="shared" si="223"/>
        <v>8.5412826526792482</v>
      </c>
      <c r="P2327" s="22">
        <f>O2327/Explications!$C$8</f>
        <v>0.28470942175597497</v>
      </c>
      <c r="Q2327" s="7" t="str">
        <f t="shared" si="224"/>
        <v>C82</v>
      </c>
      <c r="R2327" s="7" t="str">
        <f t="shared" si="225"/>
        <v>C33</v>
      </c>
      <c r="S2327" s="18">
        <f t="shared" si="226"/>
        <v>8.5412826526792482</v>
      </c>
      <c r="T2327" s="18">
        <f>S2327/Explications!$C$8</f>
        <v>0.28470942175597497</v>
      </c>
    </row>
    <row r="2328" spans="7:20">
      <c r="G2328" s="7" t="s">
        <v>49</v>
      </c>
      <c r="H2328" s="7" t="s">
        <v>99</v>
      </c>
      <c r="I2328" s="7">
        <v>46.7883</v>
      </c>
      <c r="J2328" s="7">
        <v>-71.131200000000007</v>
      </c>
      <c r="K2328" s="7">
        <v>46.8157</v>
      </c>
      <c r="L2328" s="7">
        <v>-71.201899999999995</v>
      </c>
      <c r="M2328" s="10" t="str">
        <f t="shared" si="221"/>
        <v>C33</v>
      </c>
      <c r="N2328" s="10" t="str">
        <f t="shared" si="222"/>
        <v>C83</v>
      </c>
      <c r="O2328" s="5">
        <f t="shared" si="223"/>
        <v>6.1839792774512645</v>
      </c>
      <c r="P2328" s="22">
        <f>O2328/Explications!$C$8</f>
        <v>0.20613264258170882</v>
      </c>
      <c r="Q2328" s="7" t="str">
        <f t="shared" si="224"/>
        <v>C83</v>
      </c>
      <c r="R2328" s="7" t="str">
        <f t="shared" si="225"/>
        <v>C33</v>
      </c>
      <c r="S2328" s="18">
        <f t="shared" si="226"/>
        <v>6.1839792774512645</v>
      </c>
      <c r="T2328" s="18">
        <f>S2328/Explications!$C$8</f>
        <v>0.20613264258170882</v>
      </c>
    </row>
    <row r="2329" spans="7:20">
      <c r="G2329" s="7" t="s">
        <v>49</v>
      </c>
      <c r="H2329" s="7" t="s">
        <v>100</v>
      </c>
      <c r="I2329" s="7">
        <v>46.7883</v>
      </c>
      <c r="J2329" s="7">
        <v>-71.131200000000007</v>
      </c>
      <c r="K2329" s="7">
        <v>46.837600000000002</v>
      </c>
      <c r="L2329" s="7">
        <v>-71.196299999999994</v>
      </c>
      <c r="M2329" s="10" t="str">
        <f t="shared" si="221"/>
        <v>C33</v>
      </c>
      <c r="N2329" s="10" t="str">
        <f t="shared" si="222"/>
        <v>C84</v>
      </c>
      <c r="O2329" s="5">
        <f t="shared" si="223"/>
        <v>7.3888045233041311</v>
      </c>
      <c r="P2329" s="22">
        <f>O2329/Explications!$C$8</f>
        <v>0.24629348411013771</v>
      </c>
      <c r="Q2329" s="7" t="str">
        <f t="shared" si="224"/>
        <v>C84</v>
      </c>
      <c r="R2329" s="7" t="str">
        <f t="shared" si="225"/>
        <v>C33</v>
      </c>
      <c r="S2329" s="18">
        <f t="shared" si="226"/>
        <v>7.3888045233041311</v>
      </c>
      <c r="T2329" s="18">
        <f>S2329/Explications!$C$8</f>
        <v>0.24629348411013771</v>
      </c>
    </row>
    <row r="2330" spans="7:20">
      <c r="G2330" s="7" t="s">
        <v>49</v>
      </c>
      <c r="H2330" s="7" t="s">
        <v>101</v>
      </c>
      <c r="I2330" s="7">
        <v>46.7883</v>
      </c>
      <c r="J2330" s="7">
        <v>-71.131200000000007</v>
      </c>
      <c r="K2330" s="7">
        <v>46.7988</v>
      </c>
      <c r="L2330" s="7">
        <v>-71.318200000000004</v>
      </c>
      <c r="M2330" s="10" t="str">
        <f t="shared" si="221"/>
        <v>C33</v>
      </c>
      <c r="N2330" s="10" t="str">
        <f t="shared" si="222"/>
        <v>C85</v>
      </c>
      <c r="O2330" s="5">
        <f t="shared" si="223"/>
        <v>14.283597562456476</v>
      </c>
      <c r="P2330" s="22">
        <f>O2330/Explications!$C$8</f>
        <v>0.4761199187485492</v>
      </c>
      <c r="Q2330" s="7" t="str">
        <f t="shared" si="224"/>
        <v>C85</v>
      </c>
      <c r="R2330" s="7" t="str">
        <f t="shared" si="225"/>
        <v>C33</v>
      </c>
      <c r="S2330" s="18">
        <f t="shared" si="226"/>
        <v>14.283597562456476</v>
      </c>
      <c r="T2330" s="18">
        <f>S2330/Explications!$C$8</f>
        <v>0.4761199187485492</v>
      </c>
    </row>
    <row r="2331" spans="7:20">
      <c r="G2331" s="7" t="s">
        <v>50</v>
      </c>
      <c r="H2331" s="7" t="s">
        <v>51</v>
      </c>
      <c r="I2331" s="7">
        <v>46.8611</v>
      </c>
      <c r="J2331" s="7">
        <v>-71.268799999999999</v>
      </c>
      <c r="K2331" s="7">
        <v>46.869700000000002</v>
      </c>
      <c r="L2331" s="7">
        <v>-71.205200000000005</v>
      </c>
      <c r="M2331" s="10" t="str">
        <f t="shared" si="221"/>
        <v>C34</v>
      </c>
      <c r="N2331" s="10" t="str">
        <f t="shared" si="222"/>
        <v>C35</v>
      </c>
      <c r="O2331" s="5">
        <f t="shared" si="223"/>
        <v>4.9288832378791456</v>
      </c>
      <c r="P2331" s="22">
        <f>O2331/Explications!$C$8</f>
        <v>0.16429610792930485</v>
      </c>
      <c r="Q2331" s="7" t="str">
        <f t="shared" si="224"/>
        <v>C35</v>
      </c>
      <c r="R2331" s="7" t="str">
        <f t="shared" si="225"/>
        <v>C34</v>
      </c>
      <c r="S2331" s="18">
        <f t="shared" si="226"/>
        <v>4.9288832378791456</v>
      </c>
      <c r="T2331" s="18">
        <f>S2331/Explications!$C$8</f>
        <v>0.16429610792930485</v>
      </c>
    </row>
    <row r="2332" spans="7:20">
      <c r="G2332" s="7" t="s">
        <v>50</v>
      </c>
      <c r="H2332" s="7" t="s">
        <v>52</v>
      </c>
      <c r="I2332" s="7">
        <v>46.8611</v>
      </c>
      <c r="J2332" s="7">
        <v>-71.268799999999999</v>
      </c>
      <c r="K2332" s="7">
        <v>46.774099999999997</v>
      </c>
      <c r="L2332" s="7">
        <v>-71.174000000000007</v>
      </c>
      <c r="M2332" s="10" t="str">
        <f t="shared" si="221"/>
        <v>C34</v>
      </c>
      <c r="N2332" s="10" t="str">
        <f t="shared" si="222"/>
        <v>C36</v>
      </c>
      <c r="O2332" s="5">
        <f t="shared" si="223"/>
        <v>12.067395974419997</v>
      </c>
      <c r="P2332" s="22">
        <f>O2332/Explications!$C$8</f>
        <v>0.40224653248066655</v>
      </c>
      <c r="Q2332" s="7" t="str">
        <f t="shared" si="224"/>
        <v>C36</v>
      </c>
      <c r="R2332" s="7" t="str">
        <f t="shared" si="225"/>
        <v>C34</v>
      </c>
      <c r="S2332" s="18">
        <f t="shared" si="226"/>
        <v>12.067395974419997</v>
      </c>
      <c r="T2332" s="18">
        <f>S2332/Explications!$C$8</f>
        <v>0.40224653248066655</v>
      </c>
    </row>
    <row r="2333" spans="7:20">
      <c r="G2333" s="7" t="s">
        <v>50</v>
      </c>
      <c r="H2333" s="7" t="s">
        <v>53</v>
      </c>
      <c r="I2333" s="7">
        <v>46.8611</v>
      </c>
      <c r="J2333" s="7">
        <v>-71.268799999999999</v>
      </c>
      <c r="K2333" s="7">
        <v>46.808500000000002</v>
      </c>
      <c r="L2333" s="7">
        <v>-71.326599999999999</v>
      </c>
      <c r="M2333" s="10" t="str">
        <f t="shared" si="221"/>
        <v>C34</v>
      </c>
      <c r="N2333" s="10" t="str">
        <f t="shared" si="222"/>
        <v>C37</v>
      </c>
      <c r="O2333" s="5">
        <f t="shared" si="223"/>
        <v>7.3171566497445344</v>
      </c>
      <c r="P2333" s="22">
        <f>O2333/Explications!$C$8</f>
        <v>0.24390522165815115</v>
      </c>
      <c r="Q2333" s="7" t="str">
        <f t="shared" si="224"/>
        <v>C37</v>
      </c>
      <c r="R2333" s="7" t="str">
        <f t="shared" si="225"/>
        <v>C34</v>
      </c>
      <c r="S2333" s="18">
        <f t="shared" si="226"/>
        <v>7.3171566497445344</v>
      </c>
      <c r="T2333" s="18">
        <f>S2333/Explications!$C$8</f>
        <v>0.24390522165815115</v>
      </c>
    </row>
    <row r="2334" spans="7:20">
      <c r="G2334" s="7" t="s">
        <v>50</v>
      </c>
      <c r="H2334" s="7" t="s">
        <v>54</v>
      </c>
      <c r="I2334" s="7">
        <v>46.8611</v>
      </c>
      <c r="J2334" s="7">
        <v>-71.268799999999999</v>
      </c>
      <c r="K2334" s="7">
        <v>46.797499999999999</v>
      </c>
      <c r="L2334" s="7">
        <v>-71.306100000000001</v>
      </c>
      <c r="M2334" s="10" t="str">
        <f t="shared" si="221"/>
        <v>C34</v>
      </c>
      <c r="N2334" s="10" t="str">
        <f t="shared" si="222"/>
        <v>C38</v>
      </c>
      <c r="O2334" s="5">
        <f t="shared" si="223"/>
        <v>7.6200697352162781</v>
      </c>
      <c r="P2334" s="22">
        <f>O2334/Explications!$C$8</f>
        <v>0.25400232450720928</v>
      </c>
      <c r="Q2334" s="7" t="str">
        <f t="shared" si="224"/>
        <v>C38</v>
      </c>
      <c r="R2334" s="7" t="str">
        <f t="shared" si="225"/>
        <v>C34</v>
      </c>
      <c r="S2334" s="18">
        <f t="shared" si="226"/>
        <v>7.6200697352162781</v>
      </c>
      <c r="T2334" s="18">
        <f>S2334/Explications!$C$8</f>
        <v>0.25400232450720928</v>
      </c>
    </row>
    <row r="2335" spans="7:20">
      <c r="G2335" s="7" t="s">
        <v>50</v>
      </c>
      <c r="H2335" s="7" t="s">
        <v>55</v>
      </c>
      <c r="I2335" s="7">
        <v>46.8611</v>
      </c>
      <c r="J2335" s="7">
        <v>-71.268799999999999</v>
      </c>
      <c r="K2335" s="7">
        <v>46.8155</v>
      </c>
      <c r="L2335" s="7">
        <v>-71.268199999999993</v>
      </c>
      <c r="M2335" s="10" t="str">
        <f t="shared" si="221"/>
        <v>C34</v>
      </c>
      <c r="N2335" s="10" t="str">
        <f t="shared" si="222"/>
        <v>C39</v>
      </c>
      <c r="O2335" s="5">
        <f t="shared" si="223"/>
        <v>5.0706940410157921</v>
      </c>
      <c r="P2335" s="22">
        <f>O2335/Explications!$C$8</f>
        <v>0.16902313470052641</v>
      </c>
      <c r="Q2335" s="7" t="str">
        <f t="shared" si="224"/>
        <v>C39</v>
      </c>
      <c r="R2335" s="7" t="str">
        <f t="shared" si="225"/>
        <v>C34</v>
      </c>
      <c r="S2335" s="18">
        <f t="shared" si="226"/>
        <v>5.0706940410157921</v>
      </c>
      <c r="T2335" s="18">
        <f>S2335/Explications!$C$8</f>
        <v>0.16902313470052641</v>
      </c>
    </row>
    <row r="2336" spans="7:20">
      <c r="G2336" s="7" t="s">
        <v>50</v>
      </c>
      <c r="H2336" s="7" t="s">
        <v>56</v>
      </c>
      <c r="I2336" s="7">
        <v>46.8611</v>
      </c>
      <c r="J2336" s="7">
        <v>-71.268799999999999</v>
      </c>
      <c r="K2336" s="7">
        <v>46.866700000000002</v>
      </c>
      <c r="L2336" s="7">
        <v>-71.215900000000005</v>
      </c>
      <c r="M2336" s="10" t="str">
        <f t="shared" si="221"/>
        <v>C34</v>
      </c>
      <c r="N2336" s="10" t="str">
        <f t="shared" si="222"/>
        <v>C40</v>
      </c>
      <c r="O2336" s="5">
        <f t="shared" si="223"/>
        <v>4.0697852741216689</v>
      </c>
      <c r="P2336" s="22">
        <f>O2336/Explications!$C$8</f>
        <v>0.13565950913738897</v>
      </c>
      <c r="Q2336" s="7" t="str">
        <f t="shared" si="224"/>
        <v>C40</v>
      </c>
      <c r="R2336" s="7" t="str">
        <f t="shared" si="225"/>
        <v>C34</v>
      </c>
      <c r="S2336" s="18">
        <f t="shared" si="226"/>
        <v>4.0697852741216689</v>
      </c>
      <c r="T2336" s="18">
        <f>S2336/Explications!$C$8</f>
        <v>0.13565950913738897</v>
      </c>
    </row>
    <row r="2337" spans="7:20">
      <c r="G2337" s="7" t="s">
        <v>50</v>
      </c>
      <c r="H2337" s="7" t="s">
        <v>57</v>
      </c>
      <c r="I2337" s="7">
        <v>46.8611</v>
      </c>
      <c r="J2337" s="7">
        <v>-71.268799999999999</v>
      </c>
      <c r="K2337" s="7">
        <v>46.762099999999997</v>
      </c>
      <c r="L2337" s="7">
        <v>-71.235399999999998</v>
      </c>
      <c r="M2337" s="10" t="str">
        <f t="shared" si="221"/>
        <v>C34</v>
      </c>
      <c r="N2337" s="10" t="str">
        <f t="shared" si="222"/>
        <v>C41</v>
      </c>
      <c r="O2337" s="5">
        <f t="shared" si="223"/>
        <v>11.297935730137135</v>
      </c>
      <c r="P2337" s="22">
        <f>O2337/Explications!$C$8</f>
        <v>0.37659785767123782</v>
      </c>
      <c r="Q2337" s="7" t="str">
        <f t="shared" si="224"/>
        <v>C41</v>
      </c>
      <c r="R2337" s="7" t="str">
        <f t="shared" si="225"/>
        <v>C34</v>
      </c>
      <c r="S2337" s="18">
        <f t="shared" si="226"/>
        <v>11.297935730137135</v>
      </c>
      <c r="T2337" s="18">
        <f>S2337/Explications!$C$8</f>
        <v>0.37659785767123782</v>
      </c>
    </row>
    <row r="2338" spans="7:20">
      <c r="G2338" s="7" t="s">
        <v>50</v>
      </c>
      <c r="H2338" s="7" t="s">
        <v>58</v>
      </c>
      <c r="I2338" s="7">
        <v>46.8611</v>
      </c>
      <c r="J2338" s="7">
        <v>-71.268799999999999</v>
      </c>
      <c r="K2338" s="7">
        <v>46.8157</v>
      </c>
      <c r="L2338" s="7">
        <v>-71.2042</v>
      </c>
      <c r="M2338" s="10" t="str">
        <f t="shared" si="221"/>
        <v>C34</v>
      </c>
      <c r="N2338" s="10" t="str">
        <f t="shared" si="222"/>
        <v>C42</v>
      </c>
      <c r="O2338" s="5">
        <f t="shared" si="223"/>
        <v>7.0448201575573064</v>
      </c>
      <c r="P2338" s="22">
        <f>O2338/Explications!$C$8</f>
        <v>0.23482733858524354</v>
      </c>
      <c r="Q2338" s="7" t="str">
        <f t="shared" si="224"/>
        <v>C42</v>
      </c>
      <c r="R2338" s="7" t="str">
        <f t="shared" si="225"/>
        <v>C34</v>
      </c>
      <c r="S2338" s="18">
        <f t="shared" si="226"/>
        <v>7.0448201575573064</v>
      </c>
      <c r="T2338" s="18">
        <f>S2338/Explications!$C$8</f>
        <v>0.23482733858524354</v>
      </c>
    </row>
    <row r="2339" spans="7:20">
      <c r="G2339" s="7" t="s">
        <v>50</v>
      </c>
      <c r="H2339" s="7" t="s">
        <v>59</v>
      </c>
      <c r="I2339" s="7">
        <v>46.8611</v>
      </c>
      <c r="J2339" s="7">
        <v>-71.268799999999999</v>
      </c>
      <c r="K2339" s="7">
        <v>46.707000000000001</v>
      </c>
      <c r="L2339" s="7">
        <v>-71.217100000000002</v>
      </c>
      <c r="M2339" s="10" t="str">
        <f t="shared" si="221"/>
        <v>C34</v>
      </c>
      <c r="N2339" s="10" t="str">
        <f t="shared" si="222"/>
        <v>C43</v>
      </c>
      <c r="O2339" s="5">
        <f t="shared" si="223"/>
        <v>17.581489113053742</v>
      </c>
      <c r="P2339" s="22">
        <f>O2339/Explications!$C$8</f>
        <v>0.58604963710179137</v>
      </c>
      <c r="Q2339" s="7" t="str">
        <f t="shared" si="224"/>
        <v>C43</v>
      </c>
      <c r="R2339" s="7" t="str">
        <f t="shared" si="225"/>
        <v>C34</v>
      </c>
      <c r="S2339" s="18">
        <f t="shared" si="226"/>
        <v>17.581489113053742</v>
      </c>
      <c r="T2339" s="18">
        <f>S2339/Explications!$C$8</f>
        <v>0.58604963710179137</v>
      </c>
    </row>
    <row r="2340" spans="7:20">
      <c r="G2340" s="7" t="s">
        <v>50</v>
      </c>
      <c r="H2340" s="7" t="s">
        <v>60</v>
      </c>
      <c r="I2340" s="7">
        <v>46.8611</v>
      </c>
      <c r="J2340" s="7">
        <v>-71.268799999999999</v>
      </c>
      <c r="K2340" s="7">
        <v>46.802900000000001</v>
      </c>
      <c r="L2340" s="7">
        <v>-71.228899999999996</v>
      </c>
      <c r="M2340" s="10" t="str">
        <f t="shared" si="221"/>
        <v>C34</v>
      </c>
      <c r="N2340" s="10" t="str">
        <f t="shared" si="222"/>
        <v>C44</v>
      </c>
      <c r="O2340" s="5">
        <f t="shared" si="223"/>
        <v>7.1480054680879785</v>
      </c>
      <c r="P2340" s="22">
        <f>O2340/Explications!$C$8</f>
        <v>0.23826684893626596</v>
      </c>
      <c r="Q2340" s="7" t="str">
        <f t="shared" si="224"/>
        <v>C44</v>
      </c>
      <c r="R2340" s="7" t="str">
        <f t="shared" si="225"/>
        <v>C34</v>
      </c>
      <c r="S2340" s="18">
        <f t="shared" si="226"/>
        <v>7.1480054680879785</v>
      </c>
      <c r="T2340" s="18">
        <f>S2340/Explications!$C$8</f>
        <v>0.23826684893626596</v>
      </c>
    </row>
    <row r="2341" spans="7:20">
      <c r="G2341" s="7" t="s">
        <v>50</v>
      </c>
      <c r="H2341" s="7" t="s">
        <v>61</v>
      </c>
      <c r="I2341" s="7">
        <v>46.8611</v>
      </c>
      <c r="J2341" s="7">
        <v>-71.268799999999999</v>
      </c>
      <c r="K2341" s="7">
        <v>46.796900000000001</v>
      </c>
      <c r="L2341" s="7">
        <v>-71.3078</v>
      </c>
      <c r="M2341" s="10" t="str">
        <f t="shared" si="221"/>
        <v>C34</v>
      </c>
      <c r="N2341" s="10" t="str">
        <f t="shared" si="222"/>
        <v>C45</v>
      </c>
      <c r="O2341" s="5">
        <f t="shared" si="223"/>
        <v>7.7307421407213566</v>
      </c>
      <c r="P2341" s="22">
        <f>O2341/Explications!$C$8</f>
        <v>0.25769140469071189</v>
      </c>
      <c r="Q2341" s="7" t="str">
        <f t="shared" si="224"/>
        <v>C45</v>
      </c>
      <c r="R2341" s="7" t="str">
        <f t="shared" si="225"/>
        <v>C34</v>
      </c>
      <c r="S2341" s="18">
        <f t="shared" si="226"/>
        <v>7.7307421407213566</v>
      </c>
      <c r="T2341" s="18">
        <f>S2341/Explications!$C$8</f>
        <v>0.25769140469071189</v>
      </c>
    </row>
    <row r="2342" spans="7:20">
      <c r="G2342" s="7" t="s">
        <v>50</v>
      </c>
      <c r="H2342" s="7" t="s">
        <v>62</v>
      </c>
      <c r="I2342" s="7">
        <v>46.8611</v>
      </c>
      <c r="J2342" s="7">
        <v>-71.268799999999999</v>
      </c>
      <c r="K2342" s="7">
        <v>46.803600000000003</v>
      </c>
      <c r="L2342" s="7">
        <v>-71.231099999999998</v>
      </c>
      <c r="M2342" s="10" t="str">
        <f t="shared" si="221"/>
        <v>C34</v>
      </c>
      <c r="N2342" s="10" t="str">
        <f t="shared" si="222"/>
        <v>C46</v>
      </c>
      <c r="O2342" s="5">
        <f t="shared" si="223"/>
        <v>7.0074616698140524</v>
      </c>
      <c r="P2342" s="22">
        <f>O2342/Explications!$C$8</f>
        <v>0.23358205566046841</v>
      </c>
      <c r="Q2342" s="7" t="str">
        <f t="shared" si="224"/>
        <v>C46</v>
      </c>
      <c r="R2342" s="7" t="str">
        <f t="shared" si="225"/>
        <v>C34</v>
      </c>
      <c r="S2342" s="18">
        <f t="shared" si="226"/>
        <v>7.0074616698140524</v>
      </c>
      <c r="T2342" s="18">
        <f>S2342/Explications!$C$8</f>
        <v>0.23358205566046841</v>
      </c>
    </row>
    <row r="2343" spans="7:20">
      <c r="G2343" s="7" t="s">
        <v>50</v>
      </c>
      <c r="H2343" s="7" t="s">
        <v>63</v>
      </c>
      <c r="I2343" s="7">
        <v>46.8611</v>
      </c>
      <c r="J2343" s="7">
        <v>-71.268799999999999</v>
      </c>
      <c r="K2343" s="7">
        <v>46.802399999999999</v>
      </c>
      <c r="L2343" s="7">
        <v>-71.269800000000004</v>
      </c>
      <c r="M2343" s="10" t="str">
        <f t="shared" si="221"/>
        <v>C34</v>
      </c>
      <c r="N2343" s="10" t="str">
        <f t="shared" si="222"/>
        <v>C47</v>
      </c>
      <c r="O2343" s="5">
        <f t="shared" si="223"/>
        <v>6.5275854915847198</v>
      </c>
      <c r="P2343" s="22">
        <f>O2343/Explications!$C$8</f>
        <v>0.21758618305282398</v>
      </c>
      <c r="Q2343" s="7" t="str">
        <f t="shared" si="224"/>
        <v>C47</v>
      </c>
      <c r="R2343" s="7" t="str">
        <f t="shared" si="225"/>
        <v>C34</v>
      </c>
      <c r="S2343" s="18">
        <f t="shared" si="226"/>
        <v>6.5275854915847198</v>
      </c>
      <c r="T2343" s="18">
        <f>S2343/Explications!$C$8</f>
        <v>0.21758618305282398</v>
      </c>
    </row>
    <row r="2344" spans="7:20">
      <c r="G2344" s="7" t="s">
        <v>50</v>
      </c>
      <c r="H2344" s="7" t="s">
        <v>64</v>
      </c>
      <c r="I2344" s="7">
        <v>46.8611</v>
      </c>
      <c r="J2344" s="7">
        <v>-71.268799999999999</v>
      </c>
      <c r="K2344" s="7">
        <v>46.826799999999999</v>
      </c>
      <c r="L2344" s="7">
        <v>-71.224199999999996</v>
      </c>
      <c r="M2344" s="10" t="str">
        <f t="shared" si="221"/>
        <v>C34</v>
      </c>
      <c r="N2344" s="10" t="str">
        <f t="shared" si="222"/>
        <v>C48</v>
      </c>
      <c r="O2344" s="5">
        <f t="shared" si="223"/>
        <v>5.1041946517774166</v>
      </c>
      <c r="P2344" s="22">
        <f>O2344/Explications!$C$8</f>
        <v>0.17013982172591388</v>
      </c>
      <c r="Q2344" s="7" t="str">
        <f t="shared" si="224"/>
        <v>C48</v>
      </c>
      <c r="R2344" s="7" t="str">
        <f t="shared" si="225"/>
        <v>C34</v>
      </c>
      <c r="S2344" s="18">
        <f t="shared" si="226"/>
        <v>5.1041946517774166</v>
      </c>
      <c r="T2344" s="18">
        <f>S2344/Explications!$C$8</f>
        <v>0.17013982172591388</v>
      </c>
    </row>
    <row r="2345" spans="7:20">
      <c r="G2345" s="7" t="s">
        <v>50</v>
      </c>
      <c r="H2345" s="7" t="s">
        <v>65</v>
      </c>
      <c r="I2345" s="7">
        <v>46.8611</v>
      </c>
      <c r="J2345" s="7">
        <v>-71.268799999999999</v>
      </c>
      <c r="K2345" s="7">
        <v>46.864100000000001</v>
      </c>
      <c r="L2345" s="7">
        <v>-71.255499999999998</v>
      </c>
      <c r="M2345" s="10" t="str">
        <f t="shared" si="221"/>
        <v>C34</v>
      </c>
      <c r="N2345" s="10" t="str">
        <f t="shared" si="222"/>
        <v>C49</v>
      </c>
      <c r="O2345" s="5">
        <f t="shared" si="223"/>
        <v>1.064795915667931</v>
      </c>
      <c r="P2345" s="22">
        <f>O2345/Explications!$C$8</f>
        <v>3.5493197188931035E-2</v>
      </c>
      <c r="Q2345" s="7" t="str">
        <f t="shared" si="224"/>
        <v>C49</v>
      </c>
      <c r="R2345" s="7" t="str">
        <f t="shared" si="225"/>
        <v>C34</v>
      </c>
      <c r="S2345" s="18">
        <f t="shared" si="226"/>
        <v>1.064795915667931</v>
      </c>
      <c r="T2345" s="18">
        <f>S2345/Explications!$C$8</f>
        <v>3.5493197188931035E-2</v>
      </c>
    </row>
    <row r="2346" spans="7:20">
      <c r="G2346" s="7" t="s">
        <v>50</v>
      </c>
      <c r="H2346" s="7" t="s">
        <v>66</v>
      </c>
      <c r="I2346" s="7">
        <v>46.8611</v>
      </c>
      <c r="J2346" s="7">
        <v>-71.268799999999999</v>
      </c>
      <c r="K2346" s="7">
        <v>46.843800000000002</v>
      </c>
      <c r="L2346" s="7">
        <v>-71.247299999999996</v>
      </c>
      <c r="M2346" s="10" t="str">
        <f t="shared" si="221"/>
        <v>C34</v>
      </c>
      <c r="N2346" s="10" t="str">
        <f t="shared" si="222"/>
        <v>C50</v>
      </c>
      <c r="O2346" s="5">
        <f t="shared" si="223"/>
        <v>2.5245907247573354</v>
      </c>
      <c r="P2346" s="22">
        <f>O2346/Explications!$C$8</f>
        <v>8.4153024158577852E-2</v>
      </c>
      <c r="Q2346" s="7" t="str">
        <f t="shared" si="224"/>
        <v>C50</v>
      </c>
      <c r="R2346" s="7" t="str">
        <f t="shared" si="225"/>
        <v>C34</v>
      </c>
      <c r="S2346" s="18">
        <f t="shared" si="226"/>
        <v>2.5245907247573354</v>
      </c>
      <c r="T2346" s="18">
        <f>S2346/Explications!$C$8</f>
        <v>8.4153024158577852E-2</v>
      </c>
    </row>
    <row r="2347" spans="7:20">
      <c r="G2347" s="7" t="s">
        <v>50</v>
      </c>
      <c r="H2347" s="7" t="s">
        <v>67</v>
      </c>
      <c r="I2347" s="7">
        <v>46.8611</v>
      </c>
      <c r="J2347" s="7">
        <v>-71.268799999999999</v>
      </c>
      <c r="K2347" s="7">
        <v>46.765599999999999</v>
      </c>
      <c r="L2347" s="7">
        <v>-71.312100000000001</v>
      </c>
      <c r="M2347" s="10" t="str">
        <f t="shared" si="221"/>
        <v>C34</v>
      </c>
      <c r="N2347" s="10" t="str">
        <f t="shared" si="222"/>
        <v>C51</v>
      </c>
      <c r="O2347" s="5">
        <f t="shared" si="223"/>
        <v>11.118600534221814</v>
      </c>
      <c r="P2347" s="22">
        <f>O2347/Explications!$C$8</f>
        <v>0.37062001780739379</v>
      </c>
      <c r="Q2347" s="7" t="str">
        <f t="shared" si="224"/>
        <v>C51</v>
      </c>
      <c r="R2347" s="7" t="str">
        <f t="shared" si="225"/>
        <v>C34</v>
      </c>
      <c r="S2347" s="18">
        <f t="shared" si="226"/>
        <v>11.118600534221814</v>
      </c>
      <c r="T2347" s="18">
        <f>S2347/Explications!$C$8</f>
        <v>0.37062001780739379</v>
      </c>
    </row>
    <row r="2348" spans="7:20">
      <c r="G2348" s="7" t="s">
        <v>50</v>
      </c>
      <c r="H2348" s="7" t="s">
        <v>68</v>
      </c>
      <c r="I2348" s="7">
        <v>46.8611</v>
      </c>
      <c r="J2348" s="7">
        <v>-71.268799999999999</v>
      </c>
      <c r="K2348" s="7">
        <v>46.787599999999998</v>
      </c>
      <c r="L2348" s="7">
        <v>-71.288600000000002</v>
      </c>
      <c r="M2348" s="10" t="str">
        <f t="shared" si="221"/>
        <v>C34</v>
      </c>
      <c r="N2348" s="10" t="str">
        <f t="shared" si="222"/>
        <v>C52</v>
      </c>
      <c r="O2348" s="5">
        <f t="shared" si="223"/>
        <v>8.3105063402751185</v>
      </c>
      <c r="P2348" s="22">
        <f>O2348/Explications!$C$8</f>
        <v>0.27701687800917063</v>
      </c>
      <c r="Q2348" s="7" t="str">
        <f t="shared" si="224"/>
        <v>C52</v>
      </c>
      <c r="R2348" s="7" t="str">
        <f t="shared" si="225"/>
        <v>C34</v>
      </c>
      <c r="S2348" s="18">
        <f t="shared" si="226"/>
        <v>8.3105063402751185</v>
      </c>
      <c r="T2348" s="18">
        <f>S2348/Explications!$C$8</f>
        <v>0.27701687800917063</v>
      </c>
    </row>
    <row r="2349" spans="7:20">
      <c r="G2349" s="7" t="s">
        <v>50</v>
      </c>
      <c r="H2349" s="7" t="s">
        <v>69</v>
      </c>
      <c r="I2349" s="7">
        <v>46.8611</v>
      </c>
      <c r="J2349" s="7">
        <v>-71.268799999999999</v>
      </c>
      <c r="K2349" s="7">
        <v>46.764600000000002</v>
      </c>
      <c r="L2349" s="7">
        <v>-71.308300000000003</v>
      </c>
      <c r="M2349" s="10" t="str">
        <f t="shared" si="221"/>
        <v>C34</v>
      </c>
      <c r="N2349" s="10" t="str">
        <f t="shared" si="222"/>
        <v>C53</v>
      </c>
      <c r="O2349" s="5">
        <f t="shared" si="223"/>
        <v>11.14339641961244</v>
      </c>
      <c r="P2349" s="22">
        <f>O2349/Explications!$C$8</f>
        <v>0.37144654732041466</v>
      </c>
      <c r="Q2349" s="7" t="str">
        <f t="shared" si="224"/>
        <v>C53</v>
      </c>
      <c r="R2349" s="7" t="str">
        <f t="shared" si="225"/>
        <v>C34</v>
      </c>
      <c r="S2349" s="18">
        <f t="shared" si="226"/>
        <v>11.14339641961244</v>
      </c>
      <c r="T2349" s="18">
        <f>S2349/Explications!$C$8</f>
        <v>0.37144654732041466</v>
      </c>
    </row>
    <row r="2350" spans="7:20">
      <c r="G2350" s="7" t="s">
        <v>50</v>
      </c>
      <c r="H2350" s="7" t="s">
        <v>70</v>
      </c>
      <c r="I2350" s="7">
        <v>46.8611</v>
      </c>
      <c r="J2350" s="7">
        <v>-71.268799999999999</v>
      </c>
      <c r="K2350" s="7">
        <v>46.849699999999999</v>
      </c>
      <c r="L2350" s="7">
        <v>-71.097399999999993</v>
      </c>
      <c r="M2350" s="10" t="str">
        <f t="shared" si="221"/>
        <v>C34</v>
      </c>
      <c r="N2350" s="10" t="str">
        <f t="shared" si="222"/>
        <v>C54</v>
      </c>
      <c r="O2350" s="5">
        <f t="shared" si="223"/>
        <v>13.094711113292597</v>
      </c>
      <c r="P2350" s="22">
        <f>O2350/Explications!$C$8</f>
        <v>0.43649037044308658</v>
      </c>
      <c r="Q2350" s="7" t="str">
        <f t="shared" si="224"/>
        <v>C54</v>
      </c>
      <c r="R2350" s="7" t="str">
        <f t="shared" si="225"/>
        <v>C34</v>
      </c>
      <c r="S2350" s="18">
        <f t="shared" si="226"/>
        <v>13.094711113292597</v>
      </c>
      <c r="T2350" s="18">
        <f>S2350/Explications!$C$8</f>
        <v>0.43649037044308658</v>
      </c>
    </row>
    <row r="2351" spans="7:20">
      <c r="G2351" s="7" t="s">
        <v>50</v>
      </c>
      <c r="H2351" s="7" t="s">
        <v>71</v>
      </c>
      <c r="I2351" s="7">
        <v>46.8611</v>
      </c>
      <c r="J2351" s="7">
        <v>-71.268799999999999</v>
      </c>
      <c r="K2351" s="7">
        <v>46.788899999999998</v>
      </c>
      <c r="L2351" s="7">
        <v>-71.321399999999997</v>
      </c>
      <c r="M2351" s="10" t="str">
        <f t="shared" si="221"/>
        <v>C34</v>
      </c>
      <c r="N2351" s="10" t="str">
        <f t="shared" si="222"/>
        <v>C55</v>
      </c>
      <c r="O2351" s="5">
        <f t="shared" si="223"/>
        <v>8.9704409340392299</v>
      </c>
      <c r="P2351" s="22">
        <f>O2351/Explications!$C$8</f>
        <v>0.29901469780130768</v>
      </c>
      <c r="Q2351" s="7" t="str">
        <f t="shared" si="224"/>
        <v>C55</v>
      </c>
      <c r="R2351" s="7" t="str">
        <f t="shared" si="225"/>
        <v>C34</v>
      </c>
      <c r="S2351" s="18">
        <f t="shared" si="226"/>
        <v>8.9704409340392299</v>
      </c>
      <c r="T2351" s="18">
        <f>S2351/Explications!$C$8</f>
        <v>0.29901469780130768</v>
      </c>
    </row>
    <row r="2352" spans="7:20">
      <c r="G2352" s="7" t="s">
        <v>50</v>
      </c>
      <c r="H2352" s="7" t="s">
        <v>72</v>
      </c>
      <c r="I2352" s="7">
        <v>46.8611</v>
      </c>
      <c r="J2352" s="7">
        <v>-71.268799999999999</v>
      </c>
      <c r="K2352" s="7">
        <v>46.795400000000001</v>
      </c>
      <c r="L2352" s="7">
        <v>-71.232600000000005</v>
      </c>
      <c r="M2352" s="10" t="str">
        <f t="shared" si="221"/>
        <v>C34</v>
      </c>
      <c r="N2352" s="10" t="str">
        <f t="shared" si="222"/>
        <v>C56</v>
      </c>
      <c r="O2352" s="5">
        <f t="shared" si="223"/>
        <v>7.8073752280784436</v>
      </c>
      <c r="P2352" s="22">
        <f>O2352/Explications!$C$8</f>
        <v>0.2602458409359481</v>
      </c>
      <c r="Q2352" s="7" t="str">
        <f t="shared" si="224"/>
        <v>C56</v>
      </c>
      <c r="R2352" s="7" t="str">
        <f t="shared" si="225"/>
        <v>C34</v>
      </c>
      <c r="S2352" s="18">
        <f t="shared" si="226"/>
        <v>7.8073752280784436</v>
      </c>
      <c r="T2352" s="18">
        <f>S2352/Explications!$C$8</f>
        <v>0.2602458409359481</v>
      </c>
    </row>
    <row r="2353" spans="7:20">
      <c r="G2353" s="7" t="s">
        <v>50</v>
      </c>
      <c r="H2353" s="7" t="s">
        <v>73</v>
      </c>
      <c r="I2353" s="7">
        <v>46.8611</v>
      </c>
      <c r="J2353" s="7">
        <v>-71.268799999999999</v>
      </c>
      <c r="K2353" s="7">
        <v>46.801200000000001</v>
      </c>
      <c r="L2353" s="7">
        <v>-71.224999999999994</v>
      </c>
      <c r="M2353" s="10" t="str">
        <f t="shared" si="221"/>
        <v>C34</v>
      </c>
      <c r="N2353" s="10" t="str">
        <f t="shared" si="222"/>
        <v>C57</v>
      </c>
      <c r="O2353" s="5">
        <f t="shared" si="223"/>
        <v>7.4475360219182933</v>
      </c>
      <c r="P2353" s="22">
        <f>O2353/Explications!$C$8</f>
        <v>0.24825120073060977</v>
      </c>
      <c r="Q2353" s="7" t="str">
        <f t="shared" si="224"/>
        <v>C57</v>
      </c>
      <c r="R2353" s="7" t="str">
        <f t="shared" si="225"/>
        <v>C34</v>
      </c>
      <c r="S2353" s="18">
        <f t="shared" si="226"/>
        <v>7.4475360219182933</v>
      </c>
      <c r="T2353" s="18">
        <f>S2353/Explications!$C$8</f>
        <v>0.24825120073060977</v>
      </c>
    </row>
    <row r="2354" spans="7:20">
      <c r="G2354" s="7" t="s">
        <v>50</v>
      </c>
      <c r="H2354" s="7" t="s">
        <v>74</v>
      </c>
      <c r="I2354" s="7">
        <v>46.8611</v>
      </c>
      <c r="J2354" s="7">
        <v>-71.268799999999999</v>
      </c>
      <c r="K2354" s="7">
        <v>46.773200000000003</v>
      </c>
      <c r="L2354" s="7">
        <v>-71.275899999999993</v>
      </c>
      <c r="M2354" s="10" t="str">
        <f t="shared" si="221"/>
        <v>C34</v>
      </c>
      <c r="N2354" s="10" t="str">
        <f t="shared" si="222"/>
        <v>C58</v>
      </c>
      <c r="O2354" s="5">
        <f t="shared" si="223"/>
        <v>9.7889544637881301</v>
      </c>
      <c r="P2354" s="22">
        <f>O2354/Explications!$C$8</f>
        <v>0.32629848212627099</v>
      </c>
      <c r="Q2354" s="7" t="str">
        <f t="shared" si="224"/>
        <v>C58</v>
      </c>
      <c r="R2354" s="7" t="str">
        <f t="shared" si="225"/>
        <v>C34</v>
      </c>
      <c r="S2354" s="18">
        <f t="shared" si="226"/>
        <v>9.7889544637881301</v>
      </c>
      <c r="T2354" s="18">
        <f>S2354/Explications!$C$8</f>
        <v>0.32629848212627099</v>
      </c>
    </row>
    <row r="2355" spans="7:20">
      <c r="G2355" s="7" t="s">
        <v>50</v>
      </c>
      <c r="H2355" s="7" t="s">
        <v>75</v>
      </c>
      <c r="I2355" s="7">
        <v>46.8611</v>
      </c>
      <c r="J2355" s="7">
        <v>-71.268799999999999</v>
      </c>
      <c r="K2355" s="7">
        <v>46.814399999999999</v>
      </c>
      <c r="L2355" s="7">
        <v>-71.225700000000003</v>
      </c>
      <c r="M2355" s="10" t="str">
        <f t="shared" si="221"/>
        <v>C34</v>
      </c>
      <c r="N2355" s="10" t="str">
        <f t="shared" si="222"/>
        <v>C59</v>
      </c>
      <c r="O2355" s="5">
        <f t="shared" si="223"/>
        <v>6.1410947417549906</v>
      </c>
      <c r="P2355" s="22">
        <f>O2355/Explications!$C$8</f>
        <v>0.20470315805849967</v>
      </c>
      <c r="Q2355" s="7" t="str">
        <f t="shared" si="224"/>
        <v>C59</v>
      </c>
      <c r="R2355" s="7" t="str">
        <f t="shared" si="225"/>
        <v>C34</v>
      </c>
      <c r="S2355" s="18">
        <f t="shared" si="226"/>
        <v>6.1410947417549906</v>
      </c>
      <c r="T2355" s="18">
        <f>S2355/Explications!$C$8</f>
        <v>0.20470315805849967</v>
      </c>
    </row>
    <row r="2356" spans="7:20">
      <c r="G2356" s="7" t="s">
        <v>50</v>
      </c>
      <c r="H2356" s="7" t="s">
        <v>76</v>
      </c>
      <c r="I2356" s="7">
        <v>46.8611</v>
      </c>
      <c r="J2356" s="7">
        <v>-71.268799999999999</v>
      </c>
      <c r="K2356" s="7">
        <v>46.772500000000001</v>
      </c>
      <c r="L2356" s="7">
        <v>-71.276300000000006</v>
      </c>
      <c r="M2356" s="10" t="str">
        <f t="shared" si="221"/>
        <v>C34</v>
      </c>
      <c r="N2356" s="10" t="str">
        <f t="shared" si="222"/>
        <v>C60</v>
      </c>
      <c r="O2356" s="5">
        <f t="shared" si="223"/>
        <v>9.8683868821453249</v>
      </c>
      <c r="P2356" s="22">
        <f>O2356/Explications!$C$8</f>
        <v>0.32894622940484414</v>
      </c>
      <c r="Q2356" s="7" t="str">
        <f t="shared" si="224"/>
        <v>C60</v>
      </c>
      <c r="R2356" s="7" t="str">
        <f t="shared" si="225"/>
        <v>C34</v>
      </c>
      <c r="S2356" s="18">
        <f t="shared" si="226"/>
        <v>9.8683868821453249</v>
      </c>
      <c r="T2356" s="18">
        <f>S2356/Explications!$C$8</f>
        <v>0.32894622940484414</v>
      </c>
    </row>
    <row r="2357" spans="7:20">
      <c r="G2357" s="7" t="s">
        <v>50</v>
      </c>
      <c r="H2357" s="7" t="s">
        <v>77</v>
      </c>
      <c r="I2357" s="7">
        <v>46.8611</v>
      </c>
      <c r="J2357" s="7">
        <v>-71.268799999999999</v>
      </c>
      <c r="K2357" s="7">
        <v>46.810899999999997</v>
      </c>
      <c r="L2357" s="7">
        <v>-71.215599999999995</v>
      </c>
      <c r="M2357" s="10" t="str">
        <f t="shared" si="221"/>
        <v>C34</v>
      </c>
      <c r="N2357" s="10" t="str">
        <f t="shared" si="222"/>
        <v>C61</v>
      </c>
      <c r="O2357" s="5">
        <f t="shared" si="223"/>
        <v>6.8945595775161079</v>
      </c>
      <c r="P2357" s="22">
        <f>O2357/Explications!$C$8</f>
        <v>0.22981865258387027</v>
      </c>
      <c r="Q2357" s="7" t="str">
        <f t="shared" si="224"/>
        <v>C61</v>
      </c>
      <c r="R2357" s="7" t="str">
        <f t="shared" si="225"/>
        <v>C34</v>
      </c>
      <c r="S2357" s="18">
        <f t="shared" si="226"/>
        <v>6.8945595775161079</v>
      </c>
      <c r="T2357" s="18">
        <f>S2357/Explications!$C$8</f>
        <v>0.22981865258387027</v>
      </c>
    </row>
    <row r="2358" spans="7:20">
      <c r="G2358" s="7" t="s">
        <v>50</v>
      </c>
      <c r="H2358" s="7" t="s">
        <v>78</v>
      </c>
      <c r="I2358" s="7">
        <v>46.8611</v>
      </c>
      <c r="J2358" s="7">
        <v>-71.268799999999999</v>
      </c>
      <c r="K2358" s="7">
        <v>46.795200000000001</v>
      </c>
      <c r="L2358" s="7">
        <v>-71.245099999999994</v>
      </c>
      <c r="M2358" s="10" t="str">
        <f t="shared" si="221"/>
        <v>C34</v>
      </c>
      <c r="N2358" s="10" t="str">
        <f t="shared" si="222"/>
        <v>C62</v>
      </c>
      <c r="O2358" s="5">
        <f t="shared" si="223"/>
        <v>7.5463148319148745</v>
      </c>
      <c r="P2358" s="22">
        <f>O2358/Explications!$C$8</f>
        <v>0.25154382773049583</v>
      </c>
      <c r="Q2358" s="7" t="str">
        <f t="shared" si="224"/>
        <v>C62</v>
      </c>
      <c r="R2358" s="7" t="str">
        <f t="shared" si="225"/>
        <v>C34</v>
      </c>
      <c r="S2358" s="18">
        <f t="shared" si="226"/>
        <v>7.5463148319148745</v>
      </c>
      <c r="T2358" s="18">
        <f>S2358/Explications!$C$8</f>
        <v>0.25154382773049583</v>
      </c>
    </row>
    <row r="2359" spans="7:20">
      <c r="G2359" s="7" t="s">
        <v>50</v>
      </c>
      <c r="H2359" s="7" t="s">
        <v>79</v>
      </c>
      <c r="I2359" s="7">
        <v>46.8611</v>
      </c>
      <c r="J2359" s="7">
        <v>-71.268799999999999</v>
      </c>
      <c r="K2359" s="7">
        <v>46.822000000000003</v>
      </c>
      <c r="L2359" s="7">
        <v>-71.345699999999994</v>
      </c>
      <c r="M2359" s="10" t="str">
        <f t="shared" si="221"/>
        <v>C34</v>
      </c>
      <c r="N2359" s="10" t="str">
        <f t="shared" si="222"/>
        <v>C63</v>
      </c>
      <c r="O2359" s="5">
        <f t="shared" si="223"/>
        <v>7.2878712250185931</v>
      </c>
      <c r="P2359" s="22">
        <f>O2359/Explications!$C$8</f>
        <v>0.24292904083395311</v>
      </c>
      <c r="Q2359" s="7" t="str">
        <f t="shared" si="224"/>
        <v>C63</v>
      </c>
      <c r="R2359" s="7" t="str">
        <f t="shared" si="225"/>
        <v>C34</v>
      </c>
      <c r="S2359" s="18">
        <f t="shared" si="226"/>
        <v>7.2878712250185931</v>
      </c>
      <c r="T2359" s="18">
        <f>S2359/Explications!$C$8</f>
        <v>0.24292904083395311</v>
      </c>
    </row>
    <row r="2360" spans="7:20">
      <c r="G2360" s="7" t="s">
        <v>50</v>
      </c>
      <c r="H2360" s="7" t="s">
        <v>80</v>
      </c>
      <c r="I2360" s="7">
        <v>46.8611</v>
      </c>
      <c r="J2360" s="7">
        <v>-71.268799999999999</v>
      </c>
      <c r="K2360" s="7">
        <v>46.779400000000003</v>
      </c>
      <c r="L2360" s="7">
        <v>-71.350399999999993</v>
      </c>
      <c r="M2360" s="10" t="str">
        <f t="shared" si="221"/>
        <v>C34</v>
      </c>
      <c r="N2360" s="10" t="str">
        <f t="shared" si="222"/>
        <v>C64</v>
      </c>
      <c r="O2360" s="5">
        <f t="shared" si="223"/>
        <v>11.003675740866161</v>
      </c>
      <c r="P2360" s="22">
        <f>O2360/Explications!$C$8</f>
        <v>0.36678919136220534</v>
      </c>
      <c r="Q2360" s="7" t="str">
        <f t="shared" si="224"/>
        <v>C64</v>
      </c>
      <c r="R2360" s="7" t="str">
        <f t="shared" si="225"/>
        <v>C34</v>
      </c>
      <c r="S2360" s="18">
        <f t="shared" si="226"/>
        <v>11.003675740866161</v>
      </c>
      <c r="T2360" s="18">
        <f>S2360/Explications!$C$8</f>
        <v>0.36678919136220534</v>
      </c>
    </row>
    <row r="2361" spans="7:20">
      <c r="G2361" s="7" t="s">
        <v>50</v>
      </c>
      <c r="H2361" s="7" t="s">
        <v>81</v>
      </c>
      <c r="I2361" s="7">
        <v>46.8611</v>
      </c>
      <c r="J2361" s="7">
        <v>-71.268799999999999</v>
      </c>
      <c r="K2361" s="7">
        <v>46.772300000000001</v>
      </c>
      <c r="L2361" s="7">
        <v>-71.279799999999994</v>
      </c>
      <c r="M2361" s="10" t="str">
        <f t="shared" si="221"/>
        <v>C34</v>
      </c>
      <c r="N2361" s="10" t="str">
        <f t="shared" si="222"/>
        <v>C65</v>
      </c>
      <c r="O2361" s="5">
        <f t="shared" si="223"/>
        <v>9.909524373599341</v>
      </c>
      <c r="P2361" s="22">
        <f>O2361/Explications!$C$8</f>
        <v>0.33031747911997805</v>
      </c>
      <c r="Q2361" s="7" t="str">
        <f t="shared" si="224"/>
        <v>C65</v>
      </c>
      <c r="R2361" s="7" t="str">
        <f t="shared" si="225"/>
        <v>C34</v>
      </c>
      <c r="S2361" s="18">
        <f t="shared" si="226"/>
        <v>9.909524373599341</v>
      </c>
      <c r="T2361" s="18">
        <f>S2361/Explications!$C$8</f>
        <v>0.33031747911997805</v>
      </c>
    </row>
    <row r="2362" spans="7:20">
      <c r="G2362" s="7" t="s">
        <v>50</v>
      </c>
      <c r="H2362" s="7" t="s">
        <v>82</v>
      </c>
      <c r="I2362" s="7">
        <v>46.8611</v>
      </c>
      <c r="J2362" s="7">
        <v>-71.268799999999999</v>
      </c>
      <c r="K2362" s="7">
        <v>46.814900000000002</v>
      </c>
      <c r="L2362" s="7">
        <v>-71.225200000000001</v>
      </c>
      <c r="M2362" s="10" t="str">
        <f t="shared" si="221"/>
        <v>C34</v>
      </c>
      <c r="N2362" s="10" t="str">
        <f t="shared" si="222"/>
        <v>C66</v>
      </c>
      <c r="O2362" s="5">
        <f t="shared" si="223"/>
        <v>6.1146902107489494</v>
      </c>
      <c r="P2362" s="22">
        <f>O2362/Explications!$C$8</f>
        <v>0.20382300702496498</v>
      </c>
      <c r="Q2362" s="7" t="str">
        <f t="shared" si="224"/>
        <v>C66</v>
      </c>
      <c r="R2362" s="7" t="str">
        <f t="shared" si="225"/>
        <v>C34</v>
      </c>
      <c r="S2362" s="18">
        <f t="shared" si="226"/>
        <v>6.1146902107489494</v>
      </c>
      <c r="T2362" s="18">
        <f>S2362/Explications!$C$8</f>
        <v>0.20382300702496498</v>
      </c>
    </row>
    <row r="2363" spans="7:20">
      <c r="G2363" s="7" t="s">
        <v>50</v>
      </c>
      <c r="H2363" s="7" t="s">
        <v>83</v>
      </c>
      <c r="I2363" s="7">
        <v>46.8611</v>
      </c>
      <c r="J2363" s="7">
        <v>-71.268799999999999</v>
      </c>
      <c r="K2363" s="7">
        <v>46.814700000000002</v>
      </c>
      <c r="L2363" s="7">
        <v>-71.207300000000004</v>
      </c>
      <c r="M2363" s="10" t="str">
        <f t="shared" si="221"/>
        <v>C34</v>
      </c>
      <c r="N2363" s="10" t="str">
        <f t="shared" si="222"/>
        <v>C67</v>
      </c>
      <c r="O2363" s="5">
        <f t="shared" si="223"/>
        <v>6.9644276633495465</v>
      </c>
      <c r="P2363" s="22">
        <f>O2363/Explications!$C$8</f>
        <v>0.23214758877831823</v>
      </c>
      <c r="Q2363" s="7" t="str">
        <f t="shared" si="224"/>
        <v>C67</v>
      </c>
      <c r="R2363" s="7" t="str">
        <f t="shared" si="225"/>
        <v>C34</v>
      </c>
      <c r="S2363" s="18">
        <f t="shared" si="226"/>
        <v>6.9644276633495465</v>
      </c>
      <c r="T2363" s="18">
        <f>S2363/Explications!$C$8</f>
        <v>0.23214758877831823</v>
      </c>
    </row>
    <row r="2364" spans="7:20">
      <c r="G2364" s="7" t="s">
        <v>50</v>
      </c>
      <c r="H2364" s="7" t="s">
        <v>84</v>
      </c>
      <c r="I2364" s="7">
        <v>46.8611</v>
      </c>
      <c r="J2364" s="7">
        <v>-71.268799999999999</v>
      </c>
      <c r="K2364" s="7">
        <v>46.815600000000003</v>
      </c>
      <c r="L2364" s="7">
        <v>-71.2029</v>
      </c>
      <c r="M2364" s="10" t="str">
        <f t="shared" si="221"/>
        <v>C34</v>
      </c>
      <c r="N2364" s="10" t="str">
        <f t="shared" si="222"/>
        <v>C68</v>
      </c>
      <c r="O2364" s="5">
        <f t="shared" si="223"/>
        <v>7.122041415531692</v>
      </c>
      <c r="P2364" s="22">
        <f>O2364/Explications!$C$8</f>
        <v>0.23740138051772305</v>
      </c>
      <c r="Q2364" s="7" t="str">
        <f t="shared" si="224"/>
        <v>C68</v>
      </c>
      <c r="R2364" s="7" t="str">
        <f t="shared" si="225"/>
        <v>C34</v>
      </c>
      <c r="S2364" s="18">
        <f t="shared" si="226"/>
        <v>7.122041415531692</v>
      </c>
      <c r="T2364" s="18">
        <f>S2364/Explications!$C$8</f>
        <v>0.23740138051772305</v>
      </c>
    </row>
    <row r="2365" spans="7:20">
      <c r="G2365" s="7" t="s">
        <v>50</v>
      </c>
      <c r="H2365" s="7" t="s">
        <v>85</v>
      </c>
      <c r="I2365" s="7">
        <v>46.8611</v>
      </c>
      <c r="J2365" s="7">
        <v>-71.268799999999999</v>
      </c>
      <c r="K2365" s="7">
        <v>46.821899999999999</v>
      </c>
      <c r="L2365" s="7">
        <v>-71.249899999999997</v>
      </c>
      <c r="M2365" s="10" t="str">
        <f t="shared" si="221"/>
        <v>C34</v>
      </c>
      <c r="N2365" s="10" t="str">
        <f t="shared" si="222"/>
        <v>C69</v>
      </c>
      <c r="O2365" s="5">
        <f t="shared" si="223"/>
        <v>4.5897678427175972</v>
      </c>
      <c r="P2365" s="22">
        <f>O2365/Explications!$C$8</f>
        <v>0.15299226142391992</v>
      </c>
      <c r="Q2365" s="7" t="str">
        <f t="shared" si="224"/>
        <v>C69</v>
      </c>
      <c r="R2365" s="7" t="str">
        <f t="shared" si="225"/>
        <v>C34</v>
      </c>
      <c r="S2365" s="18">
        <f t="shared" si="226"/>
        <v>4.5897678427175972</v>
      </c>
      <c r="T2365" s="18">
        <f>S2365/Explications!$C$8</f>
        <v>0.15299226142391992</v>
      </c>
    </row>
    <row r="2366" spans="7:20">
      <c r="G2366" s="7" t="s">
        <v>50</v>
      </c>
      <c r="H2366" s="7" t="s">
        <v>86</v>
      </c>
      <c r="I2366" s="7">
        <v>46.8611</v>
      </c>
      <c r="J2366" s="7">
        <v>-71.268799999999999</v>
      </c>
      <c r="K2366" s="7">
        <v>46.8872</v>
      </c>
      <c r="L2366" s="7">
        <v>-71.27</v>
      </c>
      <c r="M2366" s="10" t="str">
        <f t="shared" si="221"/>
        <v>C34</v>
      </c>
      <c r="N2366" s="10" t="str">
        <f t="shared" si="222"/>
        <v>C70</v>
      </c>
      <c r="O2366" s="5">
        <f t="shared" si="223"/>
        <v>2.9036206890961775</v>
      </c>
      <c r="P2366" s="22">
        <f>O2366/Explications!$C$8</f>
        <v>9.6787356303205924E-2</v>
      </c>
      <c r="Q2366" s="7" t="str">
        <f t="shared" si="224"/>
        <v>C70</v>
      </c>
      <c r="R2366" s="7" t="str">
        <f t="shared" si="225"/>
        <v>C34</v>
      </c>
      <c r="S2366" s="18">
        <f t="shared" si="226"/>
        <v>2.9036206890961775</v>
      </c>
      <c r="T2366" s="18">
        <f>S2366/Explications!$C$8</f>
        <v>9.6787356303205924E-2</v>
      </c>
    </row>
    <row r="2367" spans="7:20">
      <c r="G2367" s="7" t="s">
        <v>50</v>
      </c>
      <c r="H2367" s="7" t="s">
        <v>87</v>
      </c>
      <c r="I2367" s="7">
        <v>46.8611</v>
      </c>
      <c r="J2367" s="7">
        <v>-71.268799999999999</v>
      </c>
      <c r="K2367" s="7">
        <v>46.816299999999998</v>
      </c>
      <c r="L2367" s="7">
        <v>-71.210300000000004</v>
      </c>
      <c r="M2367" s="10" t="str">
        <f t="shared" si="221"/>
        <v>C34</v>
      </c>
      <c r="N2367" s="10" t="str">
        <f t="shared" si="222"/>
        <v>C71</v>
      </c>
      <c r="O2367" s="5">
        <f t="shared" si="223"/>
        <v>6.6794888374447474</v>
      </c>
      <c r="P2367" s="22">
        <f>O2367/Explications!$C$8</f>
        <v>0.22264962791482493</v>
      </c>
      <c r="Q2367" s="7" t="str">
        <f t="shared" si="224"/>
        <v>C71</v>
      </c>
      <c r="R2367" s="7" t="str">
        <f t="shared" si="225"/>
        <v>C34</v>
      </c>
      <c r="S2367" s="18">
        <f t="shared" si="226"/>
        <v>6.6794888374447474</v>
      </c>
      <c r="T2367" s="18">
        <f>S2367/Explications!$C$8</f>
        <v>0.22264962791482493</v>
      </c>
    </row>
    <row r="2368" spans="7:20">
      <c r="G2368" s="7" t="s">
        <v>50</v>
      </c>
      <c r="H2368" s="7" t="s">
        <v>88</v>
      </c>
      <c r="I2368" s="7">
        <v>46.8611</v>
      </c>
      <c r="J2368" s="7">
        <v>-71.268799999999999</v>
      </c>
      <c r="K2368" s="7">
        <v>46.807000000000002</v>
      </c>
      <c r="L2368" s="7">
        <v>-71.3566</v>
      </c>
      <c r="M2368" s="10" t="str">
        <f t="shared" si="221"/>
        <v>C34</v>
      </c>
      <c r="N2368" s="10" t="str">
        <f t="shared" si="222"/>
        <v>C72</v>
      </c>
      <c r="O2368" s="5">
        <f t="shared" si="223"/>
        <v>8.9886744687905917</v>
      </c>
      <c r="P2368" s="22">
        <f>O2368/Explications!$C$8</f>
        <v>0.29962248229301974</v>
      </c>
      <c r="Q2368" s="7" t="str">
        <f t="shared" si="224"/>
        <v>C72</v>
      </c>
      <c r="R2368" s="7" t="str">
        <f t="shared" si="225"/>
        <v>C34</v>
      </c>
      <c r="S2368" s="18">
        <f t="shared" si="226"/>
        <v>8.9886744687905917</v>
      </c>
      <c r="T2368" s="18">
        <f>S2368/Explications!$C$8</f>
        <v>0.29962248229301974</v>
      </c>
    </row>
    <row r="2369" spans="7:20">
      <c r="G2369" s="7" t="s">
        <v>50</v>
      </c>
      <c r="H2369" s="7" t="s">
        <v>89</v>
      </c>
      <c r="I2369" s="7">
        <v>46.8611</v>
      </c>
      <c r="J2369" s="7">
        <v>-71.268799999999999</v>
      </c>
      <c r="K2369" s="7">
        <v>46.822899999999997</v>
      </c>
      <c r="L2369" s="7">
        <v>-71.341899999999995</v>
      </c>
      <c r="M2369" s="10" t="str">
        <f t="shared" si="221"/>
        <v>C34</v>
      </c>
      <c r="N2369" s="10" t="str">
        <f t="shared" si="222"/>
        <v>C73</v>
      </c>
      <c r="O2369" s="5">
        <f t="shared" si="223"/>
        <v>6.9967778326347059</v>
      </c>
      <c r="P2369" s="22">
        <f>O2369/Explications!$C$8</f>
        <v>0.23322592775449019</v>
      </c>
      <c r="Q2369" s="7" t="str">
        <f t="shared" si="224"/>
        <v>C73</v>
      </c>
      <c r="R2369" s="7" t="str">
        <f t="shared" si="225"/>
        <v>C34</v>
      </c>
      <c r="S2369" s="18">
        <f t="shared" si="226"/>
        <v>6.9967778326347059</v>
      </c>
      <c r="T2369" s="18">
        <f>S2369/Explications!$C$8</f>
        <v>0.23322592775449019</v>
      </c>
    </row>
    <row r="2370" spans="7:20">
      <c r="G2370" s="7" t="s">
        <v>50</v>
      </c>
      <c r="H2370" s="7" t="s">
        <v>90</v>
      </c>
      <c r="I2370" s="7">
        <v>46.8611</v>
      </c>
      <c r="J2370" s="7">
        <v>-71.268799999999999</v>
      </c>
      <c r="K2370" s="7">
        <v>46.730699999999999</v>
      </c>
      <c r="L2370" s="7">
        <v>-71.261099999999999</v>
      </c>
      <c r="M2370" s="10" t="str">
        <f t="shared" si="221"/>
        <v>C34</v>
      </c>
      <c r="N2370" s="10" t="str">
        <f t="shared" si="222"/>
        <v>C74</v>
      </c>
      <c r="O2370" s="5">
        <f t="shared" si="223"/>
        <v>14.511661211704491</v>
      </c>
      <c r="P2370" s="22">
        <f>O2370/Explications!$C$8</f>
        <v>0.48372204039014971</v>
      </c>
      <c r="Q2370" s="7" t="str">
        <f t="shared" si="224"/>
        <v>C74</v>
      </c>
      <c r="R2370" s="7" t="str">
        <f t="shared" si="225"/>
        <v>C34</v>
      </c>
      <c r="S2370" s="18">
        <f t="shared" si="226"/>
        <v>14.511661211704491</v>
      </c>
      <c r="T2370" s="18">
        <f>S2370/Explications!$C$8</f>
        <v>0.48372204039014971</v>
      </c>
    </row>
    <row r="2371" spans="7:20">
      <c r="G2371" s="7" t="s">
        <v>50</v>
      </c>
      <c r="H2371" s="7" t="s">
        <v>91</v>
      </c>
      <c r="I2371" s="7">
        <v>46.8611</v>
      </c>
      <c r="J2371" s="7">
        <v>-71.268799999999999</v>
      </c>
      <c r="K2371" s="7">
        <v>46.840600000000002</v>
      </c>
      <c r="L2371" s="7">
        <v>-71.289100000000005</v>
      </c>
      <c r="M2371" s="10" t="str">
        <f t="shared" si="221"/>
        <v>C34</v>
      </c>
      <c r="N2371" s="10" t="str">
        <f t="shared" si="222"/>
        <v>C75</v>
      </c>
      <c r="O2371" s="5">
        <f t="shared" si="223"/>
        <v>2.7530398169201469</v>
      </c>
      <c r="P2371" s="22">
        <f>O2371/Explications!$C$8</f>
        <v>9.1767993897338224E-2</v>
      </c>
      <c r="Q2371" s="7" t="str">
        <f t="shared" si="224"/>
        <v>C75</v>
      </c>
      <c r="R2371" s="7" t="str">
        <f t="shared" si="225"/>
        <v>C34</v>
      </c>
      <c r="S2371" s="18">
        <f t="shared" si="226"/>
        <v>2.7530398169201469</v>
      </c>
      <c r="T2371" s="18">
        <f>S2371/Explications!$C$8</f>
        <v>9.1767993897338224E-2</v>
      </c>
    </row>
    <row r="2372" spans="7:20">
      <c r="G2372" s="7" t="s">
        <v>50</v>
      </c>
      <c r="H2372" s="7" t="s">
        <v>92</v>
      </c>
      <c r="I2372" s="7">
        <v>46.8611</v>
      </c>
      <c r="J2372" s="7">
        <v>-71.268799999999999</v>
      </c>
      <c r="K2372" s="7">
        <v>46.840600000000002</v>
      </c>
      <c r="L2372" s="7">
        <v>-71.281599999999997</v>
      </c>
      <c r="M2372" s="10" t="str">
        <f t="shared" ref="M2372:M2435" si="227">G2372</f>
        <v>C34</v>
      </c>
      <c r="N2372" s="10" t="str">
        <f t="shared" ref="N2372:N2435" si="228">H2372</f>
        <v>C76</v>
      </c>
      <c r="O2372" s="5">
        <f t="shared" ref="O2372:O2435" si="229">ACOS(SIN(RADIANS(I2372))*SIN(RADIANS(K2372))+COS(RADIANS(I2372))*COS(RADIANS(K2372))*COS(RADIANS(J2372-L2372)))*6371</f>
        <v>2.478627161663927</v>
      </c>
      <c r="P2372" s="22">
        <f>O2372/Explications!$C$8</f>
        <v>8.2620905388797572E-2</v>
      </c>
      <c r="Q2372" s="7" t="str">
        <f t="shared" ref="Q2372:Q2435" si="230">N2372</f>
        <v>C76</v>
      </c>
      <c r="R2372" s="7" t="str">
        <f t="shared" ref="R2372:R2435" si="231">M2372</f>
        <v>C34</v>
      </c>
      <c r="S2372" s="18">
        <f t="shared" ref="S2372:S2435" si="232">O2372</f>
        <v>2.478627161663927</v>
      </c>
      <c r="T2372" s="18">
        <f>S2372/Explications!$C$8</f>
        <v>8.2620905388797572E-2</v>
      </c>
    </row>
    <row r="2373" spans="7:20">
      <c r="G2373" s="7" t="s">
        <v>50</v>
      </c>
      <c r="H2373" s="7" t="s">
        <v>93</v>
      </c>
      <c r="I2373" s="7">
        <v>46.8611</v>
      </c>
      <c r="J2373" s="7">
        <v>-71.268799999999999</v>
      </c>
      <c r="K2373" s="7">
        <v>46.839399999999998</v>
      </c>
      <c r="L2373" s="7">
        <v>-71.282600000000002</v>
      </c>
      <c r="M2373" s="10" t="str">
        <f t="shared" si="227"/>
        <v>C34</v>
      </c>
      <c r="N2373" s="10" t="str">
        <f t="shared" si="228"/>
        <v>C77</v>
      </c>
      <c r="O2373" s="5">
        <f t="shared" si="229"/>
        <v>2.6312685869688206</v>
      </c>
      <c r="P2373" s="22">
        <f>O2373/Explications!$C$8</f>
        <v>8.770895289896069E-2</v>
      </c>
      <c r="Q2373" s="7" t="str">
        <f t="shared" si="230"/>
        <v>C77</v>
      </c>
      <c r="R2373" s="7" t="str">
        <f t="shared" si="231"/>
        <v>C34</v>
      </c>
      <c r="S2373" s="18">
        <f t="shared" si="232"/>
        <v>2.6312685869688206</v>
      </c>
      <c r="T2373" s="18">
        <f>S2373/Explications!$C$8</f>
        <v>8.770895289896069E-2</v>
      </c>
    </row>
    <row r="2374" spans="7:20">
      <c r="G2374" s="7" t="s">
        <v>50</v>
      </c>
      <c r="H2374" s="7" t="s">
        <v>94</v>
      </c>
      <c r="I2374" s="7">
        <v>46.8611</v>
      </c>
      <c r="J2374" s="7">
        <v>-71.268799999999999</v>
      </c>
      <c r="K2374" s="7">
        <v>46.788499999999999</v>
      </c>
      <c r="L2374" s="7">
        <v>-71.282399999999996</v>
      </c>
      <c r="M2374" s="10" t="str">
        <f t="shared" si="227"/>
        <v>C34</v>
      </c>
      <c r="N2374" s="10" t="str">
        <f t="shared" si="228"/>
        <v>C78</v>
      </c>
      <c r="O2374" s="5">
        <f t="shared" si="229"/>
        <v>8.1387950404096063</v>
      </c>
      <c r="P2374" s="22">
        <f>O2374/Explications!$C$8</f>
        <v>0.27129316801365355</v>
      </c>
      <c r="Q2374" s="7" t="str">
        <f t="shared" si="230"/>
        <v>C78</v>
      </c>
      <c r="R2374" s="7" t="str">
        <f t="shared" si="231"/>
        <v>C34</v>
      </c>
      <c r="S2374" s="18">
        <f t="shared" si="232"/>
        <v>8.1387950404096063</v>
      </c>
      <c r="T2374" s="18">
        <f>S2374/Explications!$C$8</f>
        <v>0.27129316801365355</v>
      </c>
    </row>
    <row r="2375" spans="7:20">
      <c r="G2375" s="7" t="s">
        <v>50</v>
      </c>
      <c r="H2375" s="7" t="s">
        <v>95</v>
      </c>
      <c r="I2375" s="7">
        <v>46.8611</v>
      </c>
      <c r="J2375" s="7">
        <v>-71.268799999999999</v>
      </c>
      <c r="K2375" s="7">
        <v>46.840699999999998</v>
      </c>
      <c r="L2375" s="7">
        <v>-71.325400000000002</v>
      </c>
      <c r="M2375" s="10" t="str">
        <f t="shared" si="227"/>
        <v>C34</v>
      </c>
      <c r="N2375" s="10" t="str">
        <f t="shared" si="228"/>
        <v>C79</v>
      </c>
      <c r="O2375" s="5">
        <f t="shared" si="229"/>
        <v>4.8653633204424143</v>
      </c>
      <c r="P2375" s="22">
        <f>O2375/Explications!$C$8</f>
        <v>0.16217877734808048</v>
      </c>
      <c r="Q2375" s="7" t="str">
        <f t="shared" si="230"/>
        <v>C79</v>
      </c>
      <c r="R2375" s="7" t="str">
        <f t="shared" si="231"/>
        <v>C34</v>
      </c>
      <c r="S2375" s="18">
        <f t="shared" si="232"/>
        <v>4.8653633204424143</v>
      </c>
      <c r="T2375" s="18">
        <f>S2375/Explications!$C$8</f>
        <v>0.16217877734808048</v>
      </c>
    </row>
    <row r="2376" spans="7:20">
      <c r="G2376" s="7" t="s">
        <v>50</v>
      </c>
      <c r="H2376" s="7" t="s">
        <v>96</v>
      </c>
      <c r="I2376" s="7">
        <v>46.8611</v>
      </c>
      <c r="J2376" s="7">
        <v>-71.268799999999999</v>
      </c>
      <c r="K2376" s="7">
        <v>46.798400000000001</v>
      </c>
      <c r="L2376" s="7">
        <v>-71.183199999999999</v>
      </c>
      <c r="M2376" s="10" t="str">
        <f t="shared" si="227"/>
        <v>C34</v>
      </c>
      <c r="N2376" s="10" t="str">
        <f t="shared" si="228"/>
        <v>C80</v>
      </c>
      <c r="O2376" s="5">
        <f t="shared" si="229"/>
        <v>9.5401921444325097</v>
      </c>
      <c r="P2376" s="22">
        <f>O2376/Explications!$C$8</f>
        <v>0.318006404814417</v>
      </c>
      <c r="Q2376" s="7" t="str">
        <f t="shared" si="230"/>
        <v>C80</v>
      </c>
      <c r="R2376" s="7" t="str">
        <f t="shared" si="231"/>
        <v>C34</v>
      </c>
      <c r="S2376" s="18">
        <f t="shared" si="232"/>
        <v>9.5401921444325097</v>
      </c>
      <c r="T2376" s="18">
        <f>S2376/Explications!$C$8</f>
        <v>0.318006404814417</v>
      </c>
    </row>
    <row r="2377" spans="7:20">
      <c r="G2377" s="7" t="s">
        <v>50</v>
      </c>
      <c r="H2377" s="7" t="s">
        <v>97</v>
      </c>
      <c r="I2377" s="7">
        <v>46.8611</v>
      </c>
      <c r="J2377" s="7">
        <v>-71.268799999999999</v>
      </c>
      <c r="K2377" s="7">
        <v>46.724800000000002</v>
      </c>
      <c r="L2377" s="7">
        <v>-71.2988</v>
      </c>
      <c r="M2377" s="10" t="str">
        <f t="shared" si="227"/>
        <v>C34</v>
      </c>
      <c r="N2377" s="10" t="str">
        <f t="shared" si="228"/>
        <v>C81</v>
      </c>
      <c r="O2377" s="5">
        <f t="shared" si="229"/>
        <v>15.326978934868556</v>
      </c>
      <c r="P2377" s="22">
        <f>O2377/Explications!$C$8</f>
        <v>0.51089929782895183</v>
      </c>
      <c r="Q2377" s="7" t="str">
        <f t="shared" si="230"/>
        <v>C81</v>
      </c>
      <c r="R2377" s="7" t="str">
        <f t="shared" si="231"/>
        <v>C34</v>
      </c>
      <c r="S2377" s="18">
        <f t="shared" si="232"/>
        <v>15.326978934868556</v>
      </c>
      <c r="T2377" s="18">
        <f>S2377/Explications!$C$8</f>
        <v>0.51089929782895183</v>
      </c>
    </row>
    <row r="2378" spans="7:20">
      <c r="G2378" s="7" t="s">
        <v>50</v>
      </c>
      <c r="H2378" s="7" t="s">
        <v>98</v>
      </c>
      <c r="I2378" s="7">
        <v>46.8611</v>
      </c>
      <c r="J2378" s="7">
        <v>-71.268799999999999</v>
      </c>
      <c r="K2378" s="7">
        <v>46.795499999999997</v>
      </c>
      <c r="L2378" s="7">
        <v>-71.242900000000006</v>
      </c>
      <c r="M2378" s="10" t="str">
        <f t="shared" si="227"/>
        <v>C34</v>
      </c>
      <c r="N2378" s="10" t="str">
        <f t="shared" si="228"/>
        <v>C82</v>
      </c>
      <c r="O2378" s="5">
        <f t="shared" si="229"/>
        <v>7.5558355254630403</v>
      </c>
      <c r="P2378" s="22">
        <f>O2378/Explications!$C$8</f>
        <v>0.25186118418210135</v>
      </c>
      <c r="Q2378" s="7" t="str">
        <f t="shared" si="230"/>
        <v>C82</v>
      </c>
      <c r="R2378" s="7" t="str">
        <f t="shared" si="231"/>
        <v>C34</v>
      </c>
      <c r="S2378" s="18">
        <f t="shared" si="232"/>
        <v>7.5558355254630403</v>
      </c>
      <c r="T2378" s="18">
        <f>S2378/Explications!$C$8</f>
        <v>0.25186118418210135</v>
      </c>
    </row>
    <row r="2379" spans="7:20">
      <c r="G2379" s="7" t="s">
        <v>50</v>
      </c>
      <c r="H2379" s="7" t="s">
        <v>99</v>
      </c>
      <c r="I2379" s="7">
        <v>46.8611</v>
      </c>
      <c r="J2379" s="7">
        <v>-71.268799999999999</v>
      </c>
      <c r="K2379" s="7">
        <v>46.8157</v>
      </c>
      <c r="L2379" s="7">
        <v>-71.201899999999995</v>
      </c>
      <c r="M2379" s="10" t="str">
        <f t="shared" si="227"/>
        <v>C34</v>
      </c>
      <c r="N2379" s="10" t="str">
        <f t="shared" si="228"/>
        <v>C83</v>
      </c>
      <c r="O2379" s="5">
        <f t="shared" si="229"/>
        <v>7.1679409146937454</v>
      </c>
      <c r="P2379" s="22">
        <f>O2379/Explications!$C$8</f>
        <v>0.23893136382312485</v>
      </c>
      <c r="Q2379" s="7" t="str">
        <f t="shared" si="230"/>
        <v>C83</v>
      </c>
      <c r="R2379" s="7" t="str">
        <f t="shared" si="231"/>
        <v>C34</v>
      </c>
      <c r="S2379" s="18">
        <f t="shared" si="232"/>
        <v>7.1679409146937454</v>
      </c>
      <c r="T2379" s="18">
        <f>S2379/Explications!$C$8</f>
        <v>0.23893136382312485</v>
      </c>
    </row>
    <row r="2380" spans="7:20">
      <c r="G2380" s="7" t="s">
        <v>50</v>
      </c>
      <c r="H2380" s="7" t="s">
        <v>100</v>
      </c>
      <c r="I2380" s="7">
        <v>46.8611</v>
      </c>
      <c r="J2380" s="7">
        <v>-71.268799999999999</v>
      </c>
      <c r="K2380" s="7">
        <v>46.837600000000002</v>
      </c>
      <c r="L2380" s="7">
        <v>-71.196299999999994</v>
      </c>
      <c r="M2380" s="10" t="str">
        <f t="shared" si="227"/>
        <v>C34</v>
      </c>
      <c r="N2380" s="10" t="str">
        <f t="shared" si="228"/>
        <v>C84</v>
      </c>
      <c r="O2380" s="5">
        <f t="shared" si="229"/>
        <v>6.1013854996600143</v>
      </c>
      <c r="P2380" s="22">
        <f>O2380/Explications!$C$8</f>
        <v>0.2033795166553338</v>
      </c>
      <c r="Q2380" s="7" t="str">
        <f t="shared" si="230"/>
        <v>C84</v>
      </c>
      <c r="R2380" s="7" t="str">
        <f t="shared" si="231"/>
        <v>C34</v>
      </c>
      <c r="S2380" s="18">
        <f t="shared" si="232"/>
        <v>6.1013854996600143</v>
      </c>
      <c r="T2380" s="18">
        <f>S2380/Explications!$C$8</f>
        <v>0.2033795166553338</v>
      </c>
    </row>
    <row r="2381" spans="7:20">
      <c r="G2381" s="7" t="s">
        <v>50</v>
      </c>
      <c r="H2381" s="7" t="s">
        <v>101</v>
      </c>
      <c r="I2381" s="7">
        <v>46.8611</v>
      </c>
      <c r="J2381" s="7">
        <v>-71.268799999999999</v>
      </c>
      <c r="K2381" s="7">
        <v>46.7988</v>
      </c>
      <c r="L2381" s="7">
        <v>-71.318200000000004</v>
      </c>
      <c r="M2381" s="10" t="str">
        <f t="shared" si="227"/>
        <v>C34</v>
      </c>
      <c r="N2381" s="10" t="str">
        <f t="shared" si="228"/>
        <v>C85</v>
      </c>
      <c r="O2381" s="5">
        <f t="shared" si="229"/>
        <v>7.8811875408325562</v>
      </c>
      <c r="P2381" s="22">
        <f>O2381/Explications!$C$8</f>
        <v>0.26270625136108522</v>
      </c>
      <c r="Q2381" s="7" t="str">
        <f t="shared" si="230"/>
        <v>C85</v>
      </c>
      <c r="R2381" s="7" t="str">
        <f t="shared" si="231"/>
        <v>C34</v>
      </c>
      <c r="S2381" s="18">
        <f t="shared" si="232"/>
        <v>7.8811875408325562</v>
      </c>
      <c r="T2381" s="18">
        <f>S2381/Explications!$C$8</f>
        <v>0.26270625136108522</v>
      </c>
    </row>
    <row r="2382" spans="7:20">
      <c r="G2382" s="7" t="s">
        <v>51</v>
      </c>
      <c r="H2382" s="7" t="s">
        <v>52</v>
      </c>
      <c r="I2382" s="7">
        <v>46.869700000000002</v>
      </c>
      <c r="J2382" s="7">
        <v>-71.205200000000005</v>
      </c>
      <c r="K2382" s="7">
        <v>46.774099999999997</v>
      </c>
      <c r="L2382" s="7">
        <v>-71.174000000000007</v>
      </c>
      <c r="M2382" s="10" t="str">
        <f t="shared" si="227"/>
        <v>C35</v>
      </c>
      <c r="N2382" s="10" t="str">
        <f t="shared" si="228"/>
        <v>C36</v>
      </c>
      <c r="O2382" s="5">
        <f t="shared" si="229"/>
        <v>10.892079043627838</v>
      </c>
      <c r="P2382" s="22">
        <f>O2382/Explications!$C$8</f>
        <v>0.36306930145426125</v>
      </c>
      <c r="Q2382" s="7" t="str">
        <f t="shared" si="230"/>
        <v>C36</v>
      </c>
      <c r="R2382" s="7" t="str">
        <f t="shared" si="231"/>
        <v>C35</v>
      </c>
      <c r="S2382" s="18">
        <f t="shared" si="232"/>
        <v>10.892079043627838</v>
      </c>
      <c r="T2382" s="18">
        <f>S2382/Explications!$C$8</f>
        <v>0.36306930145426125</v>
      </c>
    </row>
    <row r="2383" spans="7:20">
      <c r="G2383" s="7" t="s">
        <v>51</v>
      </c>
      <c r="H2383" s="7" t="s">
        <v>53</v>
      </c>
      <c r="I2383" s="7">
        <v>46.869700000000002</v>
      </c>
      <c r="J2383" s="7">
        <v>-71.205200000000005</v>
      </c>
      <c r="K2383" s="7">
        <v>46.808500000000002</v>
      </c>
      <c r="L2383" s="7">
        <v>-71.326599999999999</v>
      </c>
      <c r="M2383" s="10" t="str">
        <f t="shared" si="227"/>
        <v>C35</v>
      </c>
      <c r="N2383" s="10" t="str">
        <f t="shared" si="228"/>
        <v>C37</v>
      </c>
      <c r="O2383" s="5">
        <f t="shared" si="229"/>
        <v>11.470701989312886</v>
      </c>
      <c r="P2383" s="22">
        <f>O2383/Explications!$C$8</f>
        <v>0.38235673297709621</v>
      </c>
      <c r="Q2383" s="7" t="str">
        <f t="shared" si="230"/>
        <v>C37</v>
      </c>
      <c r="R2383" s="7" t="str">
        <f t="shared" si="231"/>
        <v>C35</v>
      </c>
      <c r="S2383" s="18">
        <f t="shared" si="232"/>
        <v>11.470701989312886</v>
      </c>
      <c r="T2383" s="18">
        <f>S2383/Explications!$C$8</f>
        <v>0.38235673297709621</v>
      </c>
    </row>
    <row r="2384" spans="7:20">
      <c r="G2384" s="7" t="s">
        <v>51</v>
      </c>
      <c r="H2384" s="7" t="s">
        <v>54</v>
      </c>
      <c r="I2384" s="7">
        <v>46.869700000000002</v>
      </c>
      <c r="J2384" s="7">
        <v>-71.205200000000005</v>
      </c>
      <c r="K2384" s="7">
        <v>46.797499999999999</v>
      </c>
      <c r="L2384" s="7">
        <v>-71.306100000000001</v>
      </c>
      <c r="M2384" s="10" t="str">
        <f t="shared" si="227"/>
        <v>C35</v>
      </c>
      <c r="N2384" s="10" t="str">
        <f t="shared" si="228"/>
        <v>C38</v>
      </c>
      <c r="O2384" s="5">
        <f t="shared" si="229"/>
        <v>11.107061936586346</v>
      </c>
      <c r="P2384" s="22">
        <f>O2384/Explications!$C$8</f>
        <v>0.37023539788621151</v>
      </c>
      <c r="Q2384" s="7" t="str">
        <f t="shared" si="230"/>
        <v>C38</v>
      </c>
      <c r="R2384" s="7" t="str">
        <f t="shared" si="231"/>
        <v>C35</v>
      </c>
      <c r="S2384" s="18">
        <f t="shared" si="232"/>
        <v>11.107061936586346</v>
      </c>
      <c r="T2384" s="18">
        <f>S2384/Explications!$C$8</f>
        <v>0.37023539788621151</v>
      </c>
    </row>
    <row r="2385" spans="7:20">
      <c r="G2385" s="7" t="s">
        <v>51</v>
      </c>
      <c r="H2385" s="7" t="s">
        <v>55</v>
      </c>
      <c r="I2385" s="7">
        <v>46.869700000000002</v>
      </c>
      <c r="J2385" s="7">
        <v>-71.205200000000005</v>
      </c>
      <c r="K2385" s="7">
        <v>46.8155</v>
      </c>
      <c r="L2385" s="7">
        <v>-71.268199999999993</v>
      </c>
      <c r="M2385" s="10" t="str">
        <f t="shared" si="227"/>
        <v>C35</v>
      </c>
      <c r="N2385" s="10" t="str">
        <f t="shared" si="228"/>
        <v>C39</v>
      </c>
      <c r="O2385" s="5">
        <f t="shared" si="229"/>
        <v>7.6994650260275055</v>
      </c>
      <c r="P2385" s="22">
        <f>O2385/Explications!$C$8</f>
        <v>0.25664883420091683</v>
      </c>
      <c r="Q2385" s="7" t="str">
        <f t="shared" si="230"/>
        <v>C39</v>
      </c>
      <c r="R2385" s="7" t="str">
        <f t="shared" si="231"/>
        <v>C35</v>
      </c>
      <c r="S2385" s="18">
        <f t="shared" si="232"/>
        <v>7.6994650260275055</v>
      </c>
      <c r="T2385" s="18">
        <f>S2385/Explications!$C$8</f>
        <v>0.25664883420091683</v>
      </c>
    </row>
    <row r="2386" spans="7:20">
      <c r="G2386" s="7" t="s">
        <v>51</v>
      </c>
      <c r="H2386" s="7" t="s">
        <v>56</v>
      </c>
      <c r="I2386" s="7">
        <v>46.869700000000002</v>
      </c>
      <c r="J2386" s="7">
        <v>-71.205200000000005</v>
      </c>
      <c r="K2386" s="7">
        <v>46.866700000000002</v>
      </c>
      <c r="L2386" s="7">
        <v>-71.215900000000005</v>
      </c>
      <c r="M2386" s="10" t="str">
        <f t="shared" si="227"/>
        <v>C35</v>
      </c>
      <c r="N2386" s="10" t="str">
        <f t="shared" si="228"/>
        <v>C40</v>
      </c>
      <c r="O2386" s="5">
        <f t="shared" si="229"/>
        <v>0.87917544652073154</v>
      </c>
      <c r="P2386" s="22">
        <f>O2386/Explications!$C$8</f>
        <v>2.9305848217357718E-2</v>
      </c>
      <c r="Q2386" s="7" t="str">
        <f t="shared" si="230"/>
        <v>C40</v>
      </c>
      <c r="R2386" s="7" t="str">
        <f t="shared" si="231"/>
        <v>C35</v>
      </c>
      <c r="S2386" s="18">
        <f t="shared" si="232"/>
        <v>0.87917544652073154</v>
      </c>
      <c r="T2386" s="18">
        <f>S2386/Explications!$C$8</f>
        <v>2.9305848217357718E-2</v>
      </c>
    </row>
    <row r="2387" spans="7:20">
      <c r="G2387" s="7" t="s">
        <v>51</v>
      </c>
      <c r="H2387" s="7" t="s">
        <v>57</v>
      </c>
      <c r="I2387" s="7">
        <v>46.869700000000002</v>
      </c>
      <c r="J2387" s="7">
        <v>-71.205200000000005</v>
      </c>
      <c r="K2387" s="7">
        <v>46.762099999999997</v>
      </c>
      <c r="L2387" s="7">
        <v>-71.235399999999998</v>
      </c>
      <c r="M2387" s="10" t="str">
        <f t="shared" si="227"/>
        <v>C35</v>
      </c>
      <c r="N2387" s="10" t="str">
        <f t="shared" si="228"/>
        <v>C41</v>
      </c>
      <c r="O2387" s="5">
        <f t="shared" si="229"/>
        <v>12.183277085403617</v>
      </c>
      <c r="P2387" s="22">
        <f>O2387/Explications!$C$8</f>
        <v>0.40610923618012057</v>
      </c>
      <c r="Q2387" s="7" t="str">
        <f t="shared" si="230"/>
        <v>C41</v>
      </c>
      <c r="R2387" s="7" t="str">
        <f t="shared" si="231"/>
        <v>C35</v>
      </c>
      <c r="S2387" s="18">
        <f t="shared" si="232"/>
        <v>12.183277085403617</v>
      </c>
      <c r="T2387" s="18">
        <f>S2387/Explications!$C$8</f>
        <v>0.40610923618012057</v>
      </c>
    </row>
    <row r="2388" spans="7:20">
      <c r="G2388" s="7" t="s">
        <v>51</v>
      </c>
      <c r="H2388" s="7" t="s">
        <v>58</v>
      </c>
      <c r="I2388" s="7">
        <v>46.869700000000002</v>
      </c>
      <c r="J2388" s="7">
        <v>-71.205200000000005</v>
      </c>
      <c r="K2388" s="7">
        <v>46.8157</v>
      </c>
      <c r="L2388" s="7">
        <v>-71.2042</v>
      </c>
      <c r="M2388" s="10" t="str">
        <f t="shared" si="227"/>
        <v>C35</v>
      </c>
      <c r="N2388" s="10" t="str">
        <f t="shared" si="228"/>
        <v>C42</v>
      </c>
      <c r="O2388" s="5">
        <f t="shared" si="229"/>
        <v>6.0050077211882282</v>
      </c>
      <c r="P2388" s="22">
        <f>O2388/Explications!$C$8</f>
        <v>0.20016692403960762</v>
      </c>
      <c r="Q2388" s="7" t="str">
        <f t="shared" si="230"/>
        <v>C42</v>
      </c>
      <c r="R2388" s="7" t="str">
        <f t="shared" si="231"/>
        <v>C35</v>
      </c>
      <c r="S2388" s="18">
        <f t="shared" si="232"/>
        <v>6.0050077211882282</v>
      </c>
      <c r="T2388" s="18">
        <f>S2388/Explications!$C$8</f>
        <v>0.20016692403960762</v>
      </c>
    </row>
    <row r="2389" spans="7:20">
      <c r="G2389" s="7" t="s">
        <v>51</v>
      </c>
      <c r="H2389" s="7" t="s">
        <v>59</v>
      </c>
      <c r="I2389" s="7">
        <v>46.869700000000002</v>
      </c>
      <c r="J2389" s="7">
        <v>-71.205200000000005</v>
      </c>
      <c r="K2389" s="7">
        <v>46.707000000000001</v>
      </c>
      <c r="L2389" s="7">
        <v>-71.217100000000002</v>
      </c>
      <c r="M2389" s="10" t="str">
        <f t="shared" si="227"/>
        <v>C35</v>
      </c>
      <c r="N2389" s="10" t="str">
        <f t="shared" si="228"/>
        <v>C43</v>
      </c>
      <c r="O2389" s="5">
        <f t="shared" si="229"/>
        <v>18.114086194674385</v>
      </c>
      <c r="P2389" s="22">
        <f>O2389/Explications!$C$8</f>
        <v>0.60380287315581282</v>
      </c>
      <c r="Q2389" s="7" t="str">
        <f t="shared" si="230"/>
        <v>C43</v>
      </c>
      <c r="R2389" s="7" t="str">
        <f t="shared" si="231"/>
        <v>C35</v>
      </c>
      <c r="S2389" s="18">
        <f t="shared" si="232"/>
        <v>18.114086194674385</v>
      </c>
      <c r="T2389" s="18">
        <f>S2389/Explications!$C$8</f>
        <v>0.60380287315581282</v>
      </c>
    </row>
    <row r="2390" spans="7:20">
      <c r="G2390" s="7" t="s">
        <v>51</v>
      </c>
      <c r="H2390" s="7" t="s">
        <v>60</v>
      </c>
      <c r="I2390" s="7">
        <v>46.869700000000002</v>
      </c>
      <c r="J2390" s="7">
        <v>-71.205200000000005</v>
      </c>
      <c r="K2390" s="7">
        <v>46.802900000000001</v>
      </c>
      <c r="L2390" s="7">
        <v>-71.228899999999996</v>
      </c>
      <c r="M2390" s="10" t="str">
        <f t="shared" si="227"/>
        <v>C35</v>
      </c>
      <c r="N2390" s="10" t="str">
        <f t="shared" si="228"/>
        <v>C44</v>
      </c>
      <c r="O2390" s="5">
        <f t="shared" si="229"/>
        <v>7.64346461932083</v>
      </c>
      <c r="P2390" s="22">
        <f>O2390/Explications!$C$8</f>
        <v>0.25478215397736098</v>
      </c>
      <c r="Q2390" s="7" t="str">
        <f t="shared" si="230"/>
        <v>C44</v>
      </c>
      <c r="R2390" s="7" t="str">
        <f t="shared" si="231"/>
        <v>C35</v>
      </c>
      <c r="S2390" s="18">
        <f t="shared" si="232"/>
        <v>7.64346461932083</v>
      </c>
      <c r="T2390" s="18">
        <f>S2390/Explications!$C$8</f>
        <v>0.25478215397736098</v>
      </c>
    </row>
    <row r="2391" spans="7:20">
      <c r="G2391" s="7" t="s">
        <v>51</v>
      </c>
      <c r="H2391" s="7" t="s">
        <v>61</v>
      </c>
      <c r="I2391" s="7">
        <v>46.869700000000002</v>
      </c>
      <c r="J2391" s="7">
        <v>-71.205200000000005</v>
      </c>
      <c r="K2391" s="7">
        <v>46.796900000000001</v>
      </c>
      <c r="L2391" s="7">
        <v>-71.3078</v>
      </c>
      <c r="M2391" s="10" t="str">
        <f t="shared" si="227"/>
        <v>C35</v>
      </c>
      <c r="N2391" s="10" t="str">
        <f t="shared" si="228"/>
        <v>C45</v>
      </c>
      <c r="O2391" s="5">
        <f t="shared" si="229"/>
        <v>11.244781904415015</v>
      </c>
      <c r="P2391" s="22">
        <f>O2391/Explications!$C$8</f>
        <v>0.37482606348050052</v>
      </c>
      <c r="Q2391" s="7" t="str">
        <f t="shared" si="230"/>
        <v>C45</v>
      </c>
      <c r="R2391" s="7" t="str">
        <f t="shared" si="231"/>
        <v>C35</v>
      </c>
      <c r="S2391" s="18">
        <f t="shared" si="232"/>
        <v>11.244781904415015</v>
      </c>
      <c r="T2391" s="18">
        <f>S2391/Explications!$C$8</f>
        <v>0.37482606348050052</v>
      </c>
    </row>
    <row r="2392" spans="7:20">
      <c r="G2392" s="7" t="s">
        <v>51</v>
      </c>
      <c r="H2392" s="7" t="s">
        <v>62</v>
      </c>
      <c r="I2392" s="7">
        <v>46.869700000000002</v>
      </c>
      <c r="J2392" s="7">
        <v>-71.205200000000005</v>
      </c>
      <c r="K2392" s="7">
        <v>46.803600000000003</v>
      </c>
      <c r="L2392" s="7">
        <v>-71.231099999999998</v>
      </c>
      <c r="M2392" s="10" t="str">
        <f t="shared" si="227"/>
        <v>C35</v>
      </c>
      <c r="N2392" s="10" t="str">
        <f t="shared" si="228"/>
        <v>C46</v>
      </c>
      <c r="O2392" s="5">
        <f t="shared" si="229"/>
        <v>7.6094437451104362</v>
      </c>
      <c r="P2392" s="22">
        <f>O2392/Explications!$C$8</f>
        <v>0.25364812483701454</v>
      </c>
      <c r="Q2392" s="7" t="str">
        <f t="shared" si="230"/>
        <v>C46</v>
      </c>
      <c r="R2392" s="7" t="str">
        <f t="shared" si="231"/>
        <v>C35</v>
      </c>
      <c r="S2392" s="18">
        <f t="shared" si="232"/>
        <v>7.6094437451104362</v>
      </c>
      <c r="T2392" s="18">
        <f>S2392/Explications!$C$8</f>
        <v>0.25364812483701454</v>
      </c>
    </row>
    <row r="2393" spans="7:20">
      <c r="G2393" s="7" t="s">
        <v>51</v>
      </c>
      <c r="H2393" s="7" t="s">
        <v>63</v>
      </c>
      <c r="I2393" s="7">
        <v>46.869700000000002</v>
      </c>
      <c r="J2393" s="7">
        <v>-71.205200000000005</v>
      </c>
      <c r="K2393" s="7">
        <v>46.802399999999999</v>
      </c>
      <c r="L2393" s="7">
        <v>-71.269800000000004</v>
      </c>
      <c r="M2393" s="10" t="str">
        <f t="shared" si="227"/>
        <v>C35</v>
      </c>
      <c r="N2393" s="10" t="str">
        <f t="shared" si="228"/>
        <v>C47</v>
      </c>
      <c r="O2393" s="5">
        <f t="shared" si="229"/>
        <v>8.9525596904235858</v>
      </c>
      <c r="P2393" s="22">
        <f>O2393/Explications!$C$8</f>
        <v>0.29841865634745285</v>
      </c>
      <c r="Q2393" s="7" t="str">
        <f t="shared" si="230"/>
        <v>C47</v>
      </c>
      <c r="R2393" s="7" t="str">
        <f t="shared" si="231"/>
        <v>C35</v>
      </c>
      <c r="S2393" s="18">
        <f t="shared" si="232"/>
        <v>8.9525596904235858</v>
      </c>
      <c r="T2393" s="18">
        <f>S2393/Explications!$C$8</f>
        <v>0.29841865634745285</v>
      </c>
    </row>
    <row r="2394" spans="7:20">
      <c r="G2394" s="7" t="s">
        <v>51</v>
      </c>
      <c r="H2394" s="7" t="s">
        <v>64</v>
      </c>
      <c r="I2394" s="7">
        <v>46.869700000000002</v>
      </c>
      <c r="J2394" s="7">
        <v>-71.205200000000005</v>
      </c>
      <c r="K2394" s="7">
        <v>46.826799999999999</v>
      </c>
      <c r="L2394" s="7">
        <v>-71.224199999999996</v>
      </c>
      <c r="M2394" s="10" t="str">
        <f t="shared" si="227"/>
        <v>C35</v>
      </c>
      <c r="N2394" s="10" t="str">
        <f t="shared" si="228"/>
        <v>C48</v>
      </c>
      <c r="O2394" s="5">
        <f t="shared" si="229"/>
        <v>4.9843029884926295</v>
      </c>
      <c r="P2394" s="22">
        <f>O2394/Explications!$C$8</f>
        <v>0.16614343294975431</v>
      </c>
      <c r="Q2394" s="7" t="str">
        <f t="shared" si="230"/>
        <v>C48</v>
      </c>
      <c r="R2394" s="7" t="str">
        <f t="shared" si="231"/>
        <v>C35</v>
      </c>
      <c r="S2394" s="18">
        <f t="shared" si="232"/>
        <v>4.9843029884926295</v>
      </c>
      <c r="T2394" s="18">
        <f>S2394/Explications!$C$8</f>
        <v>0.16614343294975431</v>
      </c>
    </row>
    <row r="2395" spans="7:20">
      <c r="G2395" s="7" t="s">
        <v>51</v>
      </c>
      <c r="H2395" s="7" t="s">
        <v>65</v>
      </c>
      <c r="I2395" s="7">
        <v>46.869700000000002</v>
      </c>
      <c r="J2395" s="7">
        <v>-71.205200000000005</v>
      </c>
      <c r="K2395" s="7">
        <v>46.864100000000001</v>
      </c>
      <c r="L2395" s="7">
        <v>-71.255499999999998</v>
      </c>
      <c r="M2395" s="10" t="str">
        <f t="shared" si="227"/>
        <v>C35</v>
      </c>
      <c r="N2395" s="10" t="str">
        <f t="shared" si="228"/>
        <v>C49</v>
      </c>
      <c r="O2395" s="5">
        <f t="shared" si="229"/>
        <v>3.8743477960234438</v>
      </c>
      <c r="P2395" s="22">
        <f>O2395/Explications!$C$8</f>
        <v>0.1291449265341148</v>
      </c>
      <c r="Q2395" s="7" t="str">
        <f t="shared" si="230"/>
        <v>C49</v>
      </c>
      <c r="R2395" s="7" t="str">
        <f t="shared" si="231"/>
        <v>C35</v>
      </c>
      <c r="S2395" s="18">
        <f t="shared" si="232"/>
        <v>3.8743477960234438</v>
      </c>
      <c r="T2395" s="18">
        <f>S2395/Explications!$C$8</f>
        <v>0.1291449265341148</v>
      </c>
    </row>
    <row r="2396" spans="7:20">
      <c r="G2396" s="7" t="s">
        <v>51</v>
      </c>
      <c r="H2396" s="7" t="s">
        <v>66</v>
      </c>
      <c r="I2396" s="7">
        <v>46.869700000000002</v>
      </c>
      <c r="J2396" s="7">
        <v>-71.205200000000005</v>
      </c>
      <c r="K2396" s="7">
        <v>46.843800000000002</v>
      </c>
      <c r="L2396" s="7">
        <v>-71.247299999999996</v>
      </c>
      <c r="M2396" s="10" t="str">
        <f t="shared" si="227"/>
        <v>C35</v>
      </c>
      <c r="N2396" s="10" t="str">
        <f t="shared" si="228"/>
        <v>C50</v>
      </c>
      <c r="O2396" s="5">
        <f t="shared" si="229"/>
        <v>4.3060121466712786</v>
      </c>
      <c r="P2396" s="22">
        <f>O2396/Explications!$C$8</f>
        <v>0.14353373822237595</v>
      </c>
      <c r="Q2396" s="7" t="str">
        <f t="shared" si="230"/>
        <v>C50</v>
      </c>
      <c r="R2396" s="7" t="str">
        <f t="shared" si="231"/>
        <v>C35</v>
      </c>
      <c r="S2396" s="18">
        <f t="shared" si="232"/>
        <v>4.3060121466712786</v>
      </c>
      <c r="T2396" s="18">
        <f>S2396/Explications!$C$8</f>
        <v>0.14353373822237595</v>
      </c>
    </row>
    <row r="2397" spans="7:20">
      <c r="G2397" s="7" t="s">
        <v>51</v>
      </c>
      <c r="H2397" s="7" t="s">
        <v>67</v>
      </c>
      <c r="I2397" s="7">
        <v>46.869700000000002</v>
      </c>
      <c r="J2397" s="7">
        <v>-71.205200000000005</v>
      </c>
      <c r="K2397" s="7">
        <v>46.765599999999999</v>
      </c>
      <c r="L2397" s="7">
        <v>-71.312100000000001</v>
      </c>
      <c r="M2397" s="10" t="str">
        <f t="shared" si="227"/>
        <v>C35</v>
      </c>
      <c r="N2397" s="10" t="str">
        <f t="shared" si="228"/>
        <v>C51</v>
      </c>
      <c r="O2397" s="5">
        <f t="shared" si="229"/>
        <v>14.147701396466843</v>
      </c>
      <c r="P2397" s="22">
        <f>O2397/Explications!$C$8</f>
        <v>0.47159004654889475</v>
      </c>
      <c r="Q2397" s="7" t="str">
        <f t="shared" si="230"/>
        <v>C51</v>
      </c>
      <c r="R2397" s="7" t="str">
        <f t="shared" si="231"/>
        <v>C35</v>
      </c>
      <c r="S2397" s="18">
        <f t="shared" si="232"/>
        <v>14.147701396466843</v>
      </c>
      <c r="T2397" s="18">
        <f>S2397/Explications!$C$8</f>
        <v>0.47159004654889475</v>
      </c>
    </row>
    <row r="2398" spans="7:20">
      <c r="G2398" s="7" t="s">
        <v>51</v>
      </c>
      <c r="H2398" s="7" t="s">
        <v>68</v>
      </c>
      <c r="I2398" s="7">
        <v>46.869700000000002</v>
      </c>
      <c r="J2398" s="7">
        <v>-71.205200000000005</v>
      </c>
      <c r="K2398" s="7">
        <v>46.787599999999998</v>
      </c>
      <c r="L2398" s="7">
        <v>-71.288600000000002</v>
      </c>
      <c r="M2398" s="10" t="str">
        <f t="shared" si="227"/>
        <v>C35</v>
      </c>
      <c r="N2398" s="10" t="str">
        <f t="shared" si="228"/>
        <v>C52</v>
      </c>
      <c r="O2398" s="5">
        <f t="shared" si="229"/>
        <v>11.117460147951357</v>
      </c>
      <c r="P2398" s="22">
        <f>O2398/Explications!$C$8</f>
        <v>0.37058200493171189</v>
      </c>
      <c r="Q2398" s="7" t="str">
        <f t="shared" si="230"/>
        <v>C52</v>
      </c>
      <c r="R2398" s="7" t="str">
        <f t="shared" si="231"/>
        <v>C35</v>
      </c>
      <c r="S2398" s="18">
        <f t="shared" si="232"/>
        <v>11.117460147951357</v>
      </c>
      <c r="T2398" s="18">
        <f>S2398/Explications!$C$8</f>
        <v>0.37058200493171189</v>
      </c>
    </row>
    <row r="2399" spans="7:20">
      <c r="G2399" s="7" t="s">
        <v>51</v>
      </c>
      <c r="H2399" s="7" t="s">
        <v>69</v>
      </c>
      <c r="I2399" s="7">
        <v>46.869700000000002</v>
      </c>
      <c r="J2399" s="7">
        <v>-71.205200000000005</v>
      </c>
      <c r="K2399" s="7">
        <v>46.764600000000002</v>
      </c>
      <c r="L2399" s="7">
        <v>-71.308300000000003</v>
      </c>
      <c r="M2399" s="10" t="str">
        <f t="shared" si="227"/>
        <v>C35</v>
      </c>
      <c r="N2399" s="10" t="str">
        <f t="shared" si="228"/>
        <v>C53</v>
      </c>
      <c r="O2399" s="5">
        <f t="shared" si="229"/>
        <v>14.075676191193095</v>
      </c>
      <c r="P2399" s="22">
        <f>O2399/Explications!$C$8</f>
        <v>0.46918920637310318</v>
      </c>
      <c r="Q2399" s="7" t="str">
        <f t="shared" si="230"/>
        <v>C53</v>
      </c>
      <c r="R2399" s="7" t="str">
        <f t="shared" si="231"/>
        <v>C35</v>
      </c>
      <c r="S2399" s="18">
        <f t="shared" si="232"/>
        <v>14.075676191193095</v>
      </c>
      <c r="T2399" s="18">
        <f>S2399/Explications!$C$8</f>
        <v>0.46918920637310318</v>
      </c>
    </row>
    <row r="2400" spans="7:20">
      <c r="G2400" s="7" t="s">
        <v>51</v>
      </c>
      <c r="H2400" s="7" t="s">
        <v>70</v>
      </c>
      <c r="I2400" s="7">
        <v>46.869700000000002</v>
      </c>
      <c r="J2400" s="7">
        <v>-71.205200000000005</v>
      </c>
      <c r="K2400" s="7">
        <v>46.849699999999999</v>
      </c>
      <c r="L2400" s="7">
        <v>-71.097399999999993</v>
      </c>
      <c r="M2400" s="10" t="str">
        <f t="shared" si="227"/>
        <v>C35</v>
      </c>
      <c r="N2400" s="10" t="str">
        <f t="shared" si="228"/>
        <v>C54</v>
      </c>
      <c r="O2400" s="5">
        <f t="shared" si="229"/>
        <v>8.4927710971156234</v>
      </c>
      <c r="P2400" s="22">
        <f>O2400/Explications!$C$8</f>
        <v>0.28309236990385411</v>
      </c>
      <c r="Q2400" s="7" t="str">
        <f t="shared" si="230"/>
        <v>C54</v>
      </c>
      <c r="R2400" s="7" t="str">
        <f t="shared" si="231"/>
        <v>C35</v>
      </c>
      <c r="S2400" s="18">
        <f t="shared" si="232"/>
        <v>8.4927710971156234</v>
      </c>
      <c r="T2400" s="18">
        <f>S2400/Explications!$C$8</f>
        <v>0.28309236990385411</v>
      </c>
    </row>
    <row r="2401" spans="7:20">
      <c r="G2401" s="7" t="s">
        <v>51</v>
      </c>
      <c r="H2401" s="7" t="s">
        <v>71</v>
      </c>
      <c r="I2401" s="7">
        <v>46.869700000000002</v>
      </c>
      <c r="J2401" s="7">
        <v>-71.205200000000005</v>
      </c>
      <c r="K2401" s="7">
        <v>46.788899999999998</v>
      </c>
      <c r="L2401" s="7">
        <v>-71.321399999999997</v>
      </c>
      <c r="M2401" s="10" t="str">
        <f t="shared" si="227"/>
        <v>C35</v>
      </c>
      <c r="N2401" s="10" t="str">
        <f t="shared" si="228"/>
        <v>C55</v>
      </c>
      <c r="O2401" s="5">
        <f t="shared" si="229"/>
        <v>12.604351091134776</v>
      </c>
      <c r="P2401" s="22">
        <f>O2401/Explications!$C$8</f>
        <v>0.42014503637115919</v>
      </c>
      <c r="Q2401" s="7" t="str">
        <f t="shared" si="230"/>
        <v>C55</v>
      </c>
      <c r="R2401" s="7" t="str">
        <f t="shared" si="231"/>
        <v>C35</v>
      </c>
      <c r="S2401" s="18">
        <f t="shared" si="232"/>
        <v>12.604351091134776</v>
      </c>
      <c r="T2401" s="18">
        <f>S2401/Explications!$C$8</f>
        <v>0.42014503637115919</v>
      </c>
    </row>
    <row r="2402" spans="7:20">
      <c r="G2402" s="7" t="s">
        <v>51</v>
      </c>
      <c r="H2402" s="7" t="s">
        <v>72</v>
      </c>
      <c r="I2402" s="7">
        <v>46.869700000000002</v>
      </c>
      <c r="J2402" s="7">
        <v>-71.205200000000005</v>
      </c>
      <c r="K2402" s="7">
        <v>46.795400000000001</v>
      </c>
      <c r="L2402" s="7">
        <v>-71.232600000000005</v>
      </c>
      <c r="M2402" s="10" t="str">
        <f t="shared" si="227"/>
        <v>C35</v>
      </c>
      <c r="N2402" s="10" t="str">
        <f t="shared" si="228"/>
        <v>C56</v>
      </c>
      <c r="O2402" s="5">
        <f t="shared" si="229"/>
        <v>8.5206618436461952</v>
      </c>
      <c r="P2402" s="22">
        <f>O2402/Explications!$C$8</f>
        <v>0.28402206145487319</v>
      </c>
      <c r="Q2402" s="7" t="str">
        <f t="shared" si="230"/>
        <v>C56</v>
      </c>
      <c r="R2402" s="7" t="str">
        <f t="shared" si="231"/>
        <v>C35</v>
      </c>
      <c r="S2402" s="18">
        <f t="shared" si="232"/>
        <v>8.5206618436461952</v>
      </c>
      <c r="T2402" s="18">
        <f>S2402/Explications!$C$8</f>
        <v>0.28402206145487319</v>
      </c>
    </row>
    <row r="2403" spans="7:20">
      <c r="G2403" s="7" t="s">
        <v>51</v>
      </c>
      <c r="H2403" s="7" t="s">
        <v>73</v>
      </c>
      <c r="I2403" s="7">
        <v>46.869700000000002</v>
      </c>
      <c r="J2403" s="7">
        <v>-71.205200000000005</v>
      </c>
      <c r="K2403" s="7">
        <v>46.801200000000001</v>
      </c>
      <c r="L2403" s="7">
        <v>-71.224999999999994</v>
      </c>
      <c r="M2403" s="10" t="str">
        <f t="shared" si="227"/>
        <v>C35</v>
      </c>
      <c r="N2403" s="10" t="str">
        <f t="shared" si="228"/>
        <v>C57</v>
      </c>
      <c r="O2403" s="5">
        <f t="shared" si="229"/>
        <v>7.7643362452098081</v>
      </c>
      <c r="P2403" s="22">
        <f>O2403/Explications!$C$8</f>
        <v>0.25881120817366027</v>
      </c>
      <c r="Q2403" s="7" t="str">
        <f t="shared" si="230"/>
        <v>C57</v>
      </c>
      <c r="R2403" s="7" t="str">
        <f t="shared" si="231"/>
        <v>C35</v>
      </c>
      <c r="S2403" s="18">
        <f t="shared" si="232"/>
        <v>7.7643362452098081</v>
      </c>
      <c r="T2403" s="18">
        <f>S2403/Explications!$C$8</f>
        <v>0.25881120817366027</v>
      </c>
    </row>
    <row r="2404" spans="7:20">
      <c r="G2404" s="7" t="s">
        <v>51</v>
      </c>
      <c r="H2404" s="7" t="s">
        <v>74</v>
      </c>
      <c r="I2404" s="7">
        <v>46.869700000000002</v>
      </c>
      <c r="J2404" s="7">
        <v>-71.205200000000005</v>
      </c>
      <c r="K2404" s="7">
        <v>46.773200000000003</v>
      </c>
      <c r="L2404" s="7">
        <v>-71.275899999999993</v>
      </c>
      <c r="M2404" s="10" t="str">
        <f t="shared" si="227"/>
        <v>C35</v>
      </c>
      <c r="N2404" s="10" t="str">
        <f t="shared" si="228"/>
        <v>C58</v>
      </c>
      <c r="O2404" s="5">
        <f t="shared" si="229"/>
        <v>12.003231439755398</v>
      </c>
      <c r="P2404" s="22">
        <f>O2404/Explications!$C$8</f>
        <v>0.40010771465851325</v>
      </c>
      <c r="Q2404" s="7" t="str">
        <f t="shared" si="230"/>
        <v>C58</v>
      </c>
      <c r="R2404" s="7" t="str">
        <f t="shared" si="231"/>
        <v>C35</v>
      </c>
      <c r="S2404" s="18">
        <f t="shared" si="232"/>
        <v>12.003231439755398</v>
      </c>
      <c r="T2404" s="18">
        <f>S2404/Explications!$C$8</f>
        <v>0.40010771465851325</v>
      </c>
    </row>
    <row r="2405" spans="7:20">
      <c r="G2405" s="7" t="s">
        <v>51</v>
      </c>
      <c r="H2405" s="7" t="s">
        <v>75</v>
      </c>
      <c r="I2405" s="7">
        <v>46.869700000000002</v>
      </c>
      <c r="J2405" s="7">
        <v>-71.205200000000005</v>
      </c>
      <c r="K2405" s="7">
        <v>46.814399999999999</v>
      </c>
      <c r="L2405" s="7">
        <v>-71.225700000000003</v>
      </c>
      <c r="M2405" s="10" t="str">
        <f t="shared" si="227"/>
        <v>C35</v>
      </c>
      <c r="N2405" s="10" t="str">
        <f t="shared" si="228"/>
        <v>C59</v>
      </c>
      <c r="O2405" s="5">
        <f t="shared" si="229"/>
        <v>6.3436810614296393</v>
      </c>
      <c r="P2405" s="22">
        <f>O2405/Explications!$C$8</f>
        <v>0.21145603538098798</v>
      </c>
      <c r="Q2405" s="7" t="str">
        <f t="shared" si="230"/>
        <v>C59</v>
      </c>
      <c r="R2405" s="7" t="str">
        <f t="shared" si="231"/>
        <v>C35</v>
      </c>
      <c r="S2405" s="18">
        <f t="shared" si="232"/>
        <v>6.3436810614296393</v>
      </c>
      <c r="T2405" s="18">
        <f>S2405/Explications!$C$8</f>
        <v>0.21145603538098798</v>
      </c>
    </row>
    <row r="2406" spans="7:20">
      <c r="G2406" s="7" t="s">
        <v>51</v>
      </c>
      <c r="H2406" s="7" t="s">
        <v>76</v>
      </c>
      <c r="I2406" s="7">
        <v>46.869700000000002</v>
      </c>
      <c r="J2406" s="7">
        <v>-71.205200000000005</v>
      </c>
      <c r="K2406" s="7">
        <v>46.772500000000001</v>
      </c>
      <c r="L2406" s="7">
        <v>-71.276300000000006</v>
      </c>
      <c r="M2406" s="10" t="str">
        <f t="shared" si="227"/>
        <v>C35</v>
      </c>
      <c r="N2406" s="10" t="str">
        <f t="shared" si="228"/>
        <v>C60</v>
      </c>
      <c r="O2406" s="5">
        <f t="shared" si="229"/>
        <v>12.086471546981613</v>
      </c>
      <c r="P2406" s="22">
        <f>O2406/Explications!$C$8</f>
        <v>0.4028823848993871</v>
      </c>
      <c r="Q2406" s="7" t="str">
        <f t="shared" si="230"/>
        <v>C60</v>
      </c>
      <c r="R2406" s="7" t="str">
        <f t="shared" si="231"/>
        <v>C35</v>
      </c>
      <c r="S2406" s="18">
        <f t="shared" si="232"/>
        <v>12.086471546981613</v>
      </c>
      <c r="T2406" s="18">
        <f>S2406/Explications!$C$8</f>
        <v>0.4028823848993871</v>
      </c>
    </row>
    <row r="2407" spans="7:20">
      <c r="G2407" s="7" t="s">
        <v>51</v>
      </c>
      <c r="H2407" s="7" t="s">
        <v>77</v>
      </c>
      <c r="I2407" s="7">
        <v>46.869700000000002</v>
      </c>
      <c r="J2407" s="7">
        <v>-71.205200000000005</v>
      </c>
      <c r="K2407" s="7">
        <v>46.810899999999997</v>
      </c>
      <c r="L2407" s="7">
        <v>-71.215599999999995</v>
      </c>
      <c r="M2407" s="10" t="str">
        <f t="shared" si="227"/>
        <v>C35</v>
      </c>
      <c r="N2407" s="10" t="str">
        <f t="shared" si="228"/>
        <v>C61</v>
      </c>
      <c r="O2407" s="5">
        <f t="shared" si="229"/>
        <v>6.5859398157551903</v>
      </c>
      <c r="P2407" s="22">
        <f>O2407/Explications!$C$8</f>
        <v>0.21953132719183968</v>
      </c>
      <c r="Q2407" s="7" t="str">
        <f t="shared" si="230"/>
        <v>C61</v>
      </c>
      <c r="R2407" s="7" t="str">
        <f t="shared" si="231"/>
        <v>C35</v>
      </c>
      <c r="S2407" s="18">
        <f t="shared" si="232"/>
        <v>6.5859398157551903</v>
      </c>
      <c r="T2407" s="18">
        <f>S2407/Explications!$C$8</f>
        <v>0.21953132719183968</v>
      </c>
    </row>
    <row r="2408" spans="7:20">
      <c r="G2408" s="7" t="s">
        <v>51</v>
      </c>
      <c r="H2408" s="7" t="s">
        <v>78</v>
      </c>
      <c r="I2408" s="7">
        <v>46.869700000000002</v>
      </c>
      <c r="J2408" s="7">
        <v>-71.205200000000005</v>
      </c>
      <c r="K2408" s="7">
        <v>46.795200000000001</v>
      </c>
      <c r="L2408" s="7">
        <v>-71.245099999999994</v>
      </c>
      <c r="M2408" s="10" t="str">
        <f t="shared" si="227"/>
        <v>C35</v>
      </c>
      <c r="N2408" s="10" t="str">
        <f t="shared" si="228"/>
        <v>C62</v>
      </c>
      <c r="O2408" s="5">
        <f t="shared" si="229"/>
        <v>8.8225821356134979</v>
      </c>
      <c r="P2408" s="22">
        <f>O2408/Explications!$C$8</f>
        <v>0.2940860711871166</v>
      </c>
      <c r="Q2408" s="7" t="str">
        <f t="shared" si="230"/>
        <v>C62</v>
      </c>
      <c r="R2408" s="7" t="str">
        <f t="shared" si="231"/>
        <v>C35</v>
      </c>
      <c r="S2408" s="18">
        <f t="shared" si="232"/>
        <v>8.8225821356134979</v>
      </c>
      <c r="T2408" s="18">
        <f>S2408/Explications!$C$8</f>
        <v>0.2940860711871166</v>
      </c>
    </row>
    <row r="2409" spans="7:20">
      <c r="G2409" s="7" t="s">
        <v>51</v>
      </c>
      <c r="H2409" s="7" t="s">
        <v>79</v>
      </c>
      <c r="I2409" s="7">
        <v>46.869700000000002</v>
      </c>
      <c r="J2409" s="7">
        <v>-71.205200000000005</v>
      </c>
      <c r="K2409" s="7">
        <v>46.822000000000003</v>
      </c>
      <c r="L2409" s="7">
        <v>-71.345699999999994</v>
      </c>
      <c r="M2409" s="10" t="str">
        <f t="shared" si="227"/>
        <v>C35</v>
      </c>
      <c r="N2409" s="10" t="str">
        <f t="shared" si="228"/>
        <v>C63</v>
      </c>
      <c r="O2409" s="5">
        <f t="shared" si="229"/>
        <v>11.929456417126877</v>
      </c>
      <c r="P2409" s="22">
        <f>O2409/Explications!$C$8</f>
        <v>0.39764854723756254</v>
      </c>
      <c r="Q2409" s="7" t="str">
        <f t="shared" si="230"/>
        <v>C63</v>
      </c>
      <c r="R2409" s="7" t="str">
        <f t="shared" si="231"/>
        <v>C35</v>
      </c>
      <c r="S2409" s="18">
        <f t="shared" si="232"/>
        <v>11.929456417126877</v>
      </c>
      <c r="T2409" s="18">
        <f>S2409/Explications!$C$8</f>
        <v>0.39764854723756254</v>
      </c>
    </row>
    <row r="2410" spans="7:20">
      <c r="G2410" s="7" t="s">
        <v>51</v>
      </c>
      <c r="H2410" s="7" t="s">
        <v>80</v>
      </c>
      <c r="I2410" s="7">
        <v>46.869700000000002</v>
      </c>
      <c r="J2410" s="7">
        <v>-71.205200000000005</v>
      </c>
      <c r="K2410" s="7">
        <v>46.779400000000003</v>
      </c>
      <c r="L2410" s="7">
        <v>-71.350399999999993</v>
      </c>
      <c r="M2410" s="10" t="str">
        <f t="shared" si="227"/>
        <v>C35</v>
      </c>
      <c r="N2410" s="10" t="str">
        <f t="shared" si="228"/>
        <v>C64</v>
      </c>
      <c r="O2410" s="5">
        <f t="shared" si="229"/>
        <v>14.928586723951872</v>
      </c>
      <c r="P2410" s="22">
        <f>O2410/Explications!$C$8</f>
        <v>0.49761955746506242</v>
      </c>
      <c r="Q2410" s="7" t="str">
        <f t="shared" si="230"/>
        <v>C64</v>
      </c>
      <c r="R2410" s="7" t="str">
        <f t="shared" si="231"/>
        <v>C35</v>
      </c>
      <c r="S2410" s="18">
        <f t="shared" si="232"/>
        <v>14.928586723951872</v>
      </c>
      <c r="T2410" s="18">
        <f>S2410/Explications!$C$8</f>
        <v>0.49761955746506242</v>
      </c>
    </row>
    <row r="2411" spans="7:20">
      <c r="G2411" s="7" t="s">
        <v>51</v>
      </c>
      <c r="H2411" s="7" t="s">
        <v>81</v>
      </c>
      <c r="I2411" s="7">
        <v>46.869700000000002</v>
      </c>
      <c r="J2411" s="7">
        <v>-71.205200000000005</v>
      </c>
      <c r="K2411" s="7">
        <v>46.772300000000001</v>
      </c>
      <c r="L2411" s="7">
        <v>-71.279799999999994</v>
      </c>
      <c r="M2411" s="10" t="str">
        <f t="shared" si="227"/>
        <v>C35</v>
      </c>
      <c r="N2411" s="10" t="str">
        <f t="shared" si="228"/>
        <v>C65</v>
      </c>
      <c r="O2411" s="5">
        <f t="shared" si="229"/>
        <v>12.227691928872455</v>
      </c>
      <c r="P2411" s="22">
        <f>O2411/Explications!$C$8</f>
        <v>0.40758973096241513</v>
      </c>
      <c r="Q2411" s="7" t="str">
        <f t="shared" si="230"/>
        <v>C65</v>
      </c>
      <c r="R2411" s="7" t="str">
        <f t="shared" si="231"/>
        <v>C35</v>
      </c>
      <c r="S2411" s="18">
        <f t="shared" si="232"/>
        <v>12.227691928872455</v>
      </c>
      <c r="T2411" s="18">
        <f>S2411/Explications!$C$8</f>
        <v>0.40758973096241513</v>
      </c>
    </row>
    <row r="2412" spans="7:20">
      <c r="G2412" s="7" t="s">
        <v>51</v>
      </c>
      <c r="H2412" s="7" t="s">
        <v>82</v>
      </c>
      <c r="I2412" s="7">
        <v>46.869700000000002</v>
      </c>
      <c r="J2412" s="7">
        <v>-71.205200000000005</v>
      </c>
      <c r="K2412" s="7">
        <v>46.814900000000002</v>
      </c>
      <c r="L2412" s="7">
        <v>-71.225200000000001</v>
      </c>
      <c r="M2412" s="10" t="str">
        <f t="shared" si="227"/>
        <v>C35</v>
      </c>
      <c r="N2412" s="10" t="str">
        <f t="shared" si="228"/>
        <v>C66</v>
      </c>
      <c r="O2412" s="5">
        <f t="shared" si="229"/>
        <v>6.2804830991589089</v>
      </c>
      <c r="P2412" s="22">
        <f>O2412/Explications!$C$8</f>
        <v>0.20934943663863029</v>
      </c>
      <c r="Q2412" s="7" t="str">
        <f t="shared" si="230"/>
        <v>C66</v>
      </c>
      <c r="R2412" s="7" t="str">
        <f t="shared" si="231"/>
        <v>C35</v>
      </c>
      <c r="S2412" s="18">
        <f t="shared" si="232"/>
        <v>6.2804830991589089</v>
      </c>
      <c r="T2412" s="18">
        <f>S2412/Explications!$C$8</f>
        <v>0.20934943663863029</v>
      </c>
    </row>
    <row r="2413" spans="7:20">
      <c r="G2413" s="7" t="s">
        <v>51</v>
      </c>
      <c r="H2413" s="7" t="s">
        <v>83</v>
      </c>
      <c r="I2413" s="7">
        <v>46.869700000000002</v>
      </c>
      <c r="J2413" s="7">
        <v>-71.205200000000005</v>
      </c>
      <c r="K2413" s="7">
        <v>46.814700000000002</v>
      </c>
      <c r="L2413" s="7">
        <v>-71.207300000000004</v>
      </c>
      <c r="M2413" s="10" t="str">
        <f t="shared" si="227"/>
        <v>C35</v>
      </c>
      <c r="N2413" s="10" t="str">
        <f t="shared" si="228"/>
        <v>C67</v>
      </c>
      <c r="O2413" s="5">
        <f t="shared" si="229"/>
        <v>6.1178063282251465</v>
      </c>
      <c r="P2413" s="22">
        <f>O2413/Explications!$C$8</f>
        <v>0.20392687760750489</v>
      </c>
      <c r="Q2413" s="7" t="str">
        <f t="shared" si="230"/>
        <v>C67</v>
      </c>
      <c r="R2413" s="7" t="str">
        <f t="shared" si="231"/>
        <v>C35</v>
      </c>
      <c r="S2413" s="18">
        <f t="shared" si="232"/>
        <v>6.1178063282251465</v>
      </c>
      <c r="T2413" s="18">
        <f>S2413/Explications!$C$8</f>
        <v>0.20392687760750489</v>
      </c>
    </row>
    <row r="2414" spans="7:20">
      <c r="G2414" s="7" t="s">
        <v>51</v>
      </c>
      <c r="H2414" s="7" t="s">
        <v>84</v>
      </c>
      <c r="I2414" s="7">
        <v>46.869700000000002</v>
      </c>
      <c r="J2414" s="7">
        <v>-71.205200000000005</v>
      </c>
      <c r="K2414" s="7">
        <v>46.815600000000003</v>
      </c>
      <c r="L2414" s="7">
        <v>-71.2029</v>
      </c>
      <c r="M2414" s="10" t="str">
        <f t="shared" si="227"/>
        <v>C35</v>
      </c>
      <c r="N2414" s="10" t="str">
        <f t="shared" si="228"/>
        <v>C68</v>
      </c>
      <c r="O2414" s="5">
        <f t="shared" si="229"/>
        <v>6.0181884892632169</v>
      </c>
      <c r="P2414" s="22">
        <f>O2414/Explications!$C$8</f>
        <v>0.20060628297544056</v>
      </c>
      <c r="Q2414" s="7" t="str">
        <f t="shared" si="230"/>
        <v>C68</v>
      </c>
      <c r="R2414" s="7" t="str">
        <f t="shared" si="231"/>
        <v>C35</v>
      </c>
      <c r="S2414" s="18">
        <f t="shared" si="232"/>
        <v>6.0181884892632169</v>
      </c>
      <c r="T2414" s="18">
        <f>S2414/Explications!$C$8</f>
        <v>0.20060628297544056</v>
      </c>
    </row>
    <row r="2415" spans="7:20">
      <c r="G2415" s="7" t="s">
        <v>51</v>
      </c>
      <c r="H2415" s="7" t="s">
        <v>85</v>
      </c>
      <c r="I2415" s="7">
        <v>46.869700000000002</v>
      </c>
      <c r="J2415" s="7">
        <v>-71.205200000000005</v>
      </c>
      <c r="K2415" s="7">
        <v>46.821899999999999</v>
      </c>
      <c r="L2415" s="7">
        <v>-71.249899999999997</v>
      </c>
      <c r="M2415" s="10" t="str">
        <f t="shared" si="227"/>
        <v>C35</v>
      </c>
      <c r="N2415" s="10" t="str">
        <f t="shared" si="228"/>
        <v>C69</v>
      </c>
      <c r="O2415" s="5">
        <f t="shared" si="229"/>
        <v>6.3093300851200524</v>
      </c>
      <c r="P2415" s="22">
        <f>O2415/Explications!$C$8</f>
        <v>0.21031100283733509</v>
      </c>
      <c r="Q2415" s="7" t="str">
        <f t="shared" si="230"/>
        <v>C69</v>
      </c>
      <c r="R2415" s="7" t="str">
        <f t="shared" si="231"/>
        <v>C35</v>
      </c>
      <c r="S2415" s="18">
        <f t="shared" si="232"/>
        <v>6.3093300851200524</v>
      </c>
      <c r="T2415" s="18">
        <f>S2415/Explications!$C$8</f>
        <v>0.21031100283733509</v>
      </c>
    </row>
    <row r="2416" spans="7:20">
      <c r="G2416" s="7" t="s">
        <v>51</v>
      </c>
      <c r="H2416" s="7" t="s">
        <v>86</v>
      </c>
      <c r="I2416" s="7">
        <v>46.869700000000002</v>
      </c>
      <c r="J2416" s="7">
        <v>-71.205200000000005</v>
      </c>
      <c r="K2416" s="7">
        <v>46.8872</v>
      </c>
      <c r="L2416" s="7">
        <v>-71.27</v>
      </c>
      <c r="M2416" s="10" t="str">
        <f t="shared" si="227"/>
        <v>C35</v>
      </c>
      <c r="N2416" s="10" t="str">
        <f t="shared" si="228"/>
        <v>C70</v>
      </c>
      <c r="O2416" s="5">
        <f t="shared" si="229"/>
        <v>5.2957304328705881</v>
      </c>
      <c r="P2416" s="22">
        <f>O2416/Explications!$C$8</f>
        <v>0.17652434776235293</v>
      </c>
      <c r="Q2416" s="7" t="str">
        <f t="shared" si="230"/>
        <v>C70</v>
      </c>
      <c r="R2416" s="7" t="str">
        <f t="shared" si="231"/>
        <v>C35</v>
      </c>
      <c r="S2416" s="18">
        <f t="shared" si="232"/>
        <v>5.2957304328705881</v>
      </c>
      <c r="T2416" s="18">
        <f>S2416/Explications!$C$8</f>
        <v>0.17652434776235293</v>
      </c>
    </row>
    <row r="2417" spans="7:20">
      <c r="G2417" s="7" t="s">
        <v>51</v>
      </c>
      <c r="H2417" s="7" t="s">
        <v>87</v>
      </c>
      <c r="I2417" s="7">
        <v>46.869700000000002</v>
      </c>
      <c r="J2417" s="7">
        <v>-71.205200000000005</v>
      </c>
      <c r="K2417" s="7">
        <v>46.816299999999998</v>
      </c>
      <c r="L2417" s="7">
        <v>-71.210300000000004</v>
      </c>
      <c r="M2417" s="10" t="str">
        <f t="shared" si="227"/>
        <v>C35</v>
      </c>
      <c r="N2417" s="10" t="str">
        <f t="shared" si="228"/>
        <v>C71</v>
      </c>
      <c r="O2417" s="5">
        <f t="shared" si="229"/>
        <v>5.9504652824007156</v>
      </c>
      <c r="P2417" s="22">
        <f>O2417/Explications!$C$8</f>
        <v>0.19834884274669051</v>
      </c>
      <c r="Q2417" s="7" t="str">
        <f t="shared" si="230"/>
        <v>C71</v>
      </c>
      <c r="R2417" s="7" t="str">
        <f t="shared" si="231"/>
        <v>C35</v>
      </c>
      <c r="S2417" s="18">
        <f t="shared" si="232"/>
        <v>5.9504652824007156</v>
      </c>
      <c r="T2417" s="18">
        <f>S2417/Explications!$C$8</f>
        <v>0.19834884274669051</v>
      </c>
    </row>
    <row r="2418" spans="7:20">
      <c r="G2418" s="7" t="s">
        <v>51</v>
      </c>
      <c r="H2418" s="7" t="s">
        <v>88</v>
      </c>
      <c r="I2418" s="7">
        <v>46.869700000000002</v>
      </c>
      <c r="J2418" s="7">
        <v>-71.205200000000005</v>
      </c>
      <c r="K2418" s="7">
        <v>46.807000000000002</v>
      </c>
      <c r="L2418" s="7">
        <v>-71.3566</v>
      </c>
      <c r="M2418" s="10" t="str">
        <f t="shared" si="227"/>
        <v>C35</v>
      </c>
      <c r="N2418" s="10" t="str">
        <f t="shared" si="228"/>
        <v>C72</v>
      </c>
      <c r="O2418" s="5">
        <f t="shared" si="229"/>
        <v>13.462078002598018</v>
      </c>
      <c r="P2418" s="22">
        <f>O2418/Explications!$C$8</f>
        <v>0.44873593341993395</v>
      </c>
      <c r="Q2418" s="7" t="str">
        <f t="shared" si="230"/>
        <v>C72</v>
      </c>
      <c r="R2418" s="7" t="str">
        <f t="shared" si="231"/>
        <v>C35</v>
      </c>
      <c r="S2418" s="18">
        <f t="shared" si="232"/>
        <v>13.462078002598018</v>
      </c>
      <c r="T2418" s="18">
        <f>S2418/Explications!$C$8</f>
        <v>0.44873593341993395</v>
      </c>
    </row>
    <row r="2419" spans="7:20">
      <c r="G2419" s="7" t="s">
        <v>51</v>
      </c>
      <c r="H2419" s="7" t="s">
        <v>89</v>
      </c>
      <c r="I2419" s="7">
        <v>46.869700000000002</v>
      </c>
      <c r="J2419" s="7">
        <v>-71.205200000000005</v>
      </c>
      <c r="K2419" s="7">
        <v>46.822899999999997</v>
      </c>
      <c r="L2419" s="7">
        <v>-71.341899999999995</v>
      </c>
      <c r="M2419" s="10" t="str">
        <f t="shared" si="227"/>
        <v>C35</v>
      </c>
      <c r="N2419" s="10" t="str">
        <f t="shared" si="228"/>
        <v>C73</v>
      </c>
      <c r="O2419" s="5">
        <f t="shared" si="229"/>
        <v>11.626082752308275</v>
      </c>
      <c r="P2419" s="22">
        <f>O2419/Explications!$C$8</f>
        <v>0.38753609174360915</v>
      </c>
      <c r="Q2419" s="7" t="str">
        <f t="shared" si="230"/>
        <v>C73</v>
      </c>
      <c r="R2419" s="7" t="str">
        <f t="shared" si="231"/>
        <v>C35</v>
      </c>
      <c r="S2419" s="18">
        <f t="shared" si="232"/>
        <v>11.626082752308275</v>
      </c>
      <c r="T2419" s="18">
        <f>S2419/Explications!$C$8</f>
        <v>0.38753609174360915</v>
      </c>
    </row>
    <row r="2420" spans="7:20">
      <c r="G2420" s="7" t="s">
        <v>51</v>
      </c>
      <c r="H2420" s="7" t="s">
        <v>90</v>
      </c>
      <c r="I2420" s="7">
        <v>46.869700000000002</v>
      </c>
      <c r="J2420" s="7">
        <v>-71.205200000000005</v>
      </c>
      <c r="K2420" s="7">
        <v>46.730699999999999</v>
      </c>
      <c r="L2420" s="7">
        <v>-71.261099999999999</v>
      </c>
      <c r="M2420" s="10" t="str">
        <f t="shared" si="227"/>
        <v>C35</v>
      </c>
      <c r="N2420" s="10" t="str">
        <f t="shared" si="228"/>
        <v>C74</v>
      </c>
      <c r="O2420" s="5">
        <f t="shared" si="229"/>
        <v>16.031087405129288</v>
      </c>
      <c r="P2420" s="22">
        <f>O2420/Explications!$C$8</f>
        <v>0.53436958017097624</v>
      </c>
      <c r="Q2420" s="7" t="str">
        <f t="shared" si="230"/>
        <v>C74</v>
      </c>
      <c r="R2420" s="7" t="str">
        <f t="shared" si="231"/>
        <v>C35</v>
      </c>
      <c r="S2420" s="18">
        <f t="shared" si="232"/>
        <v>16.031087405129288</v>
      </c>
      <c r="T2420" s="18">
        <f>S2420/Explications!$C$8</f>
        <v>0.53436958017097624</v>
      </c>
    </row>
    <row r="2421" spans="7:20">
      <c r="G2421" s="7" t="s">
        <v>51</v>
      </c>
      <c r="H2421" s="7" t="s">
        <v>91</v>
      </c>
      <c r="I2421" s="7">
        <v>46.869700000000002</v>
      </c>
      <c r="J2421" s="7">
        <v>-71.205200000000005</v>
      </c>
      <c r="K2421" s="7">
        <v>46.840600000000002</v>
      </c>
      <c r="L2421" s="7">
        <v>-71.289100000000005</v>
      </c>
      <c r="M2421" s="10" t="str">
        <f t="shared" si="227"/>
        <v>C35</v>
      </c>
      <c r="N2421" s="10" t="str">
        <f t="shared" si="228"/>
        <v>C75</v>
      </c>
      <c r="O2421" s="5">
        <f t="shared" si="229"/>
        <v>7.1534339560452942</v>
      </c>
      <c r="P2421" s="22">
        <f>O2421/Explications!$C$8</f>
        <v>0.23844779853484313</v>
      </c>
      <c r="Q2421" s="7" t="str">
        <f t="shared" si="230"/>
        <v>C75</v>
      </c>
      <c r="R2421" s="7" t="str">
        <f t="shared" si="231"/>
        <v>C35</v>
      </c>
      <c r="S2421" s="18">
        <f t="shared" si="232"/>
        <v>7.1534339560452942</v>
      </c>
      <c r="T2421" s="18">
        <f>S2421/Explications!$C$8</f>
        <v>0.23844779853484313</v>
      </c>
    </row>
    <row r="2422" spans="7:20">
      <c r="G2422" s="7" t="s">
        <v>51</v>
      </c>
      <c r="H2422" s="7" t="s">
        <v>92</v>
      </c>
      <c r="I2422" s="7">
        <v>46.869700000000002</v>
      </c>
      <c r="J2422" s="7">
        <v>-71.205200000000005</v>
      </c>
      <c r="K2422" s="7">
        <v>46.840600000000002</v>
      </c>
      <c r="L2422" s="7">
        <v>-71.281599999999997</v>
      </c>
      <c r="M2422" s="10" t="str">
        <f t="shared" si="227"/>
        <v>C35</v>
      </c>
      <c r="N2422" s="10" t="str">
        <f t="shared" si="228"/>
        <v>C76</v>
      </c>
      <c r="O2422" s="5">
        <f t="shared" si="229"/>
        <v>6.6498189347893391</v>
      </c>
      <c r="P2422" s="22">
        <f>O2422/Explications!$C$8</f>
        <v>0.22166063115964463</v>
      </c>
      <c r="Q2422" s="7" t="str">
        <f t="shared" si="230"/>
        <v>C76</v>
      </c>
      <c r="R2422" s="7" t="str">
        <f t="shared" si="231"/>
        <v>C35</v>
      </c>
      <c r="S2422" s="18">
        <f t="shared" si="232"/>
        <v>6.6498189347893391</v>
      </c>
      <c r="T2422" s="18">
        <f>S2422/Explications!$C$8</f>
        <v>0.22166063115964463</v>
      </c>
    </row>
    <row r="2423" spans="7:20">
      <c r="G2423" s="7" t="s">
        <v>51</v>
      </c>
      <c r="H2423" s="7" t="s">
        <v>93</v>
      </c>
      <c r="I2423" s="7">
        <v>46.869700000000002</v>
      </c>
      <c r="J2423" s="7">
        <v>-71.205200000000005</v>
      </c>
      <c r="K2423" s="7">
        <v>46.839399999999998</v>
      </c>
      <c r="L2423" s="7">
        <v>-71.282600000000002</v>
      </c>
      <c r="M2423" s="10" t="str">
        <f t="shared" si="227"/>
        <v>C35</v>
      </c>
      <c r="N2423" s="10" t="str">
        <f t="shared" si="228"/>
        <v>C77</v>
      </c>
      <c r="O2423" s="5">
        <f t="shared" si="229"/>
        <v>6.7817018685055981</v>
      </c>
      <c r="P2423" s="22">
        <f>O2423/Explications!$C$8</f>
        <v>0.22605672895018661</v>
      </c>
      <c r="Q2423" s="7" t="str">
        <f t="shared" si="230"/>
        <v>C77</v>
      </c>
      <c r="R2423" s="7" t="str">
        <f t="shared" si="231"/>
        <v>C35</v>
      </c>
      <c r="S2423" s="18">
        <f t="shared" si="232"/>
        <v>6.7817018685055981</v>
      </c>
      <c r="T2423" s="18">
        <f>S2423/Explications!$C$8</f>
        <v>0.22605672895018661</v>
      </c>
    </row>
    <row r="2424" spans="7:20">
      <c r="G2424" s="7" t="s">
        <v>51</v>
      </c>
      <c r="H2424" s="7" t="s">
        <v>94</v>
      </c>
      <c r="I2424" s="7">
        <v>46.869700000000002</v>
      </c>
      <c r="J2424" s="7">
        <v>-71.205200000000005</v>
      </c>
      <c r="K2424" s="7">
        <v>46.788499999999999</v>
      </c>
      <c r="L2424" s="7">
        <v>-71.282399999999996</v>
      </c>
      <c r="M2424" s="10" t="str">
        <f t="shared" si="227"/>
        <v>C35</v>
      </c>
      <c r="N2424" s="10" t="str">
        <f t="shared" si="228"/>
        <v>C78</v>
      </c>
      <c r="O2424" s="5">
        <f t="shared" si="229"/>
        <v>10.771124942698185</v>
      </c>
      <c r="P2424" s="22">
        <f>O2424/Explications!$C$8</f>
        <v>0.35903749808993951</v>
      </c>
      <c r="Q2424" s="7" t="str">
        <f t="shared" si="230"/>
        <v>C78</v>
      </c>
      <c r="R2424" s="7" t="str">
        <f t="shared" si="231"/>
        <v>C35</v>
      </c>
      <c r="S2424" s="18">
        <f t="shared" si="232"/>
        <v>10.771124942698185</v>
      </c>
      <c r="T2424" s="18">
        <f>S2424/Explications!$C$8</f>
        <v>0.35903749808993951</v>
      </c>
    </row>
    <row r="2425" spans="7:20">
      <c r="G2425" s="7" t="s">
        <v>51</v>
      </c>
      <c r="H2425" s="7" t="s">
        <v>95</v>
      </c>
      <c r="I2425" s="7">
        <v>46.869700000000002</v>
      </c>
      <c r="J2425" s="7">
        <v>-71.205200000000005</v>
      </c>
      <c r="K2425" s="7">
        <v>46.840699999999998</v>
      </c>
      <c r="L2425" s="7">
        <v>-71.325400000000002</v>
      </c>
      <c r="M2425" s="10" t="str">
        <f t="shared" si="227"/>
        <v>C35</v>
      </c>
      <c r="N2425" s="10" t="str">
        <f t="shared" si="228"/>
        <v>C79</v>
      </c>
      <c r="O2425" s="5">
        <f t="shared" si="229"/>
        <v>9.6921715857160748</v>
      </c>
      <c r="P2425" s="22">
        <f>O2425/Explications!$C$8</f>
        <v>0.32307238619053585</v>
      </c>
      <c r="Q2425" s="7" t="str">
        <f t="shared" si="230"/>
        <v>C79</v>
      </c>
      <c r="R2425" s="7" t="str">
        <f t="shared" si="231"/>
        <v>C35</v>
      </c>
      <c r="S2425" s="18">
        <f t="shared" si="232"/>
        <v>9.6921715857160748</v>
      </c>
      <c r="T2425" s="18">
        <f>S2425/Explications!$C$8</f>
        <v>0.32307238619053585</v>
      </c>
    </row>
    <row r="2426" spans="7:20">
      <c r="G2426" s="7" t="s">
        <v>51</v>
      </c>
      <c r="H2426" s="7" t="s">
        <v>96</v>
      </c>
      <c r="I2426" s="7">
        <v>46.869700000000002</v>
      </c>
      <c r="J2426" s="7">
        <v>-71.205200000000005</v>
      </c>
      <c r="K2426" s="7">
        <v>46.798400000000001</v>
      </c>
      <c r="L2426" s="7">
        <v>-71.183199999999999</v>
      </c>
      <c r="M2426" s="10" t="str">
        <f t="shared" si="227"/>
        <v>C35</v>
      </c>
      <c r="N2426" s="10" t="str">
        <f t="shared" si="228"/>
        <v>C80</v>
      </c>
      <c r="O2426" s="5">
        <f t="shared" si="229"/>
        <v>8.1029044726850348</v>
      </c>
      <c r="P2426" s="22">
        <f>O2426/Explications!$C$8</f>
        <v>0.27009681575616784</v>
      </c>
      <c r="Q2426" s="7" t="str">
        <f t="shared" si="230"/>
        <v>C80</v>
      </c>
      <c r="R2426" s="7" t="str">
        <f t="shared" si="231"/>
        <v>C35</v>
      </c>
      <c r="S2426" s="18">
        <f t="shared" si="232"/>
        <v>8.1029044726850348</v>
      </c>
      <c r="T2426" s="18">
        <f>S2426/Explications!$C$8</f>
        <v>0.27009681575616784</v>
      </c>
    </row>
    <row r="2427" spans="7:20">
      <c r="G2427" s="7" t="s">
        <v>51</v>
      </c>
      <c r="H2427" s="7" t="s">
        <v>97</v>
      </c>
      <c r="I2427" s="7">
        <v>46.869700000000002</v>
      </c>
      <c r="J2427" s="7">
        <v>-71.205200000000005</v>
      </c>
      <c r="K2427" s="7">
        <v>46.724800000000002</v>
      </c>
      <c r="L2427" s="7">
        <v>-71.2988</v>
      </c>
      <c r="M2427" s="10" t="str">
        <f t="shared" si="227"/>
        <v>C35</v>
      </c>
      <c r="N2427" s="10" t="str">
        <f t="shared" si="228"/>
        <v>C81</v>
      </c>
      <c r="O2427" s="5">
        <f t="shared" si="229"/>
        <v>17.617237582638101</v>
      </c>
      <c r="P2427" s="22">
        <f>O2427/Explications!$C$8</f>
        <v>0.58724125275460337</v>
      </c>
      <c r="Q2427" s="7" t="str">
        <f t="shared" si="230"/>
        <v>C81</v>
      </c>
      <c r="R2427" s="7" t="str">
        <f t="shared" si="231"/>
        <v>C35</v>
      </c>
      <c r="S2427" s="18">
        <f t="shared" si="232"/>
        <v>17.617237582638101</v>
      </c>
      <c r="T2427" s="18">
        <f>S2427/Explications!$C$8</f>
        <v>0.58724125275460337</v>
      </c>
    </row>
    <row r="2428" spans="7:20">
      <c r="G2428" s="7" t="s">
        <v>51</v>
      </c>
      <c r="H2428" s="7" t="s">
        <v>98</v>
      </c>
      <c r="I2428" s="7">
        <v>46.869700000000002</v>
      </c>
      <c r="J2428" s="7">
        <v>-71.205200000000005</v>
      </c>
      <c r="K2428" s="7">
        <v>46.795499999999997</v>
      </c>
      <c r="L2428" s="7">
        <v>-71.242900000000006</v>
      </c>
      <c r="M2428" s="10" t="str">
        <f t="shared" si="227"/>
        <v>C35</v>
      </c>
      <c r="N2428" s="10" t="str">
        <f t="shared" si="228"/>
        <v>C82</v>
      </c>
      <c r="O2428" s="5">
        <f t="shared" si="229"/>
        <v>8.7348946208720069</v>
      </c>
      <c r="P2428" s="22">
        <f>O2428/Explications!$C$8</f>
        <v>0.2911631540290669</v>
      </c>
      <c r="Q2428" s="7" t="str">
        <f t="shared" si="230"/>
        <v>C82</v>
      </c>
      <c r="R2428" s="7" t="str">
        <f t="shared" si="231"/>
        <v>C35</v>
      </c>
      <c r="S2428" s="18">
        <f t="shared" si="232"/>
        <v>8.7348946208720069</v>
      </c>
      <c r="T2428" s="18">
        <f>S2428/Explications!$C$8</f>
        <v>0.2911631540290669</v>
      </c>
    </row>
    <row r="2429" spans="7:20">
      <c r="G2429" s="7" t="s">
        <v>51</v>
      </c>
      <c r="H2429" s="7" t="s">
        <v>99</v>
      </c>
      <c r="I2429" s="7">
        <v>46.869700000000002</v>
      </c>
      <c r="J2429" s="7">
        <v>-71.205200000000005</v>
      </c>
      <c r="K2429" s="7">
        <v>46.8157</v>
      </c>
      <c r="L2429" s="7">
        <v>-71.201899999999995</v>
      </c>
      <c r="M2429" s="10" t="str">
        <f t="shared" si="227"/>
        <v>C35</v>
      </c>
      <c r="N2429" s="10" t="str">
        <f t="shared" si="228"/>
        <v>C83</v>
      </c>
      <c r="O2429" s="5">
        <f t="shared" si="229"/>
        <v>6.0097694784756008</v>
      </c>
      <c r="P2429" s="22">
        <f>O2429/Explications!$C$8</f>
        <v>0.20032564928252003</v>
      </c>
      <c r="Q2429" s="7" t="str">
        <f t="shared" si="230"/>
        <v>C83</v>
      </c>
      <c r="R2429" s="7" t="str">
        <f t="shared" si="231"/>
        <v>C35</v>
      </c>
      <c r="S2429" s="18">
        <f t="shared" si="232"/>
        <v>6.0097694784756008</v>
      </c>
      <c r="T2429" s="18">
        <f>S2429/Explications!$C$8</f>
        <v>0.20032564928252003</v>
      </c>
    </row>
    <row r="2430" spans="7:20">
      <c r="G2430" s="7" t="s">
        <v>51</v>
      </c>
      <c r="H2430" s="7" t="s">
        <v>100</v>
      </c>
      <c r="I2430" s="7">
        <v>46.869700000000002</v>
      </c>
      <c r="J2430" s="7">
        <v>-71.205200000000005</v>
      </c>
      <c r="K2430" s="7">
        <v>46.837600000000002</v>
      </c>
      <c r="L2430" s="7">
        <v>-71.196299999999994</v>
      </c>
      <c r="M2430" s="10" t="str">
        <f t="shared" si="227"/>
        <v>C35</v>
      </c>
      <c r="N2430" s="10" t="str">
        <f t="shared" si="228"/>
        <v>C84</v>
      </c>
      <c r="O2430" s="5">
        <f t="shared" si="229"/>
        <v>3.6329514091026143</v>
      </c>
      <c r="P2430" s="22">
        <f>O2430/Explications!$C$8</f>
        <v>0.12109838030342047</v>
      </c>
      <c r="Q2430" s="7" t="str">
        <f t="shared" si="230"/>
        <v>C84</v>
      </c>
      <c r="R2430" s="7" t="str">
        <f t="shared" si="231"/>
        <v>C35</v>
      </c>
      <c r="S2430" s="18">
        <f t="shared" si="232"/>
        <v>3.6329514091026143</v>
      </c>
      <c r="T2430" s="18">
        <f>S2430/Explications!$C$8</f>
        <v>0.12109838030342047</v>
      </c>
    </row>
    <row r="2431" spans="7:20">
      <c r="G2431" s="7" t="s">
        <v>51</v>
      </c>
      <c r="H2431" s="7" t="s">
        <v>101</v>
      </c>
      <c r="I2431" s="7">
        <v>46.869700000000002</v>
      </c>
      <c r="J2431" s="7">
        <v>-71.205200000000005</v>
      </c>
      <c r="K2431" s="7">
        <v>46.7988</v>
      </c>
      <c r="L2431" s="7">
        <v>-71.318200000000004</v>
      </c>
      <c r="M2431" s="10" t="str">
        <f t="shared" si="227"/>
        <v>C35</v>
      </c>
      <c r="N2431" s="10" t="str">
        <f t="shared" si="228"/>
        <v>C85</v>
      </c>
      <c r="O2431" s="5">
        <f t="shared" si="229"/>
        <v>11.663707485240105</v>
      </c>
      <c r="P2431" s="22">
        <f>O2431/Explications!$C$8</f>
        <v>0.3887902495080035</v>
      </c>
      <c r="Q2431" s="7" t="str">
        <f t="shared" si="230"/>
        <v>C85</v>
      </c>
      <c r="R2431" s="7" t="str">
        <f t="shared" si="231"/>
        <v>C35</v>
      </c>
      <c r="S2431" s="18">
        <f t="shared" si="232"/>
        <v>11.663707485240105</v>
      </c>
      <c r="T2431" s="18">
        <f>S2431/Explications!$C$8</f>
        <v>0.3887902495080035</v>
      </c>
    </row>
    <row r="2432" spans="7:20">
      <c r="G2432" s="7" t="s">
        <v>52</v>
      </c>
      <c r="H2432" s="7" t="s">
        <v>53</v>
      </c>
      <c r="I2432" s="7">
        <v>46.774099999999997</v>
      </c>
      <c r="J2432" s="7">
        <v>-71.174000000000007</v>
      </c>
      <c r="K2432" s="7">
        <v>46.808500000000002</v>
      </c>
      <c r="L2432" s="7">
        <v>-71.326599999999999</v>
      </c>
      <c r="M2432" s="10" t="str">
        <f t="shared" si="227"/>
        <v>C36</v>
      </c>
      <c r="N2432" s="10" t="str">
        <f t="shared" si="228"/>
        <v>C37</v>
      </c>
      <c r="O2432" s="5">
        <f t="shared" si="229"/>
        <v>12.231022543211347</v>
      </c>
      <c r="P2432" s="22">
        <f>O2432/Explications!$C$8</f>
        <v>0.40770075144037826</v>
      </c>
      <c r="Q2432" s="7" t="str">
        <f t="shared" si="230"/>
        <v>C37</v>
      </c>
      <c r="R2432" s="7" t="str">
        <f t="shared" si="231"/>
        <v>C36</v>
      </c>
      <c r="S2432" s="18">
        <f t="shared" si="232"/>
        <v>12.231022543211347</v>
      </c>
      <c r="T2432" s="18">
        <f>S2432/Explications!$C$8</f>
        <v>0.40770075144037826</v>
      </c>
    </row>
    <row r="2433" spans="7:20">
      <c r="G2433" s="7" t="s">
        <v>52</v>
      </c>
      <c r="H2433" s="7" t="s">
        <v>54</v>
      </c>
      <c r="I2433" s="7">
        <v>46.774099999999997</v>
      </c>
      <c r="J2433" s="7">
        <v>-71.174000000000007</v>
      </c>
      <c r="K2433" s="7">
        <v>46.797499999999999</v>
      </c>
      <c r="L2433" s="7">
        <v>-71.306100000000001</v>
      </c>
      <c r="M2433" s="10" t="str">
        <f t="shared" si="227"/>
        <v>C36</v>
      </c>
      <c r="N2433" s="10" t="str">
        <f t="shared" si="228"/>
        <v>C38</v>
      </c>
      <c r="O2433" s="5">
        <f t="shared" si="229"/>
        <v>10.388974074413657</v>
      </c>
      <c r="P2433" s="22">
        <f>O2433/Explications!$C$8</f>
        <v>0.34629913581378857</v>
      </c>
      <c r="Q2433" s="7" t="str">
        <f t="shared" si="230"/>
        <v>C38</v>
      </c>
      <c r="R2433" s="7" t="str">
        <f t="shared" si="231"/>
        <v>C36</v>
      </c>
      <c r="S2433" s="18">
        <f t="shared" si="232"/>
        <v>10.388974074413657</v>
      </c>
      <c r="T2433" s="18">
        <f>S2433/Explications!$C$8</f>
        <v>0.34629913581378857</v>
      </c>
    </row>
    <row r="2434" spans="7:20">
      <c r="G2434" s="7" t="s">
        <v>52</v>
      </c>
      <c r="H2434" s="7" t="s">
        <v>55</v>
      </c>
      <c r="I2434" s="7">
        <v>46.774099999999997</v>
      </c>
      <c r="J2434" s="7">
        <v>-71.174000000000007</v>
      </c>
      <c r="K2434" s="7">
        <v>46.8155</v>
      </c>
      <c r="L2434" s="7">
        <v>-71.268199999999993</v>
      </c>
      <c r="M2434" s="10" t="str">
        <f t="shared" si="227"/>
        <v>C36</v>
      </c>
      <c r="N2434" s="10" t="str">
        <f t="shared" si="228"/>
        <v>C39</v>
      </c>
      <c r="O2434" s="5">
        <f t="shared" si="229"/>
        <v>8.5214732685937946</v>
      </c>
      <c r="P2434" s="22">
        <f>O2434/Explications!$C$8</f>
        <v>0.28404910895312646</v>
      </c>
      <c r="Q2434" s="7" t="str">
        <f t="shared" si="230"/>
        <v>C39</v>
      </c>
      <c r="R2434" s="7" t="str">
        <f t="shared" si="231"/>
        <v>C36</v>
      </c>
      <c r="S2434" s="18">
        <f t="shared" si="232"/>
        <v>8.5214732685937946</v>
      </c>
      <c r="T2434" s="18">
        <f>S2434/Explications!$C$8</f>
        <v>0.28404910895312646</v>
      </c>
    </row>
    <row r="2435" spans="7:20">
      <c r="G2435" s="7" t="s">
        <v>52</v>
      </c>
      <c r="H2435" s="7" t="s">
        <v>56</v>
      </c>
      <c r="I2435" s="7">
        <v>46.774099999999997</v>
      </c>
      <c r="J2435" s="7">
        <v>-71.174000000000007</v>
      </c>
      <c r="K2435" s="7">
        <v>46.866700000000002</v>
      </c>
      <c r="L2435" s="7">
        <v>-71.215900000000005</v>
      </c>
      <c r="M2435" s="10" t="str">
        <f t="shared" si="227"/>
        <v>C36</v>
      </c>
      <c r="N2435" s="10" t="str">
        <f t="shared" si="228"/>
        <v>C40</v>
      </c>
      <c r="O2435" s="5">
        <f t="shared" si="229"/>
        <v>10.778925866264988</v>
      </c>
      <c r="P2435" s="22">
        <f>O2435/Explications!$C$8</f>
        <v>0.35929752887549959</v>
      </c>
      <c r="Q2435" s="7" t="str">
        <f t="shared" si="230"/>
        <v>C40</v>
      </c>
      <c r="R2435" s="7" t="str">
        <f t="shared" si="231"/>
        <v>C36</v>
      </c>
      <c r="S2435" s="18">
        <f t="shared" si="232"/>
        <v>10.778925866264988</v>
      </c>
      <c r="T2435" s="18">
        <f>S2435/Explications!$C$8</f>
        <v>0.35929752887549959</v>
      </c>
    </row>
    <row r="2436" spans="7:20">
      <c r="G2436" s="7" t="s">
        <v>52</v>
      </c>
      <c r="H2436" s="7" t="s">
        <v>57</v>
      </c>
      <c r="I2436" s="7">
        <v>46.774099999999997</v>
      </c>
      <c r="J2436" s="7">
        <v>-71.174000000000007</v>
      </c>
      <c r="K2436" s="7">
        <v>46.762099999999997</v>
      </c>
      <c r="L2436" s="7">
        <v>-71.235399999999998</v>
      </c>
      <c r="M2436" s="10" t="str">
        <f t="shared" ref="M2436:M2499" si="233">G2436</f>
        <v>C36</v>
      </c>
      <c r="N2436" s="10" t="str">
        <f t="shared" ref="N2436:N2499" si="234">H2436</f>
        <v>C41</v>
      </c>
      <c r="O2436" s="5">
        <f t="shared" ref="O2436:O2499" si="235">ACOS(SIN(RADIANS(I2436))*SIN(RADIANS(K2436))+COS(RADIANS(I2436))*COS(RADIANS(K2436))*COS(RADIANS(J2436-L2436)))*6371</f>
        <v>4.8630664839886819</v>
      </c>
      <c r="P2436" s="22">
        <f>O2436/Explications!$C$8</f>
        <v>0.16210221613295606</v>
      </c>
      <c r="Q2436" s="7" t="str">
        <f t="shared" ref="Q2436:Q2499" si="236">N2436</f>
        <v>C41</v>
      </c>
      <c r="R2436" s="7" t="str">
        <f t="shared" ref="R2436:R2499" si="237">M2436</f>
        <v>C36</v>
      </c>
      <c r="S2436" s="18">
        <f t="shared" ref="S2436:S2499" si="238">O2436</f>
        <v>4.8630664839886819</v>
      </c>
      <c r="T2436" s="18">
        <f>S2436/Explications!$C$8</f>
        <v>0.16210221613295606</v>
      </c>
    </row>
    <row r="2437" spans="7:20">
      <c r="G2437" s="7" t="s">
        <v>52</v>
      </c>
      <c r="H2437" s="7" t="s">
        <v>58</v>
      </c>
      <c r="I2437" s="7">
        <v>46.774099999999997</v>
      </c>
      <c r="J2437" s="7">
        <v>-71.174000000000007</v>
      </c>
      <c r="K2437" s="7">
        <v>46.8157</v>
      </c>
      <c r="L2437" s="7">
        <v>-71.2042</v>
      </c>
      <c r="M2437" s="10" t="str">
        <f t="shared" si="233"/>
        <v>C36</v>
      </c>
      <c r="N2437" s="10" t="str">
        <f t="shared" si="234"/>
        <v>C42</v>
      </c>
      <c r="O2437" s="5">
        <f t="shared" si="235"/>
        <v>5.1655126568147738</v>
      </c>
      <c r="P2437" s="22">
        <f>O2437/Explications!$C$8</f>
        <v>0.17218375522715912</v>
      </c>
      <c r="Q2437" s="7" t="str">
        <f t="shared" si="236"/>
        <v>C42</v>
      </c>
      <c r="R2437" s="7" t="str">
        <f t="shared" si="237"/>
        <v>C36</v>
      </c>
      <c r="S2437" s="18">
        <f t="shared" si="238"/>
        <v>5.1655126568147738</v>
      </c>
      <c r="T2437" s="18">
        <f>S2437/Explications!$C$8</f>
        <v>0.17218375522715912</v>
      </c>
    </row>
    <row r="2438" spans="7:20">
      <c r="G2438" s="7" t="s">
        <v>52</v>
      </c>
      <c r="H2438" s="7" t="s">
        <v>59</v>
      </c>
      <c r="I2438" s="7">
        <v>46.774099999999997</v>
      </c>
      <c r="J2438" s="7">
        <v>-71.174000000000007</v>
      </c>
      <c r="K2438" s="7">
        <v>46.707000000000001</v>
      </c>
      <c r="L2438" s="7">
        <v>-71.217100000000002</v>
      </c>
      <c r="M2438" s="10" t="str">
        <f t="shared" si="233"/>
        <v>C36</v>
      </c>
      <c r="N2438" s="10" t="str">
        <f t="shared" si="234"/>
        <v>C43</v>
      </c>
      <c r="O2438" s="5">
        <f t="shared" si="235"/>
        <v>8.1520504906072819</v>
      </c>
      <c r="P2438" s="22">
        <f>O2438/Explications!$C$8</f>
        <v>0.27173501635357605</v>
      </c>
      <c r="Q2438" s="7" t="str">
        <f t="shared" si="236"/>
        <v>C43</v>
      </c>
      <c r="R2438" s="7" t="str">
        <f t="shared" si="237"/>
        <v>C36</v>
      </c>
      <c r="S2438" s="18">
        <f t="shared" si="238"/>
        <v>8.1520504906072819</v>
      </c>
      <c r="T2438" s="18">
        <f>S2438/Explications!$C$8</f>
        <v>0.27173501635357605</v>
      </c>
    </row>
    <row r="2439" spans="7:20">
      <c r="G2439" s="7" t="s">
        <v>52</v>
      </c>
      <c r="H2439" s="7" t="s">
        <v>60</v>
      </c>
      <c r="I2439" s="7">
        <v>46.774099999999997</v>
      </c>
      <c r="J2439" s="7">
        <v>-71.174000000000007</v>
      </c>
      <c r="K2439" s="7">
        <v>46.802900000000001</v>
      </c>
      <c r="L2439" s="7">
        <v>-71.228899999999996</v>
      </c>
      <c r="M2439" s="10" t="str">
        <f t="shared" si="233"/>
        <v>C36</v>
      </c>
      <c r="N2439" s="10" t="str">
        <f t="shared" si="234"/>
        <v>C44</v>
      </c>
      <c r="O2439" s="5">
        <f t="shared" si="235"/>
        <v>5.2655499552933005</v>
      </c>
      <c r="P2439" s="22">
        <f>O2439/Explications!$C$8</f>
        <v>0.17551833184311003</v>
      </c>
      <c r="Q2439" s="7" t="str">
        <f t="shared" si="236"/>
        <v>C44</v>
      </c>
      <c r="R2439" s="7" t="str">
        <f t="shared" si="237"/>
        <v>C36</v>
      </c>
      <c r="S2439" s="18">
        <f t="shared" si="238"/>
        <v>5.2655499552933005</v>
      </c>
      <c r="T2439" s="18">
        <f>S2439/Explications!$C$8</f>
        <v>0.17551833184311003</v>
      </c>
    </row>
    <row r="2440" spans="7:20">
      <c r="G2440" s="7" t="s">
        <v>52</v>
      </c>
      <c r="H2440" s="7" t="s">
        <v>61</v>
      </c>
      <c r="I2440" s="7">
        <v>46.774099999999997</v>
      </c>
      <c r="J2440" s="7">
        <v>-71.174000000000007</v>
      </c>
      <c r="K2440" s="7">
        <v>46.796900000000001</v>
      </c>
      <c r="L2440" s="7">
        <v>-71.3078</v>
      </c>
      <c r="M2440" s="10" t="str">
        <f t="shared" si="233"/>
        <v>C36</v>
      </c>
      <c r="N2440" s="10" t="str">
        <f t="shared" si="234"/>
        <v>C45</v>
      </c>
      <c r="O2440" s="5">
        <f t="shared" si="235"/>
        <v>10.498077550629157</v>
      </c>
      <c r="P2440" s="22">
        <f>O2440/Explications!$C$8</f>
        <v>0.34993591835430521</v>
      </c>
      <c r="Q2440" s="7" t="str">
        <f t="shared" si="236"/>
        <v>C45</v>
      </c>
      <c r="R2440" s="7" t="str">
        <f t="shared" si="237"/>
        <v>C36</v>
      </c>
      <c r="S2440" s="18">
        <f t="shared" si="238"/>
        <v>10.498077550629157</v>
      </c>
      <c r="T2440" s="18">
        <f>S2440/Explications!$C$8</f>
        <v>0.34993591835430521</v>
      </c>
    </row>
    <row r="2441" spans="7:20">
      <c r="G2441" s="7" t="s">
        <v>52</v>
      </c>
      <c r="H2441" s="7" t="s">
        <v>62</v>
      </c>
      <c r="I2441" s="7">
        <v>46.774099999999997</v>
      </c>
      <c r="J2441" s="7">
        <v>-71.174000000000007</v>
      </c>
      <c r="K2441" s="7">
        <v>46.803600000000003</v>
      </c>
      <c r="L2441" s="7">
        <v>-71.231099999999998</v>
      </c>
      <c r="M2441" s="10" t="str">
        <f t="shared" si="233"/>
        <v>C36</v>
      </c>
      <c r="N2441" s="10" t="str">
        <f t="shared" si="234"/>
        <v>C46</v>
      </c>
      <c r="O2441" s="5">
        <f t="shared" si="235"/>
        <v>5.4459713109830989</v>
      </c>
      <c r="P2441" s="22">
        <f>O2441/Explications!$C$8</f>
        <v>0.18153237703276998</v>
      </c>
      <c r="Q2441" s="7" t="str">
        <f t="shared" si="236"/>
        <v>C46</v>
      </c>
      <c r="R2441" s="7" t="str">
        <f t="shared" si="237"/>
        <v>C36</v>
      </c>
      <c r="S2441" s="18">
        <f t="shared" si="238"/>
        <v>5.4459713109830989</v>
      </c>
      <c r="T2441" s="18">
        <f>S2441/Explications!$C$8</f>
        <v>0.18153237703276998</v>
      </c>
    </row>
    <row r="2442" spans="7:20">
      <c r="G2442" s="7" t="s">
        <v>52</v>
      </c>
      <c r="H2442" s="7" t="s">
        <v>63</v>
      </c>
      <c r="I2442" s="7">
        <v>46.774099999999997</v>
      </c>
      <c r="J2442" s="7">
        <v>-71.174000000000007</v>
      </c>
      <c r="K2442" s="7">
        <v>46.802399999999999</v>
      </c>
      <c r="L2442" s="7">
        <v>-71.269800000000004</v>
      </c>
      <c r="M2442" s="10" t="str">
        <f t="shared" si="233"/>
        <v>C36</v>
      </c>
      <c r="N2442" s="10" t="str">
        <f t="shared" si="234"/>
        <v>C47</v>
      </c>
      <c r="O2442" s="5">
        <f t="shared" si="235"/>
        <v>7.9435939686397354</v>
      </c>
      <c r="P2442" s="22">
        <f>O2442/Explications!$C$8</f>
        <v>0.26478646562132452</v>
      </c>
      <c r="Q2442" s="7" t="str">
        <f t="shared" si="236"/>
        <v>C47</v>
      </c>
      <c r="R2442" s="7" t="str">
        <f t="shared" si="237"/>
        <v>C36</v>
      </c>
      <c r="S2442" s="18">
        <f t="shared" si="238"/>
        <v>7.9435939686397354</v>
      </c>
      <c r="T2442" s="18">
        <f>S2442/Explications!$C$8</f>
        <v>0.26478646562132452</v>
      </c>
    </row>
    <row r="2443" spans="7:20">
      <c r="G2443" s="7" t="s">
        <v>52</v>
      </c>
      <c r="H2443" s="7" t="s">
        <v>64</v>
      </c>
      <c r="I2443" s="7">
        <v>46.774099999999997</v>
      </c>
      <c r="J2443" s="7">
        <v>-71.174000000000007</v>
      </c>
      <c r="K2443" s="7">
        <v>46.826799999999999</v>
      </c>
      <c r="L2443" s="7">
        <v>-71.224199999999996</v>
      </c>
      <c r="M2443" s="10" t="str">
        <f t="shared" si="233"/>
        <v>C36</v>
      </c>
      <c r="N2443" s="10" t="str">
        <f t="shared" si="234"/>
        <v>C48</v>
      </c>
      <c r="O2443" s="5">
        <f t="shared" si="235"/>
        <v>6.9957186162551892</v>
      </c>
      <c r="P2443" s="22">
        <f>O2443/Explications!$C$8</f>
        <v>0.23319062054183964</v>
      </c>
      <c r="Q2443" s="7" t="str">
        <f t="shared" si="236"/>
        <v>C48</v>
      </c>
      <c r="R2443" s="7" t="str">
        <f t="shared" si="237"/>
        <v>C36</v>
      </c>
      <c r="S2443" s="18">
        <f t="shared" si="238"/>
        <v>6.9957186162551892</v>
      </c>
      <c r="T2443" s="18">
        <f>S2443/Explications!$C$8</f>
        <v>0.23319062054183964</v>
      </c>
    </row>
    <row r="2444" spans="7:20">
      <c r="G2444" s="7" t="s">
        <v>52</v>
      </c>
      <c r="H2444" s="7" t="s">
        <v>65</v>
      </c>
      <c r="I2444" s="7">
        <v>46.774099999999997</v>
      </c>
      <c r="J2444" s="7">
        <v>-71.174000000000007</v>
      </c>
      <c r="K2444" s="7">
        <v>46.864100000000001</v>
      </c>
      <c r="L2444" s="7">
        <v>-71.255499999999998</v>
      </c>
      <c r="M2444" s="10" t="str">
        <f t="shared" si="233"/>
        <v>C36</v>
      </c>
      <c r="N2444" s="10" t="str">
        <f t="shared" si="234"/>
        <v>C49</v>
      </c>
      <c r="O2444" s="5">
        <f t="shared" si="235"/>
        <v>11.7732151296981</v>
      </c>
      <c r="P2444" s="22">
        <f>O2444/Explications!$C$8</f>
        <v>0.39244050432326999</v>
      </c>
      <c r="Q2444" s="7" t="str">
        <f t="shared" si="236"/>
        <v>C49</v>
      </c>
      <c r="R2444" s="7" t="str">
        <f t="shared" si="237"/>
        <v>C36</v>
      </c>
      <c r="S2444" s="18">
        <f t="shared" si="238"/>
        <v>11.7732151296981</v>
      </c>
      <c r="T2444" s="18">
        <f>S2444/Explications!$C$8</f>
        <v>0.39244050432326999</v>
      </c>
    </row>
    <row r="2445" spans="7:20">
      <c r="G2445" s="7" t="s">
        <v>52</v>
      </c>
      <c r="H2445" s="7" t="s">
        <v>66</v>
      </c>
      <c r="I2445" s="7">
        <v>46.774099999999997</v>
      </c>
      <c r="J2445" s="7">
        <v>-71.174000000000007</v>
      </c>
      <c r="K2445" s="7">
        <v>46.843800000000002</v>
      </c>
      <c r="L2445" s="7">
        <v>-71.247299999999996</v>
      </c>
      <c r="M2445" s="10" t="str">
        <f t="shared" si="233"/>
        <v>C36</v>
      </c>
      <c r="N2445" s="10" t="str">
        <f t="shared" si="234"/>
        <v>C50</v>
      </c>
      <c r="O2445" s="5">
        <f t="shared" si="235"/>
        <v>9.5491860440385103</v>
      </c>
      <c r="P2445" s="22">
        <f>O2445/Explications!$C$8</f>
        <v>0.31830620146795036</v>
      </c>
      <c r="Q2445" s="7" t="str">
        <f t="shared" si="236"/>
        <v>C50</v>
      </c>
      <c r="R2445" s="7" t="str">
        <f t="shared" si="237"/>
        <v>C36</v>
      </c>
      <c r="S2445" s="18">
        <f t="shared" si="238"/>
        <v>9.5491860440385103</v>
      </c>
      <c r="T2445" s="18">
        <f>S2445/Explications!$C$8</f>
        <v>0.31830620146795036</v>
      </c>
    </row>
    <row r="2446" spans="7:20">
      <c r="G2446" s="7" t="s">
        <v>52</v>
      </c>
      <c r="H2446" s="7" t="s">
        <v>67</v>
      </c>
      <c r="I2446" s="7">
        <v>46.774099999999997</v>
      </c>
      <c r="J2446" s="7">
        <v>-71.174000000000007</v>
      </c>
      <c r="K2446" s="7">
        <v>46.765599999999999</v>
      </c>
      <c r="L2446" s="7">
        <v>-71.312100000000001</v>
      </c>
      <c r="M2446" s="10" t="str">
        <f t="shared" si="233"/>
        <v>C36</v>
      </c>
      <c r="N2446" s="10" t="str">
        <f t="shared" si="234"/>
        <v>C51</v>
      </c>
      <c r="O2446" s="5">
        <f t="shared" si="235"/>
        <v>10.560187982498778</v>
      </c>
      <c r="P2446" s="22">
        <f>O2446/Explications!$C$8</f>
        <v>0.35200626608329261</v>
      </c>
      <c r="Q2446" s="7" t="str">
        <f t="shared" si="236"/>
        <v>C51</v>
      </c>
      <c r="R2446" s="7" t="str">
        <f t="shared" si="237"/>
        <v>C36</v>
      </c>
      <c r="S2446" s="18">
        <f t="shared" si="238"/>
        <v>10.560187982498778</v>
      </c>
      <c r="T2446" s="18">
        <f>S2446/Explications!$C$8</f>
        <v>0.35200626608329261</v>
      </c>
    </row>
    <row r="2447" spans="7:20">
      <c r="G2447" s="7" t="s">
        <v>52</v>
      </c>
      <c r="H2447" s="7" t="s">
        <v>68</v>
      </c>
      <c r="I2447" s="7">
        <v>46.774099999999997</v>
      </c>
      <c r="J2447" s="7">
        <v>-71.174000000000007</v>
      </c>
      <c r="K2447" s="7">
        <v>46.787599999999998</v>
      </c>
      <c r="L2447" s="7">
        <v>-71.288600000000002</v>
      </c>
      <c r="M2447" s="10" t="str">
        <f t="shared" si="233"/>
        <v>C36</v>
      </c>
      <c r="N2447" s="10" t="str">
        <f t="shared" si="234"/>
        <v>C52</v>
      </c>
      <c r="O2447" s="5">
        <f t="shared" si="235"/>
        <v>8.8544197857026337</v>
      </c>
      <c r="P2447" s="22">
        <f>O2447/Explications!$C$8</f>
        <v>0.29514732619008777</v>
      </c>
      <c r="Q2447" s="7" t="str">
        <f t="shared" si="236"/>
        <v>C52</v>
      </c>
      <c r="R2447" s="7" t="str">
        <f t="shared" si="237"/>
        <v>C36</v>
      </c>
      <c r="S2447" s="18">
        <f t="shared" si="238"/>
        <v>8.8544197857026337</v>
      </c>
      <c r="T2447" s="18">
        <f>S2447/Explications!$C$8</f>
        <v>0.29514732619008777</v>
      </c>
    </row>
    <row r="2448" spans="7:20">
      <c r="G2448" s="7" t="s">
        <v>52</v>
      </c>
      <c r="H2448" s="7" t="s">
        <v>69</v>
      </c>
      <c r="I2448" s="7">
        <v>46.774099999999997</v>
      </c>
      <c r="J2448" s="7">
        <v>-71.174000000000007</v>
      </c>
      <c r="K2448" s="7">
        <v>46.764600000000002</v>
      </c>
      <c r="L2448" s="7">
        <v>-71.308300000000003</v>
      </c>
      <c r="M2448" s="10" t="str">
        <f t="shared" si="233"/>
        <v>C36</v>
      </c>
      <c r="N2448" s="10" t="str">
        <f t="shared" si="234"/>
        <v>C53</v>
      </c>
      <c r="O2448" s="5">
        <f t="shared" si="235"/>
        <v>10.282893165861047</v>
      </c>
      <c r="P2448" s="22">
        <f>O2448/Explications!$C$8</f>
        <v>0.34276310552870159</v>
      </c>
      <c r="Q2448" s="7" t="str">
        <f t="shared" si="236"/>
        <v>C53</v>
      </c>
      <c r="R2448" s="7" t="str">
        <f t="shared" si="237"/>
        <v>C36</v>
      </c>
      <c r="S2448" s="18">
        <f t="shared" si="238"/>
        <v>10.282893165861047</v>
      </c>
      <c r="T2448" s="18">
        <f>S2448/Explications!$C$8</f>
        <v>0.34276310552870159</v>
      </c>
    </row>
    <row r="2449" spans="7:20">
      <c r="G2449" s="7" t="s">
        <v>52</v>
      </c>
      <c r="H2449" s="7" t="s">
        <v>70</v>
      </c>
      <c r="I2449" s="7">
        <v>46.774099999999997</v>
      </c>
      <c r="J2449" s="7">
        <v>-71.174000000000007</v>
      </c>
      <c r="K2449" s="7">
        <v>46.849699999999999</v>
      </c>
      <c r="L2449" s="7">
        <v>-71.097399999999993</v>
      </c>
      <c r="M2449" s="10" t="str">
        <f t="shared" si="233"/>
        <v>C36</v>
      </c>
      <c r="N2449" s="10" t="str">
        <f t="shared" si="234"/>
        <v>C54</v>
      </c>
      <c r="O2449" s="5">
        <f t="shared" si="235"/>
        <v>10.229756920152106</v>
      </c>
      <c r="P2449" s="22">
        <f>O2449/Explications!$C$8</f>
        <v>0.34099189733840352</v>
      </c>
      <c r="Q2449" s="7" t="str">
        <f t="shared" si="236"/>
        <v>C54</v>
      </c>
      <c r="R2449" s="7" t="str">
        <f t="shared" si="237"/>
        <v>C36</v>
      </c>
      <c r="S2449" s="18">
        <f t="shared" si="238"/>
        <v>10.229756920152106</v>
      </c>
      <c r="T2449" s="18">
        <f>S2449/Explications!$C$8</f>
        <v>0.34099189733840352</v>
      </c>
    </row>
    <row r="2450" spans="7:20">
      <c r="G2450" s="7" t="s">
        <v>52</v>
      </c>
      <c r="H2450" s="7" t="s">
        <v>71</v>
      </c>
      <c r="I2450" s="7">
        <v>46.774099999999997</v>
      </c>
      <c r="J2450" s="7">
        <v>-71.174000000000007</v>
      </c>
      <c r="K2450" s="7">
        <v>46.788899999999998</v>
      </c>
      <c r="L2450" s="7">
        <v>-71.321399999999997</v>
      </c>
      <c r="M2450" s="10" t="str">
        <f t="shared" si="233"/>
        <v>C36</v>
      </c>
      <c r="N2450" s="10" t="str">
        <f t="shared" si="234"/>
        <v>C55</v>
      </c>
      <c r="O2450" s="5">
        <f t="shared" si="235"/>
        <v>11.34368169240213</v>
      </c>
      <c r="P2450" s="22">
        <f>O2450/Explications!$C$8</f>
        <v>0.378122723080071</v>
      </c>
      <c r="Q2450" s="7" t="str">
        <f t="shared" si="236"/>
        <v>C55</v>
      </c>
      <c r="R2450" s="7" t="str">
        <f t="shared" si="237"/>
        <v>C36</v>
      </c>
      <c r="S2450" s="18">
        <f t="shared" si="238"/>
        <v>11.34368169240213</v>
      </c>
      <c r="T2450" s="18">
        <f>S2450/Explications!$C$8</f>
        <v>0.378122723080071</v>
      </c>
    </row>
    <row r="2451" spans="7:20">
      <c r="G2451" s="7" t="s">
        <v>52</v>
      </c>
      <c r="H2451" s="7" t="s">
        <v>72</v>
      </c>
      <c r="I2451" s="7">
        <v>46.774099999999997</v>
      </c>
      <c r="J2451" s="7">
        <v>-71.174000000000007</v>
      </c>
      <c r="K2451" s="7">
        <v>46.795400000000001</v>
      </c>
      <c r="L2451" s="7">
        <v>-71.232600000000005</v>
      </c>
      <c r="M2451" s="10" t="str">
        <f t="shared" si="233"/>
        <v>C36</v>
      </c>
      <c r="N2451" s="10" t="str">
        <f t="shared" si="234"/>
        <v>C56</v>
      </c>
      <c r="O2451" s="5">
        <f t="shared" si="235"/>
        <v>5.0514473264198223</v>
      </c>
      <c r="P2451" s="22">
        <f>O2451/Explications!$C$8</f>
        <v>0.16838157754732741</v>
      </c>
      <c r="Q2451" s="7" t="str">
        <f t="shared" si="236"/>
        <v>C56</v>
      </c>
      <c r="R2451" s="7" t="str">
        <f t="shared" si="237"/>
        <v>C36</v>
      </c>
      <c r="S2451" s="18">
        <f t="shared" si="238"/>
        <v>5.0514473264198223</v>
      </c>
      <c r="T2451" s="18">
        <f>S2451/Explications!$C$8</f>
        <v>0.16838157754732741</v>
      </c>
    </row>
    <row r="2452" spans="7:20">
      <c r="G2452" s="7" t="s">
        <v>52</v>
      </c>
      <c r="H2452" s="7" t="s">
        <v>73</v>
      </c>
      <c r="I2452" s="7">
        <v>46.774099999999997</v>
      </c>
      <c r="J2452" s="7">
        <v>-71.174000000000007</v>
      </c>
      <c r="K2452" s="7">
        <v>46.801200000000001</v>
      </c>
      <c r="L2452" s="7">
        <v>-71.224999999999994</v>
      </c>
      <c r="M2452" s="10" t="str">
        <f t="shared" si="233"/>
        <v>C36</v>
      </c>
      <c r="N2452" s="10" t="str">
        <f t="shared" si="234"/>
        <v>C57</v>
      </c>
      <c r="O2452" s="5">
        <f t="shared" si="235"/>
        <v>4.9150300020224922</v>
      </c>
      <c r="P2452" s="22">
        <f>O2452/Explications!$C$8</f>
        <v>0.16383433340074974</v>
      </c>
      <c r="Q2452" s="7" t="str">
        <f t="shared" si="236"/>
        <v>C57</v>
      </c>
      <c r="R2452" s="7" t="str">
        <f t="shared" si="237"/>
        <v>C36</v>
      </c>
      <c r="S2452" s="18">
        <f t="shared" si="238"/>
        <v>4.9150300020224922</v>
      </c>
      <c r="T2452" s="18">
        <f>S2452/Explications!$C$8</f>
        <v>0.16383433340074974</v>
      </c>
    </row>
    <row r="2453" spans="7:20">
      <c r="G2453" s="7" t="s">
        <v>52</v>
      </c>
      <c r="H2453" s="7" t="s">
        <v>74</v>
      </c>
      <c r="I2453" s="7">
        <v>46.774099999999997</v>
      </c>
      <c r="J2453" s="7">
        <v>-71.174000000000007</v>
      </c>
      <c r="K2453" s="7">
        <v>46.773200000000003</v>
      </c>
      <c r="L2453" s="7">
        <v>-71.275899999999993</v>
      </c>
      <c r="M2453" s="10" t="str">
        <f t="shared" si="233"/>
        <v>C36</v>
      </c>
      <c r="N2453" s="10" t="str">
        <f t="shared" si="234"/>
        <v>C58</v>
      </c>
      <c r="O2453" s="5">
        <f t="shared" si="235"/>
        <v>7.7608835501424656</v>
      </c>
      <c r="P2453" s="22">
        <f>O2453/Explications!$C$8</f>
        <v>0.2586961183380822</v>
      </c>
      <c r="Q2453" s="7" t="str">
        <f t="shared" si="236"/>
        <v>C58</v>
      </c>
      <c r="R2453" s="7" t="str">
        <f t="shared" si="237"/>
        <v>C36</v>
      </c>
      <c r="S2453" s="18">
        <f t="shared" si="238"/>
        <v>7.7608835501424656</v>
      </c>
      <c r="T2453" s="18">
        <f>S2453/Explications!$C$8</f>
        <v>0.2586961183380822</v>
      </c>
    </row>
    <row r="2454" spans="7:20">
      <c r="G2454" s="7" t="s">
        <v>52</v>
      </c>
      <c r="H2454" s="7" t="s">
        <v>75</v>
      </c>
      <c r="I2454" s="7">
        <v>46.774099999999997</v>
      </c>
      <c r="J2454" s="7">
        <v>-71.174000000000007</v>
      </c>
      <c r="K2454" s="7">
        <v>46.814399999999999</v>
      </c>
      <c r="L2454" s="7">
        <v>-71.225700000000003</v>
      </c>
      <c r="M2454" s="10" t="str">
        <f t="shared" si="233"/>
        <v>C36</v>
      </c>
      <c r="N2454" s="10" t="str">
        <f t="shared" si="234"/>
        <v>C59</v>
      </c>
      <c r="O2454" s="5">
        <f t="shared" si="235"/>
        <v>5.9641193636851586</v>
      </c>
      <c r="P2454" s="22">
        <f>O2454/Explications!$C$8</f>
        <v>0.19880397878950529</v>
      </c>
      <c r="Q2454" s="7" t="str">
        <f t="shared" si="236"/>
        <v>C59</v>
      </c>
      <c r="R2454" s="7" t="str">
        <f t="shared" si="237"/>
        <v>C36</v>
      </c>
      <c r="S2454" s="18">
        <f t="shared" si="238"/>
        <v>5.9641193636851586</v>
      </c>
      <c r="T2454" s="18">
        <f>S2454/Explications!$C$8</f>
        <v>0.19880397878950529</v>
      </c>
    </row>
    <row r="2455" spans="7:20">
      <c r="G2455" s="7" t="s">
        <v>52</v>
      </c>
      <c r="H2455" s="7" t="s">
        <v>76</v>
      </c>
      <c r="I2455" s="7">
        <v>46.774099999999997</v>
      </c>
      <c r="J2455" s="7">
        <v>-71.174000000000007</v>
      </c>
      <c r="K2455" s="7">
        <v>46.772500000000001</v>
      </c>
      <c r="L2455" s="7">
        <v>-71.276300000000006</v>
      </c>
      <c r="M2455" s="10" t="str">
        <f t="shared" si="233"/>
        <v>C36</v>
      </c>
      <c r="N2455" s="10" t="str">
        <f t="shared" si="234"/>
        <v>C60</v>
      </c>
      <c r="O2455" s="5">
        <f t="shared" si="235"/>
        <v>7.792782252135094</v>
      </c>
      <c r="P2455" s="22">
        <f>O2455/Explications!$C$8</f>
        <v>0.25975940840450312</v>
      </c>
      <c r="Q2455" s="7" t="str">
        <f t="shared" si="236"/>
        <v>C60</v>
      </c>
      <c r="R2455" s="7" t="str">
        <f t="shared" si="237"/>
        <v>C36</v>
      </c>
      <c r="S2455" s="18">
        <f t="shared" si="238"/>
        <v>7.792782252135094</v>
      </c>
      <c r="T2455" s="18">
        <f>S2455/Explications!$C$8</f>
        <v>0.25975940840450312</v>
      </c>
    </row>
    <row r="2456" spans="7:20">
      <c r="G2456" s="7" t="s">
        <v>52</v>
      </c>
      <c r="H2456" s="7" t="s">
        <v>77</v>
      </c>
      <c r="I2456" s="7">
        <v>46.774099999999997</v>
      </c>
      <c r="J2456" s="7">
        <v>-71.174000000000007</v>
      </c>
      <c r="K2456" s="7">
        <v>46.810899999999997</v>
      </c>
      <c r="L2456" s="7">
        <v>-71.215599999999995</v>
      </c>
      <c r="M2456" s="10" t="str">
        <f t="shared" si="233"/>
        <v>C36</v>
      </c>
      <c r="N2456" s="10" t="str">
        <f t="shared" si="234"/>
        <v>C61</v>
      </c>
      <c r="O2456" s="5">
        <f t="shared" si="235"/>
        <v>5.1743463966723153</v>
      </c>
      <c r="P2456" s="22">
        <f>O2456/Explications!$C$8</f>
        <v>0.1724782132224105</v>
      </c>
      <c r="Q2456" s="7" t="str">
        <f t="shared" si="236"/>
        <v>C61</v>
      </c>
      <c r="R2456" s="7" t="str">
        <f t="shared" si="237"/>
        <v>C36</v>
      </c>
      <c r="S2456" s="18">
        <f t="shared" si="238"/>
        <v>5.1743463966723153</v>
      </c>
      <c r="T2456" s="18">
        <f>S2456/Explications!$C$8</f>
        <v>0.1724782132224105</v>
      </c>
    </row>
    <row r="2457" spans="7:20">
      <c r="G2457" s="7" t="s">
        <v>52</v>
      </c>
      <c r="H2457" s="7" t="s">
        <v>78</v>
      </c>
      <c r="I2457" s="7">
        <v>46.774099999999997</v>
      </c>
      <c r="J2457" s="7">
        <v>-71.174000000000007</v>
      </c>
      <c r="K2457" s="7">
        <v>46.795200000000001</v>
      </c>
      <c r="L2457" s="7">
        <v>-71.245099999999994</v>
      </c>
      <c r="M2457" s="10" t="str">
        <f t="shared" si="233"/>
        <v>C36</v>
      </c>
      <c r="N2457" s="10" t="str">
        <f t="shared" si="234"/>
        <v>C62</v>
      </c>
      <c r="O2457" s="5">
        <f t="shared" si="235"/>
        <v>5.9001004334942992</v>
      </c>
      <c r="P2457" s="22">
        <f>O2457/Explications!$C$8</f>
        <v>0.19667001444980997</v>
      </c>
      <c r="Q2457" s="7" t="str">
        <f t="shared" si="236"/>
        <v>C62</v>
      </c>
      <c r="R2457" s="7" t="str">
        <f t="shared" si="237"/>
        <v>C36</v>
      </c>
      <c r="S2457" s="18">
        <f t="shared" si="238"/>
        <v>5.9001004334942992</v>
      </c>
      <c r="T2457" s="18">
        <f>S2457/Explications!$C$8</f>
        <v>0.19667001444980997</v>
      </c>
    </row>
    <row r="2458" spans="7:20">
      <c r="G2458" s="7" t="s">
        <v>52</v>
      </c>
      <c r="H2458" s="7" t="s">
        <v>79</v>
      </c>
      <c r="I2458" s="7">
        <v>46.774099999999997</v>
      </c>
      <c r="J2458" s="7">
        <v>-71.174000000000007</v>
      </c>
      <c r="K2458" s="7">
        <v>46.822000000000003</v>
      </c>
      <c r="L2458" s="7">
        <v>-71.345699999999994</v>
      </c>
      <c r="M2458" s="10" t="str">
        <f t="shared" si="233"/>
        <v>C36</v>
      </c>
      <c r="N2458" s="10" t="str">
        <f t="shared" si="234"/>
        <v>C63</v>
      </c>
      <c r="O2458" s="5">
        <f t="shared" si="235"/>
        <v>14.113561277051874</v>
      </c>
      <c r="P2458" s="22">
        <f>O2458/Explications!$C$8</f>
        <v>0.47045204256839579</v>
      </c>
      <c r="Q2458" s="7" t="str">
        <f t="shared" si="236"/>
        <v>C63</v>
      </c>
      <c r="R2458" s="7" t="str">
        <f t="shared" si="237"/>
        <v>C36</v>
      </c>
      <c r="S2458" s="18">
        <f t="shared" si="238"/>
        <v>14.113561277051874</v>
      </c>
      <c r="T2458" s="18">
        <f>S2458/Explications!$C$8</f>
        <v>0.47045204256839579</v>
      </c>
    </row>
    <row r="2459" spans="7:20">
      <c r="G2459" s="7" t="s">
        <v>52</v>
      </c>
      <c r="H2459" s="7" t="s">
        <v>80</v>
      </c>
      <c r="I2459" s="7">
        <v>46.774099999999997</v>
      </c>
      <c r="J2459" s="7">
        <v>-71.174000000000007</v>
      </c>
      <c r="K2459" s="7">
        <v>46.779400000000003</v>
      </c>
      <c r="L2459" s="7">
        <v>-71.350399999999993</v>
      </c>
      <c r="M2459" s="10" t="str">
        <f t="shared" si="233"/>
        <v>C36</v>
      </c>
      <c r="N2459" s="10" t="str">
        <f t="shared" si="234"/>
        <v>C64</v>
      </c>
      <c r="O2459" s="5">
        <f t="shared" si="235"/>
        <v>13.4459639701263</v>
      </c>
      <c r="P2459" s="22">
        <f>O2459/Explications!$C$8</f>
        <v>0.44819879900421</v>
      </c>
      <c r="Q2459" s="7" t="str">
        <f t="shared" si="236"/>
        <v>C64</v>
      </c>
      <c r="R2459" s="7" t="str">
        <f t="shared" si="237"/>
        <v>C36</v>
      </c>
      <c r="S2459" s="18">
        <f t="shared" si="238"/>
        <v>13.4459639701263</v>
      </c>
      <c r="T2459" s="18">
        <f>S2459/Explications!$C$8</f>
        <v>0.44819879900421</v>
      </c>
    </row>
    <row r="2460" spans="7:20">
      <c r="G2460" s="7" t="s">
        <v>52</v>
      </c>
      <c r="H2460" s="7" t="s">
        <v>81</v>
      </c>
      <c r="I2460" s="7">
        <v>46.774099999999997</v>
      </c>
      <c r="J2460" s="7">
        <v>-71.174000000000007</v>
      </c>
      <c r="K2460" s="7">
        <v>46.772300000000001</v>
      </c>
      <c r="L2460" s="7">
        <v>-71.279799999999994</v>
      </c>
      <c r="M2460" s="10" t="str">
        <f t="shared" si="233"/>
        <v>C36</v>
      </c>
      <c r="N2460" s="10" t="str">
        <f t="shared" si="234"/>
        <v>C65</v>
      </c>
      <c r="O2460" s="5">
        <f t="shared" si="235"/>
        <v>8.0597973310205102</v>
      </c>
      <c r="P2460" s="22">
        <f>O2460/Explications!$C$8</f>
        <v>0.26865991103401698</v>
      </c>
      <c r="Q2460" s="7" t="str">
        <f t="shared" si="236"/>
        <v>C65</v>
      </c>
      <c r="R2460" s="7" t="str">
        <f t="shared" si="237"/>
        <v>C36</v>
      </c>
      <c r="S2460" s="18">
        <f t="shared" si="238"/>
        <v>8.0597973310205102</v>
      </c>
      <c r="T2460" s="18">
        <f>S2460/Explications!$C$8</f>
        <v>0.26865991103401698</v>
      </c>
    </row>
    <row r="2461" spans="7:20">
      <c r="G2461" s="7" t="s">
        <v>52</v>
      </c>
      <c r="H2461" s="7" t="s">
        <v>82</v>
      </c>
      <c r="I2461" s="7">
        <v>46.774099999999997</v>
      </c>
      <c r="J2461" s="7">
        <v>-71.174000000000007</v>
      </c>
      <c r="K2461" s="7">
        <v>46.814900000000002</v>
      </c>
      <c r="L2461" s="7">
        <v>-71.225200000000001</v>
      </c>
      <c r="M2461" s="10" t="str">
        <f t="shared" si="233"/>
        <v>C36</v>
      </c>
      <c r="N2461" s="10" t="str">
        <f t="shared" si="234"/>
        <v>C66</v>
      </c>
      <c r="O2461" s="5">
        <f t="shared" si="235"/>
        <v>5.9811192717288053</v>
      </c>
      <c r="P2461" s="22">
        <f>O2461/Explications!$C$8</f>
        <v>0.19937064239096017</v>
      </c>
      <c r="Q2461" s="7" t="str">
        <f t="shared" si="236"/>
        <v>C66</v>
      </c>
      <c r="R2461" s="7" t="str">
        <f t="shared" si="237"/>
        <v>C36</v>
      </c>
      <c r="S2461" s="18">
        <f t="shared" si="238"/>
        <v>5.9811192717288053</v>
      </c>
      <c r="T2461" s="18">
        <f>S2461/Explications!$C$8</f>
        <v>0.19937064239096017</v>
      </c>
    </row>
    <row r="2462" spans="7:20">
      <c r="G2462" s="7" t="s">
        <v>52</v>
      </c>
      <c r="H2462" s="7" t="s">
        <v>83</v>
      </c>
      <c r="I2462" s="7">
        <v>46.774099999999997</v>
      </c>
      <c r="J2462" s="7">
        <v>-71.174000000000007</v>
      </c>
      <c r="K2462" s="7">
        <v>46.814700000000002</v>
      </c>
      <c r="L2462" s="7">
        <v>-71.207300000000004</v>
      </c>
      <c r="M2462" s="10" t="str">
        <f t="shared" si="233"/>
        <v>C36</v>
      </c>
      <c r="N2462" s="10" t="str">
        <f t="shared" si="234"/>
        <v>C67</v>
      </c>
      <c r="O2462" s="5">
        <f t="shared" si="235"/>
        <v>5.1775528994577318</v>
      </c>
      <c r="P2462" s="22">
        <f>O2462/Explications!$C$8</f>
        <v>0.17258509664859106</v>
      </c>
      <c r="Q2462" s="7" t="str">
        <f t="shared" si="236"/>
        <v>C67</v>
      </c>
      <c r="R2462" s="7" t="str">
        <f t="shared" si="237"/>
        <v>C36</v>
      </c>
      <c r="S2462" s="18">
        <f t="shared" si="238"/>
        <v>5.1775528994577318</v>
      </c>
      <c r="T2462" s="18">
        <f>S2462/Explications!$C$8</f>
        <v>0.17258509664859106</v>
      </c>
    </row>
    <row r="2463" spans="7:20">
      <c r="G2463" s="7" t="s">
        <v>52</v>
      </c>
      <c r="H2463" s="7" t="s">
        <v>84</v>
      </c>
      <c r="I2463" s="7">
        <v>46.774099999999997</v>
      </c>
      <c r="J2463" s="7">
        <v>-71.174000000000007</v>
      </c>
      <c r="K2463" s="7">
        <v>46.815600000000003</v>
      </c>
      <c r="L2463" s="7">
        <v>-71.2029</v>
      </c>
      <c r="M2463" s="10" t="str">
        <f t="shared" si="233"/>
        <v>C36</v>
      </c>
      <c r="N2463" s="10" t="str">
        <f t="shared" si="234"/>
        <v>C68</v>
      </c>
      <c r="O2463" s="5">
        <f t="shared" si="235"/>
        <v>5.1121959250703499</v>
      </c>
      <c r="P2463" s="22">
        <f>O2463/Explications!$C$8</f>
        <v>0.17040653083567833</v>
      </c>
      <c r="Q2463" s="7" t="str">
        <f t="shared" si="236"/>
        <v>C68</v>
      </c>
      <c r="R2463" s="7" t="str">
        <f t="shared" si="237"/>
        <v>C36</v>
      </c>
      <c r="S2463" s="18">
        <f t="shared" si="238"/>
        <v>5.1121959250703499</v>
      </c>
      <c r="T2463" s="18">
        <f>S2463/Explications!$C$8</f>
        <v>0.17040653083567833</v>
      </c>
    </row>
    <row r="2464" spans="7:20">
      <c r="G2464" s="7" t="s">
        <v>52</v>
      </c>
      <c r="H2464" s="7" t="s">
        <v>85</v>
      </c>
      <c r="I2464" s="7">
        <v>46.774099999999997</v>
      </c>
      <c r="J2464" s="7">
        <v>-71.174000000000007</v>
      </c>
      <c r="K2464" s="7">
        <v>46.821899999999999</v>
      </c>
      <c r="L2464" s="7">
        <v>-71.249899999999997</v>
      </c>
      <c r="M2464" s="10" t="str">
        <f t="shared" si="233"/>
        <v>C36</v>
      </c>
      <c r="N2464" s="10" t="str">
        <f t="shared" si="234"/>
        <v>C69</v>
      </c>
      <c r="O2464" s="5">
        <f t="shared" si="235"/>
        <v>7.8505371705499298</v>
      </c>
      <c r="P2464" s="22">
        <f>O2464/Explications!$C$8</f>
        <v>0.26168457235166431</v>
      </c>
      <c r="Q2464" s="7" t="str">
        <f t="shared" si="236"/>
        <v>C69</v>
      </c>
      <c r="R2464" s="7" t="str">
        <f t="shared" si="237"/>
        <v>C36</v>
      </c>
      <c r="S2464" s="18">
        <f t="shared" si="238"/>
        <v>7.8505371705499298</v>
      </c>
      <c r="T2464" s="18">
        <f>S2464/Explications!$C$8</f>
        <v>0.26168457235166431</v>
      </c>
    </row>
    <row r="2465" spans="7:20">
      <c r="G2465" s="7" t="s">
        <v>52</v>
      </c>
      <c r="H2465" s="7" t="s">
        <v>86</v>
      </c>
      <c r="I2465" s="7">
        <v>46.774099999999997</v>
      </c>
      <c r="J2465" s="7">
        <v>-71.174000000000007</v>
      </c>
      <c r="K2465" s="7">
        <v>46.8872</v>
      </c>
      <c r="L2465" s="7">
        <v>-71.27</v>
      </c>
      <c r="M2465" s="10" t="str">
        <f t="shared" si="233"/>
        <v>C36</v>
      </c>
      <c r="N2465" s="10" t="str">
        <f t="shared" si="234"/>
        <v>C70</v>
      </c>
      <c r="O2465" s="5">
        <f t="shared" si="235"/>
        <v>14.542895532093837</v>
      </c>
      <c r="P2465" s="22">
        <f>O2465/Explications!$C$8</f>
        <v>0.48476318440312788</v>
      </c>
      <c r="Q2465" s="7" t="str">
        <f t="shared" si="236"/>
        <v>C70</v>
      </c>
      <c r="R2465" s="7" t="str">
        <f t="shared" si="237"/>
        <v>C36</v>
      </c>
      <c r="S2465" s="18">
        <f t="shared" si="238"/>
        <v>14.542895532093837</v>
      </c>
      <c r="T2465" s="18">
        <f>S2465/Explications!$C$8</f>
        <v>0.48476318440312788</v>
      </c>
    </row>
    <row r="2466" spans="7:20">
      <c r="G2466" s="7" t="s">
        <v>52</v>
      </c>
      <c r="H2466" s="7" t="s">
        <v>87</v>
      </c>
      <c r="I2466" s="7">
        <v>46.774099999999997</v>
      </c>
      <c r="J2466" s="7">
        <v>-71.174000000000007</v>
      </c>
      <c r="K2466" s="7">
        <v>46.816299999999998</v>
      </c>
      <c r="L2466" s="7">
        <v>-71.210300000000004</v>
      </c>
      <c r="M2466" s="10" t="str">
        <f t="shared" si="233"/>
        <v>C36</v>
      </c>
      <c r="N2466" s="10" t="str">
        <f t="shared" si="234"/>
        <v>C71</v>
      </c>
      <c r="O2466" s="5">
        <f t="shared" si="235"/>
        <v>5.4456298489270942</v>
      </c>
      <c r="P2466" s="22">
        <f>O2466/Explications!$C$8</f>
        <v>0.18152099496423649</v>
      </c>
      <c r="Q2466" s="7" t="str">
        <f t="shared" si="236"/>
        <v>C71</v>
      </c>
      <c r="R2466" s="7" t="str">
        <f t="shared" si="237"/>
        <v>C36</v>
      </c>
      <c r="S2466" s="18">
        <f t="shared" si="238"/>
        <v>5.4456298489270942</v>
      </c>
      <c r="T2466" s="18">
        <f>S2466/Explications!$C$8</f>
        <v>0.18152099496423649</v>
      </c>
    </row>
    <row r="2467" spans="7:20">
      <c r="G2467" s="7" t="s">
        <v>52</v>
      </c>
      <c r="H2467" s="7" t="s">
        <v>88</v>
      </c>
      <c r="I2467" s="7">
        <v>46.774099999999997</v>
      </c>
      <c r="J2467" s="7">
        <v>-71.174000000000007</v>
      </c>
      <c r="K2467" s="7">
        <v>46.807000000000002</v>
      </c>
      <c r="L2467" s="7">
        <v>-71.3566</v>
      </c>
      <c r="M2467" s="10" t="str">
        <f t="shared" si="233"/>
        <v>C36</v>
      </c>
      <c r="N2467" s="10" t="str">
        <f t="shared" si="234"/>
        <v>C72</v>
      </c>
      <c r="O2467" s="5">
        <f t="shared" si="235"/>
        <v>14.374913111300236</v>
      </c>
      <c r="P2467" s="22">
        <f>O2467/Explications!$C$8</f>
        <v>0.47916377037667451</v>
      </c>
      <c r="Q2467" s="7" t="str">
        <f t="shared" si="236"/>
        <v>C72</v>
      </c>
      <c r="R2467" s="7" t="str">
        <f t="shared" si="237"/>
        <v>C36</v>
      </c>
      <c r="S2467" s="18">
        <f t="shared" si="238"/>
        <v>14.374913111300236</v>
      </c>
      <c r="T2467" s="18">
        <f>S2467/Explications!$C$8</f>
        <v>0.47916377037667451</v>
      </c>
    </row>
    <row r="2468" spans="7:20">
      <c r="G2468" s="7" t="s">
        <v>52</v>
      </c>
      <c r="H2468" s="7" t="s">
        <v>89</v>
      </c>
      <c r="I2468" s="7">
        <v>46.774099999999997</v>
      </c>
      <c r="J2468" s="7">
        <v>-71.174000000000007</v>
      </c>
      <c r="K2468" s="7">
        <v>46.822899999999997</v>
      </c>
      <c r="L2468" s="7">
        <v>-71.341899999999995</v>
      </c>
      <c r="M2468" s="10" t="str">
        <f t="shared" si="233"/>
        <v>C36</v>
      </c>
      <c r="N2468" s="10" t="str">
        <f t="shared" si="234"/>
        <v>C73</v>
      </c>
      <c r="O2468" s="5">
        <f t="shared" si="235"/>
        <v>13.884826287510759</v>
      </c>
      <c r="P2468" s="22">
        <f>O2468/Explications!$C$8</f>
        <v>0.46282754291702527</v>
      </c>
      <c r="Q2468" s="7" t="str">
        <f t="shared" si="236"/>
        <v>C73</v>
      </c>
      <c r="R2468" s="7" t="str">
        <f t="shared" si="237"/>
        <v>C36</v>
      </c>
      <c r="S2468" s="18">
        <f t="shared" si="238"/>
        <v>13.884826287510759</v>
      </c>
      <c r="T2468" s="18">
        <f>S2468/Explications!$C$8</f>
        <v>0.46282754291702527</v>
      </c>
    </row>
    <row r="2469" spans="7:20">
      <c r="G2469" s="7" t="s">
        <v>52</v>
      </c>
      <c r="H2469" s="7" t="s">
        <v>90</v>
      </c>
      <c r="I2469" s="7">
        <v>46.774099999999997</v>
      </c>
      <c r="J2469" s="7">
        <v>-71.174000000000007</v>
      </c>
      <c r="K2469" s="7">
        <v>46.730699999999999</v>
      </c>
      <c r="L2469" s="7">
        <v>-71.261099999999999</v>
      </c>
      <c r="M2469" s="10" t="str">
        <f t="shared" si="233"/>
        <v>C36</v>
      </c>
      <c r="N2469" s="10" t="str">
        <f t="shared" si="234"/>
        <v>C74</v>
      </c>
      <c r="O2469" s="5">
        <f t="shared" si="235"/>
        <v>8.2050080691719671</v>
      </c>
      <c r="P2469" s="22">
        <f>O2469/Explications!$C$8</f>
        <v>0.27350026897239893</v>
      </c>
      <c r="Q2469" s="7" t="str">
        <f t="shared" si="236"/>
        <v>C74</v>
      </c>
      <c r="R2469" s="7" t="str">
        <f t="shared" si="237"/>
        <v>C36</v>
      </c>
      <c r="S2469" s="18">
        <f t="shared" si="238"/>
        <v>8.2050080691719671</v>
      </c>
      <c r="T2469" s="18">
        <f>S2469/Explications!$C$8</f>
        <v>0.27350026897239893</v>
      </c>
    </row>
    <row r="2470" spans="7:20">
      <c r="G2470" s="7" t="s">
        <v>52</v>
      </c>
      <c r="H2470" s="7" t="s">
        <v>91</v>
      </c>
      <c r="I2470" s="7">
        <v>46.774099999999997</v>
      </c>
      <c r="J2470" s="7">
        <v>-71.174000000000007</v>
      </c>
      <c r="K2470" s="7">
        <v>46.840600000000002</v>
      </c>
      <c r="L2470" s="7">
        <v>-71.289100000000005</v>
      </c>
      <c r="M2470" s="10" t="str">
        <f t="shared" si="233"/>
        <v>C36</v>
      </c>
      <c r="N2470" s="10" t="str">
        <f t="shared" si="234"/>
        <v>C75</v>
      </c>
      <c r="O2470" s="5">
        <f t="shared" si="235"/>
        <v>11.463668450953072</v>
      </c>
      <c r="P2470" s="22">
        <f>O2470/Explications!$C$8</f>
        <v>0.38212228169843576</v>
      </c>
      <c r="Q2470" s="7" t="str">
        <f t="shared" si="236"/>
        <v>C75</v>
      </c>
      <c r="R2470" s="7" t="str">
        <f t="shared" si="237"/>
        <v>C36</v>
      </c>
      <c r="S2470" s="18">
        <f t="shared" si="238"/>
        <v>11.463668450953072</v>
      </c>
      <c r="T2470" s="18">
        <f>S2470/Explications!$C$8</f>
        <v>0.38212228169843576</v>
      </c>
    </row>
    <row r="2471" spans="7:20">
      <c r="G2471" s="7" t="s">
        <v>52</v>
      </c>
      <c r="H2471" s="7" t="s">
        <v>92</v>
      </c>
      <c r="I2471" s="7">
        <v>46.774099999999997</v>
      </c>
      <c r="J2471" s="7">
        <v>-71.174000000000007</v>
      </c>
      <c r="K2471" s="7">
        <v>46.840600000000002</v>
      </c>
      <c r="L2471" s="7">
        <v>-71.281599999999997</v>
      </c>
      <c r="M2471" s="10" t="str">
        <f t="shared" si="233"/>
        <v>C36</v>
      </c>
      <c r="N2471" s="10" t="str">
        <f t="shared" si="234"/>
        <v>C76</v>
      </c>
      <c r="O2471" s="5">
        <f t="shared" si="235"/>
        <v>11.033628572225258</v>
      </c>
      <c r="P2471" s="22">
        <f>O2471/Explications!$C$8</f>
        <v>0.36778761907417523</v>
      </c>
      <c r="Q2471" s="7" t="str">
        <f t="shared" si="236"/>
        <v>C76</v>
      </c>
      <c r="R2471" s="7" t="str">
        <f t="shared" si="237"/>
        <v>C36</v>
      </c>
      <c r="S2471" s="18">
        <f t="shared" si="238"/>
        <v>11.033628572225258</v>
      </c>
      <c r="T2471" s="18">
        <f>S2471/Explications!$C$8</f>
        <v>0.36778761907417523</v>
      </c>
    </row>
    <row r="2472" spans="7:20">
      <c r="G2472" s="7" t="s">
        <v>52</v>
      </c>
      <c r="H2472" s="7" t="s">
        <v>93</v>
      </c>
      <c r="I2472" s="7">
        <v>46.774099999999997</v>
      </c>
      <c r="J2472" s="7">
        <v>-71.174000000000007</v>
      </c>
      <c r="K2472" s="7">
        <v>46.839399999999998</v>
      </c>
      <c r="L2472" s="7">
        <v>-71.282600000000002</v>
      </c>
      <c r="M2472" s="10" t="str">
        <f t="shared" si="233"/>
        <v>C36</v>
      </c>
      <c r="N2472" s="10" t="str">
        <f t="shared" si="234"/>
        <v>C77</v>
      </c>
      <c r="O2472" s="5">
        <f t="shared" si="235"/>
        <v>11.001784369650638</v>
      </c>
      <c r="P2472" s="22">
        <f>O2472/Explications!$C$8</f>
        <v>0.36672614565502126</v>
      </c>
      <c r="Q2472" s="7" t="str">
        <f t="shared" si="236"/>
        <v>C77</v>
      </c>
      <c r="R2472" s="7" t="str">
        <f t="shared" si="237"/>
        <v>C36</v>
      </c>
      <c r="S2472" s="18">
        <f t="shared" si="238"/>
        <v>11.001784369650638</v>
      </c>
      <c r="T2472" s="18">
        <f>S2472/Explications!$C$8</f>
        <v>0.36672614565502126</v>
      </c>
    </row>
    <row r="2473" spans="7:20">
      <c r="G2473" s="7" t="s">
        <v>52</v>
      </c>
      <c r="H2473" s="7" t="s">
        <v>94</v>
      </c>
      <c r="I2473" s="7">
        <v>46.774099999999997</v>
      </c>
      <c r="J2473" s="7">
        <v>-71.174000000000007</v>
      </c>
      <c r="K2473" s="7">
        <v>46.788499999999999</v>
      </c>
      <c r="L2473" s="7">
        <v>-71.282399999999996</v>
      </c>
      <c r="M2473" s="10" t="str">
        <f t="shared" si="233"/>
        <v>C36</v>
      </c>
      <c r="N2473" s="10" t="str">
        <f t="shared" si="234"/>
        <v>C78</v>
      </c>
      <c r="O2473" s="5">
        <f t="shared" si="235"/>
        <v>8.4079503431293912</v>
      </c>
      <c r="P2473" s="22">
        <f>O2473/Explications!$C$8</f>
        <v>0.28026501143764637</v>
      </c>
      <c r="Q2473" s="7" t="str">
        <f t="shared" si="236"/>
        <v>C78</v>
      </c>
      <c r="R2473" s="7" t="str">
        <f t="shared" si="237"/>
        <v>C36</v>
      </c>
      <c r="S2473" s="18">
        <f t="shared" si="238"/>
        <v>8.4079503431293912</v>
      </c>
      <c r="T2473" s="18">
        <f>S2473/Explications!$C$8</f>
        <v>0.28026501143764637</v>
      </c>
    </row>
    <row r="2474" spans="7:20">
      <c r="G2474" s="7" t="s">
        <v>52</v>
      </c>
      <c r="H2474" s="7" t="s">
        <v>95</v>
      </c>
      <c r="I2474" s="7">
        <v>46.774099999999997</v>
      </c>
      <c r="J2474" s="7">
        <v>-71.174000000000007</v>
      </c>
      <c r="K2474" s="7">
        <v>46.840699999999998</v>
      </c>
      <c r="L2474" s="7">
        <v>-71.325400000000002</v>
      </c>
      <c r="M2474" s="10" t="str">
        <f t="shared" si="233"/>
        <v>C36</v>
      </c>
      <c r="N2474" s="10" t="str">
        <f t="shared" si="234"/>
        <v>C79</v>
      </c>
      <c r="O2474" s="5">
        <f t="shared" si="235"/>
        <v>13.697272460873869</v>
      </c>
      <c r="P2474" s="22">
        <f>O2474/Explications!$C$8</f>
        <v>0.45657574869579565</v>
      </c>
      <c r="Q2474" s="7" t="str">
        <f t="shared" si="236"/>
        <v>C79</v>
      </c>
      <c r="R2474" s="7" t="str">
        <f t="shared" si="237"/>
        <v>C36</v>
      </c>
      <c r="S2474" s="18">
        <f t="shared" si="238"/>
        <v>13.697272460873869</v>
      </c>
      <c r="T2474" s="18">
        <f>S2474/Explications!$C$8</f>
        <v>0.45657574869579565</v>
      </c>
    </row>
    <row r="2475" spans="7:20">
      <c r="G2475" s="7" t="s">
        <v>52</v>
      </c>
      <c r="H2475" s="7" t="s">
        <v>96</v>
      </c>
      <c r="I2475" s="7">
        <v>46.774099999999997</v>
      </c>
      <c r="J2475" s="7">
        <v>-71.174000000000007</v>
      </c>
      <c r="K2475" s="7">
        <v>46.798400000000001</v>
      </c>
      <c r="L2475" s="7">
        <v>-71.183199999999999</v>
      </c>
      <c r="M2475" s="10" t="str">
        <f t="shared" si="233"/>
        <v>C36</v>
      </c>
      <c r="N2475" s="10" t="str">
        <f t="shared" si="234"/>
        <v>C80</v>
      </c>
      <c r="O2475" s="5">
        <f t="shared" si="235"/>
        <v>2.7913536311152809</v>
      </c>
      <c r="P2475" s="22">
        <f>O2475/Explications!$C$8</f>
        <v>9.3045121037176035E-2</v>
      </c>
      <c r="Q2475" s="7" t="str">
        <f t="shared" si="236"/>
        <v>C80</v>
      </c>
      <c r="R2475" s="7" t="str">
        <f t="shared" si="237"/>
        <v>C36</v>
      </c>
      <c r="S2475" s="18">
        <f t="shared" si="238"/>
        <v>2.7913536311152809</v>
      </c>
      <c r="T2475" s="18">
        <f>S2475/Explications!$C$8</f>
        <v>9.3045121037176035E-2</v>
      </c>
    </row>
    <row r="2476" spans="7:20">
      <c r="G2476" s="7" t="s">
        <v>52</v>
      </c>
      <c r="H2476" s="7" t="s">
        <v>97</v>
      </c>
      <c r="I2476" s="7">
        <v>46.774099999999997</v>
      </c>
      <c r="J2476" s="7">
        <v>-71.174000000000007</v>
      </c>
      <c r="K2476" s="7">
        <v>46.724800000000002</v>
      </c>
      <c r="L2476" s="7">
        <v>-71.2988</v>
      </c>
      <c r="M2476" s="10" t="str">
        <f t="shared" si="233"/>
        <v>C36</v>
      </c>
      <c r="N2476" s="10" t="str">
        <f t="shared" si="234"/>
        <v>C81</v>
      </c>
      <c r="O2476" s="5">
        <f t="shared" si="235"/>
        <v>10.975530139447985</v>
      </c>
      <c r="P2476" s="22">
        <f>O2476/Explications!$C$8</f>
        <v>0.36585100464826614</v>
      </c>
      <c r="Q2476" s="7" t="str">
        <f t="shared" si="236"/>
        <v>C81</v>
      </c>
      <c r="R2476" s="7" t="str">
        <f t="shared" si="237"/>
        <v>C36</v>
      </c>
      <c r="S2476" s="18">
        <f t="shared" si="238"/>
        <v>10.975530139447985</v>
      </c>
      <c r="T2476" s="18">
        <f>S2476/Explications!$C$8</f>
        <v>0.36585100464826614</v>
      </c>
    </row>
    <row r="2477" spans="7:20">
      <c r="G2477" s="7" t="s">
        <v>52</v>
      </c>
      <c r="H2477" s="7" t="s">
        <v>98</v>
      </c>
      <c r="I2477" s="7">
        <v>46.774099999999997</v>
      </c>
      <c r="J2477" s="7">
        <v>-71.174000000000007</v>
      </c>
      <c r="K2477" s="7">
        <v>46.795499999999997</v>
      </c>
      <c r="L2477" s="7">
        <v>-71.242900000000006</v>
      </c>
      <c r="M2477" s="10" t="str">
        <f t="shared" si="233"/>
        <v>C36</v>
      </c>
      <c r="N2477" s="10" t="str">
        <f t="shared" si="234"/>
        <v>C82</v>
      </c>
      <c r="O2477" s="5">
        <f t="shared" si="235"/>
        <v>5.7604786644746184</v>
      </c>
      <c r="P2477" s="22">
        <f>O2477/Explications!$C$8</f>
        <v>0.19201595548248729</v>
      </c>
      <c r="Q2477" s="7" t="str">
        <f t="shared" si="236"/>
        <v>C82</v>
      </c>
      <c r="R2477" s="7" t="str">
        <f t="shared" si="237"/>
        <v>C36</v>
      </c>
      <c r="S2477" s="18">
        <f t="shared" si="238"/>
        <v>5.7604786644746184</v>
      </c>
      <c r="T2477" s="18">
        <f>S2477/Explications!$C$8</f>
        <v>0.19201595548248729</v>
      </c>
    </row>
    <row r="2478" spans="7:20">
      <c r="G2478" s="7" t="s">
        <v>52</v>
      </c>
      <c r="H2478" s="7" t="s">
        <v>99</v>
      </c>
      <c r="I2478" s="7">
        <v>46.774099999999997</v>
      </c>
      <c r="J2478" s="7">
        <v>-71.174000000000007</v>
      </c>
      <c r="K2478" s="7">
        <v>46.8157</v>
      </c>
      <c r="L2478" s="7">
        <v>-71.201899999999995</v>
      </c>
      <c r="M2478" s="10" t="str">
        <f t="shared" si="233"/>
        <v>C36</v>
      </c>
      <c r="N2478" s="10" t="str">
        <f t="shared" si="234"/>
        <v>C83</v>
      </c>
      <c r="O2478" s="5">
        <f t="shared" si="235"/>
        <v>5.090002505430947</v>
      </c>
      <c r="P2478" s="22">
        <f>O2478/Explications!$C$8</f>
        <v>0.16966675018103156</v>
      </c>
      <c r="Q2478" s="7" t="str">
        <f t="shared" si="236"/>
        <v>C83</v>
      </c>
      <c r="R2478" s="7" t="str">
        <f t="shared" si="237"/>
        <v>C36</v>
      </c>
      <c r="S2478" s="18">
        <f t="shared" si="238"/>
        <v>5.090002505430947</v>
      </c>
      <c r="T2478" s="18">
        <f>S2478/Explications!$C$8</f>
        <v>0.16966675018103156</v>
      </c>
    </row>
    <row r="2479" spans="7:20">
      <c r="G2479" s="7" t="s">
        <v>52</v>
      </c>
      <c r="H2479" s="7" t="s">
        <v>100</v>
      </c>
      <c r="I2479" s="7">
        <v>46.774099999999997</v>
      </c>
      <c r="J2479" s="7">
        <v>-71.174000000000007</v>
      </c>
      <c r="K2479" s="7">
        <v>46.837600000000002</v>
      </c>
      <c r="L2479" s="7">
        <v>-71.196299999999994</v>
      </c>
      <c r="M2479" s="10" t="str">
        <f t="shared" si="233"/>
        <v>C36</v>
      </c>
      <c r="N2479" s="10" t="str">
        <f t="shared" si="234"/>
        <v>C84</v>
      </c>
      <c r="O2479" s="5">
        <f t="shared" si="235"/>
        <v>7.2620006817078027</v>
      </c>
      <c r="P2479" s="22">
        <f>O2479/Explications!$C$8</f>
        <v>0.24206668939026008</v>
      </c>
      <c r="Q2479" s="7" t="str">
        <f t="shared" si="236"/>
        <v>C84</v>
      </c>
      <c r="R2479" s="7" t="str">
        <f t="shared" si="237"/>
        <v>C36</v>
      </c>
      <c r="S2479" s="18">
        <f t="shared" si="238"/>
        <v>7.2620006817078027</v>
      </c>
      <c r="T2479" s="18">
        <f>S2479/Explications!$C$8</f>
        <v>0.24206668939026008</v>
      </c>
    </row>
    <row r="2480" spans="7:20">
      <c r="G2480" s="7" t="s">
        <v>52</v>
      </c>
      <c r="H2480" s="7" t="s">
        <v>101</v>
      </c>
      <c r="I2480" s="7">
        <v>46.774099999999997</v>
      </c>
      <c r="J2480" s="7">
        <v>-71.174000000000007</v>
      </c>
      <c r="K2480" s="7">
        <v>46.7988</v>
      </c>
      <c r="L2480" s="7">
        <v>-71.318200000000004</v>
      </c>
      <c r="M2480" s="10" t="str">
        <f t="shared" si="233"/>
        <v>C36</v>
      </c>
      <c r="N2480" s="10" t="str">
        <f t="shared" si="234"/>
        <v>C85</v>
      </c>
      <c r="O2480" s="5">
        <f t="shared" si="235"/>
        <v>11.317323697646273</v>
      </c>
      <c r="P2480" s="22">
        <f>O2480/Explications!$C$8</f>
        <v>0.37724412325487577</v>
      </c>
      <c r="Q2480" s="7" t="str">
        <f t="shared" si="236"/>
        <v>C85</v>
      </c>
      <c r="R2480" s="7" t="str">
        <f t="shared" si="237"/>
        <v>C36</v>
      </c>
      <c r="S2480" s="18">
        <f t="shared" si="238"/>
        <v>11.317323697646273</v>
      </c>
      <c r="T2480" s="18">
        <f>S2480/Explications!$C$8</f>
        <v>0.37724412325487577</v>
      </c>
    </row>
    <row r="2481" spans="7:20">
      <c r="G2481" s="7" t="s">
        <v>53</v>
      </c>
      <c r="H2481" s="7" t="s">
        <v>54</v>
      </c>
      <c r="I2481" s="7">
        <v>46.808500000000002</v>
      </c>
      <c r="J2481" s="7">
        <v>-71.326599999999999</v>
      </c>
      <c r="K2481" s="7">
        <v>46.797499999999999</v>
      </c>
      <c r="L2481" s="7">
        <v>-71.306100000000001</v>
      </c>
      <c r="M2481" s="10" t="str">
        <f t="shared" si="233"/>
        <v>C37</v>
      </c>
      <c r="N2481" s="10" t="str">
        <f t="shared" si="234"/>
        <v>C38</v>
      </c>
      <c r="O2481" s="5">
        <f t="shared" si="235"/>
        <v>1.9826064050681551</v>
      </c>
      <c r="P2481" s="22">
        <f>O2481/Explications!$C$8</f>
        <v>6.6086880168938503E-2</v>
      </c>
      <c r="Q2481" s="7" t="str">
        <f t="shared" si="236"/>
        <v>C38</v>
      </c>
      <c r="R2481" s="7" t="str">
        <f t="shared" si="237"/>
        <v>C37</v>
      </c>
      <c r="S2481" s="18">
        <f t="shared" si="238"/>
        <v>1.9826064050681551</v>
      </c>
      <c r="T2481" s="18">
        <f>S2481/Explications!$C$8</f>
        <v>6.6086880168938503E-2</v>
      </c>
    </row>
    <row r="2482" spans="7:20">
      <c r="G2482" s="7" t="s">
        <v>53</v>
      </c>
      <c r="H2482" s="7" t="s">
        <v>55</v>
      </c>
      <c r="I2482" s="7">
        <v>46.808500000000002</v>
      </c>
      <c r="J2482" s="7">
        <v>-71.326599999999999</v>
      </c>
      <c r="K2482" s="7">
        <v>46.8155</v>
      </c>
      <c r="L2482" s="7">
        <v>-71.268199999999993</v>
      </c>
      <c r="M2482" s="10" t="str">
        <f t="shared" si="233"/>
        <v>C37</v>
      </c>
      <c r="N2482" s="10" t="str">
        <f t="shared" si="234"/>
        <v>C39</v>
      </c>
      <c r="O2482" s="5">
        <f t="shared" si="235"/>
        <v>4.5119547356752125</v>
      </c>
      <c r="P2482" s="22">
        <f>O2482/Explications!$C$8</f>
        <v>0.15039849118917376</v>
      </c>
      <c r="Q2482" s="7" t="str">
        <f t="shared" si="236"/>
        <v>C39</v>
      </c>
      <c r="R2482" s="7" t="str">
        <f t="shared" si="237"/>
        <v>C37</v>
      </c>
      <c r="S2482" s="18">
        <f t="shared" si="238"/>
        <v>4.5119547356752125</v>
      </c>
      <c r="T2482" s="18">
        <f>S2482/Explications!$C$8</f>
        <v>0.15039849118917376</v>
      </c>
    </row>
    <row r="2483" spans="7:20">
      <c r="G2483" s="7" t="s">
        <v>53</v>
      </c>
      <c r="H2483" s="7" t="s">
        <v>56</v>
      </c>
      <c r="I2483" s="7">
        <v>46.808500000000002</v>
      </c>
      <c r="J2483" s="7">
        <v>-71.326599999999999</v>
      </c>
      <c r="K2483" s="7">
        <v>46.866700000000002</v>
      </c>
      <c r="L2483" s="7">
        <v>-71.215900000000005</v>
      </c>
      <c r="M2483" s="10" t="str">
        <f t="shared" si="233"/>
        <v>C37</v>
      </c>
      <c r="N2483" s="10" t="str">
        <f t="shared" si="234"/>
        <v>C40</v>
      </c>
      <c r="O2483" s="5">
        <f t="shared" si="235"/>
        <v>10.619973144223909</v>
      </c>
      <c r="P2483" s="22">
        <f>O2483/Explications!$C$8</f>
        <v>0.35399910480746366</v>
      </c>
      <c r="Q2483" s="7" t="str">
        <f t="shared" si="236"/>
        <v>C40</v>
      </c>
      <c r="R2483" s="7" t="str">
        <f t="shared" si="237"/>
        <v>C37</v>
      </c>
      <c r="S2483" s="18">
        <f t="shared" si="238"/>
        <v>10.619973144223909</v>
      </c>
      <c r="T2483" s="18">
        <f>S2483/Explications!$C$8</f>
        <v>0.35399910480746366</v>
      </c>
    </row>
    <row r="2484" spans="7:20">
      <c r="G2484" s="7" t="s">
        <v>53</v>
      </c>
      <c r="H2484" s="7" t="s">
        <v>57</v>
      </c>
      <c r="I2484" s="7">
        <v>46.808500000000002</v>
      </c>
      <c r="J2484" s="7">
        <v>-71.326599999999999</v>
      </c>
      <c r="K2484" s="7">
        <v>46.762099999999997</v>
      </c>
      <c r="L2484" s="7">
        <v>-71.235399999999998</v>
      </c>
      <c r="M2484" s="10" t="str">
        <f t="shared" si="233"/>
        <v>C37</v>
      </c>
      <c r="N2484" s="10" t="str">
        <f t="shared" si="234"/>
        <v>C41</v>
      </c>
      <c r="O2484" s="5">
        <f t="shared" si="235"/>
        <v>8.6508511022868344</v>
      </c>
      <c r="P2484" s="22">
        <f>O2484/Explications!$C$8</f>
        <v>0.28836170340956113</v>
      </c>
      <c r="Q2484" s="7" t="str">
        <f t="shared" si="236"/>
        <v>C41</v>
      </c>
      <c r="R2484" s="7" t="str">
        <f t="shared" si="237"/>
        <v>C37</v>
      </c>
      <c r="S2484" s="18">
        <f t="shared" si="238"/>
        <v>8.6508511022868344</v>
      </c>
      <c r="T2484" s="18">
        <f>S2484/Explications!$C$8</f>
        <v>0.28836170340956113</v>
      </c>
    </row>
    <row r="2485" spans="7:20">
      <c r="G2485" s="7" t="s">
        <v>53</v>
      </c>
      <c r="H2485" s="7" t="s">
        <v>58</v>
      </c>
      <c r="I2485" s="7">
        <v>46.808500000000002</v>
      </c>
      <c r="J2485" s="7">
        <v>-71.326599999999999</v>
      </c>
      <c r="K2485" s="7">
        <v>46.8157</v>
      </c>
      <c r="L2485" s="7">
        <v>-71.2042</v>
      </c>
      <c r="M2485" s="10" t="str">
        <f t="shared" si="233"/>
        <v>C37</v>
      </c>
      <c r="N2485" s="10" t="str">
        <f t="shared" si="234"/>
        <v>C42</v>
      </c>
      <c r="O2485" s="5">
        <f t="shared" si="235"/>
        <v>9.3491095800116266</v>
      </c>
      <c r="P2485" s="22">
        <f>O2485/Explications!$C$8</f>
        <v>0.31163698600038753</v>
      </c>
      <c r="Q2485" s="7" t="str">
        <f t="shared" si="236"/>
        <v>C42</v>
      </c>
      <c r="R2485" s="7" t="str">
        <f t="shared" si="237"/>
        <v>C37</v>
      </c>
      <c r="S2485" s="18">
        <f t="shared" si="238"/>
        <v>9.3491095800116266</v>
      </c>
      <c r="T2485" s="18">
        <f>S2485/Explications!$C$8</f>
        <v>0.31163698600038753</v>
      </c>
    </row>
    <row r="2486" spans="7:20">
      <c r="G2486" s="7" t="s">
        <v>53</v>
      </c>
      <c r="H2486" s="7" t="s">
        <v>59</v>
      </c>
      <c r="I2486" s="7">
        <v>46.808500000000002</v>
      </c>
      <c r="J2486" s="7">
        <v>-71.326599999999999</v>
      </c>
      <c r="K2486" s="7">
        <v>46.707000000000001</v>
      </c>
      <c r="L2486" s="7">
        <v>-71.217100000000002</v>
      </c>
      <c r="M2486" s="10" t="str">
        <f t="shared" si="233"/>
        <v>C37</v>
      </c>
      <c r="N2486" s="10" t="str">
        <f t="shared" si="234"/>
        <v>C43</v>
      </c>
      <c r="O2486" s="5">
        <f t="shared" si="235"/>
        <v>14.034260180272502</v>
      </c>
      <c r="P2486" s="22">
        <f>O2486/Explications!$C$8</f>
        <v>0.4678086726757501</v>
      </c>
      <c r="Q2486" s="7" t="str">
        <f t="shared" si="236"/>
        <v>C43</v>
      </c>
      <c r="R2486" s="7" t="str">
        <f t="shared" si="237"/>
        <v>C37</v>
      </c>
      <c r="S2486" s="18">
        <f t="shared" si="238"/>
        <v>14.034260180272502</v>
      </c>
      <c r="T2486" s="18">
        <f>S2486/Explications!$C$8</f>
        <v>0.4678086726757501</v>
      </c>
    </row>
    <row r="2487" spans="7:20">
      <c r="G2487" s="7" t="s">
        <v>53</v>
      </c>
      <c r="H2487" s="7" t="s">
        <v>60</v>
      </c>
      <c r="I2487" s="7">
        <v>46.808500000000002</v>
      </c>
      <c r="J2487" s="7">
        <v>-71.326599999999999</v>
      </c>
      <c r="K2487" s="7">
        <v>46.802900000000001</v>
      </c>
      <c r="L2487" s="7">
        <v>-71.228899999999996</v>
      </c>
      <c r="M2487" s="10" t="str">
        <f t="shared" si="233"/>
        <v>C37</v>
      </c>
      <c r="N2487" s="10" t="str">
        <f t="shared" si="234"/>
        <v>C44</v>
      </c>
      <c r="O2487" s="5">
        <f t="shared" si="235"/>
        <v>7.4619831103681316</v>
      </c>
      <c r="P2487" s="22">
        <f>O2487/Explications!$C$8</f>
        <v>0.2487327703456044</v>
      </c>
      <c r="Q2487" s="7" t="str">
        <f t="shared" si="236"/>
        <v>C44</v>
      </c>
      <c r="R2487" s="7" t="str">
        <f t="shared" si="237"/>
        <v>C37</v>
      </c>
      <c r="S2487" s="18">
        <f t="shared" si="238"/>
        <v>7.4619831103681316</v>
      </c>
      <c r="T2487" s="18">
        <f>S2487/Explications!$C$8</f>
        <v>0.2487327703456044</v>
      </c>
    </row>
    <row r="2488" spans="7:20">
      <c r="G2488" s="7" t="s">
        <v>53</v>
      </c>
      <c r="H2488" s="7" t="s">
        <v>61</v>
      </c>
      <c r="I2488" s="7">
        <v>46.808500000000002</v>
      </c>
      <c r="J2488" s="7">
        <v>-71.326599999999999</v>
      </c>
      <c r="K2488" s="7">
        <v>46.796900000000001</v>
      </c>
      <c r="L2488" s="7">
        <v>-71.3078</v>
      </c>
      <c r="M2488" s="10" t="str">
        <f t="shared" si="233"/>
        <v>C37</v>
      </c>
      <c r="N2488" s="10" t="str">
        <f t="shared" si="234"/>
        <v>C45</v>
      </c>
      <c r="O2488" s="5">
        <f t="shared" si="235"/>
        <v>1.9264887160605242</v>
      </c>
      <c r="P2488" s="22">
        <f>O2488/Explications!$C$8</f>
        <v>6.4216290535350801E-2</v>
      </c>
      <c r="Q2488" s="7" t="str">
        <f t="shared" si="236"/>
        <v>C45</v>
      </c>
      <c r="R2488" s="7" t="str">
        <f t="shared" si="237"/>
        <v>C37</v>
      </c>
      <c r="S2488" s="18">
        <f t="shared" si="238"/>
        <v>1.9264887160605242</v>
      </c>
      <c r="T2488" s="18">
        <f>S2488/Explications!$C$8</f>
        <v>6.4216290535350801E-2</v>
      </c>
    </row>
    <row r="2489" spans="7:20">
      <c r="G2489" s="7" t="s">
        <v>53</v>
      </c>
      <c r="H2489" s="7" t="s">
        <v>62</v>
      </c>
      <c r="I2489" s="7">
        <v>46.808500000000002</v>
      </c>
      <c r="J2489" s="7">
        <v>-71.326599999999999</v>
      </c>
      <c r="K2489" s="7">
        <v>46.803600000000003</v>
      </c>
      <c r="L2489" s="7">
        <v>-71.231099999999998</v>
      </c>
      <c r="M2489" s="10" t="str">
        <f t="shared" si="233"/>
        <v>C37</v>
      </c>
      <c r="N2489" s="10" t="str">
        <f t="shared" si="234"/>
        <v>C46</v>
      </c>
      <c r="O2489" s="5">
        <f t="shared" si="235"/>
        <v>7.2888598606232806</v>
      </c>
      <c r="P2489" s="22">
        <f>O2489/Explications!$C$8</f>
        <v>0.24296199535410937</v>
      </c>
      <c r="Q2489" s="7" t="str">
        <f t="shared" si="236"/>
        <v>C46</v>
      </c>
      <c r="R2489" s="7" t="str">
        <f t="shared" si="237"/>
        <v>C37</v>
      </c>
      <c r="S2489" s="18">
        <f t="shared" si="238"/>
        <v>7.2888598606232806</v>
      </c>
      <c r="T2489" s="18">
        <f>S2489/Explications!$C$8</f>
        <v>0.24296199535410937</v>
      </c>
    </row>
    <row r="2490" spans="7:20">
      <c r="G2490" s="7" t="s">
        <v>53</v>
      </c>
      <c r="H2490" s="7" t="s">
        <v>63</v>
      </c>
      <c r="I2490" s="7">
        <v>46.808500000000002</v>
      </c>
      <c r="J2490" s="7">
        <v>-71.326599999999999</v>
      </c>
      <c r="K2490" s="7">
        <v>46.802399999999999</v>
      </c>
      <c r="L2490" s="7">
        <v>-71.269800000000004</v>
      </c>
      <c r="M2490" s="10" t="str">
        <f t="shared" si="233"/>
        <v>C37</v>
      </c>
      <c r="N2490" s="10" t="str">
        <f t="shared" si="234"/>
        <v>C47</v>
      </c>
      <c r="O2490" s="5">
        <f t="shared" si="235"/>
        <v>4.3759618866813845</v>
      </c>
      <c r="P2490" s="22">
        <f>O2490/Explications!$C$8</f>
        <v>0.14586539622271283</v>
      </c>
      <c r="Q2490" s="7" t="str">
        <f t="shared" si="236"/>
        <v>C47</v>
      </c>
      <c r="R2490" s="7" t="str">
        <f t="shared" si="237"/>
        <v>C37</v>
      </c>
      <c r="S2490" s="18">
        <f t="shared" si="238"/>
        <v>4.3759618866813845</v>
      </c>
      <c r="T2490" s="18">
        <f>S2490/Explications!$C$8</f>
        <v>0.14586539622271283</v>
      </c>
    </row>
    <row r="2491" spans="7:20">
      <c r="G2491" s="7" t="s">
        <v>53</v>
      </c>
      <c r="H2491" s="7" t="s">
        <v>64</v>
      </c>
      <c r="I2491" s="7">
        <v>46.808500000000002</v>
      </c>
      <c r="J2491" s="7">
        <v>-71.326599999999999</v>
      </c>
      <c r="K2491" s="7">
        <v>46.826799999999999</v>
      </c>
      <c r="L2491" s="7">
        <v>-71.224199999999996</v>
      </c>
      <c r="M2491" s="10" t="str">
        <f t="shared" si="233"/>
        <v>C37</v>
      </c>
      <c r="N2491" s="10" t="str">
        <f t="shared" si="234"/>
        <v>C48</v>
      </c>
      <c r="O2491" s="5">
        <f t="shared" si="235"/>
        <v>8.0532631060158231</v>
      </c>
      <c r="P2491" s="22">
        <f>O2491/Explications!$C$8</f>
        <v>0.26844210353386078</v>
      </c>
      <c r="Q2491" s="7" t="str">
        <f t="shared" si="236"/>
        <v>C48</v>
      </c>
      <c r="R2491" s="7" t="str">
        <f t="shared" si="237"/>
        <v>C37</v>
      </c>
      <c r="S2491" s="18">
        <f t="shared" si="238"/>
        <v>8.0532631060158231</v>
      </c>
      <c r="T2491" s="18">
        <f>S2491/Explications!$C$8</f>
        <v>0.26844210353386078</v>
      </c>
    </row>
    <row r="2492" spans="7:20">
      <c r="G2492" s="7" t="s">
        <v>53</v>
      </c>
      <c r="H2492" s="7" t="s">
        <v>65</v>
      </c>
      <c r="I2492" s="7">
        <v>46.808500000000002</v>
      </c>
      <c r="J2492" s="7">
        <v>-71.326599999999999</v>
      </c>
      <c r="K2492" s="7">
        <v>46.864100000000001</v>
      </c>
      <c r="L2492" s="7">
        <v>-71.255499999999998</v>
      </c>
      <c r="M2492" s="10" t="str">
        <f t="shared" si="233"/>
        <v>C37</v>
      </c>
      <c r="N2492" s="10" t="str">
        <f t="shared" si="234"/>
        <v>C49</v>
      </c>
      <c r="O2492" s="5">
        <f t="shared" si="235"/>
        <v>8.2141808593839798</v>
      </c>
      <c r="P2492" s="22">
        <f>O2492/Explications!$C$8</f>
        <v>0.27380602864613268</v>
      </c>
      <c r="Q2492" s="7" t="str">
        <f t="shared" si="236"/>
        <v>C49</v>
      </c>
      <c r="R2492" s="7" t="str">
        <f t="shared" si="237"/>
        <v>C37</v>
      </c>
      <c r="S2492" s="18">
        <f t="shared" si="238"/>
        <v>8.2141808593839798</v>
      </c>
      <c r="T2492" s="18">
        <f>S2492/Explications!$C$8</f>
        <v>0.27380602864613268</v>
      </c>
    </row>
    <row r="2493" spans="7:20">
      <c r="G2493" s="7" t="s">
        <v>53</v>
      </c>
      <c r="H2493" s="7" t="s">
        <v>66</v>
      </c>
      <c r="I2493" s="7">
        <v>46.808500000000002</v>
      </c>
      <c r="J2493" s="7">
        <v>-71.326599999999999</v>
      </c>
      <c r="K2493" s="7">
        <v>46.843800000000002</v>
      </c>
      <c r="L2493" s="7">
        <v>-71.247299999999996</v>
      </c>
      <c r="M2493" s="10" t="str">
        <f t="shared" si="233"/>
        <v>C37</v>
      </c>
      <c r="N2493" s="10" t="str">
        <f t="shared" si="234"/>
        <v>C50</v>
      </c>
      <c r="O2493" s="5">
        <f t="shared" si="235"/>
        <v>7.197706281224006</v>
      </c>
      <c r="P2493" s="22">
        <f>O2493/Explications!$C$8</f>
        <v>0.23992354270746688</v>
      </c>
      <c r="Q2493" s="7" t="str">
        <f t="shared" si="236"/>
        <v>C50</v>
      </c>
      <c r="R2493" s="7" t="str">
        <f t="shared" si="237"/>
        <v>C37</v>
      </c>
      <c r="S2493" s="18">
        <f t="shared" si="238"/>
        <v>7.197706281224006</v>
      </c>
      <c r="T2493" s="18">
        <f>S2493/Explications!$C$8</f>
        <v>0.23992354270746688</v>
      </c>
    </row>
    <row r="2494" spans="7:20">
      <c r="G2494" s="7" t="s">
        <v>53</v>
      </c>
      <c r="H2494" s="7" t="s">
        <v>67</v>
      </c>
      <c r="I2494" s="7">
        <v>46.808500000000002</v>
      </c>
      <c r="J2494" s="7">
        <v>-71.326599999999999</v>
      </c>
      <c r="K2494" s="7">
        <v>46.765599999999999</v>
      </c>
      <c r="L2494" s="7">
        <v>-71.312100000000001</v>
      </c>
      <c r="M2494" s="10" t="str">
        <f t="shared" si="233"/>
        <v>C37</v>
      </c>
      <c r="N2494" s="10" t="str">
        <f t="shared" si="234"/>
        <v>C51</v>
      </c>
      <c r="O2494" s="5">
        <f t="shared" si="235"/>
        <v>4.8963427509783486</v>
      </c>
      <c r="P2494" s="22">
        <f>O2494/Explications!$C$8</f>
        <v>0.16321142503261163</v>
      </c>
      <c r="Q2494" s="7" t="str">
        <f t="shared" si="236"/>
        <v>C51</v>
      </c>
      <c r="R2494" s="7" t="str">
        <f t="shared" si="237"/>
        <v>C37</v>
      </c>
      <c r="S2494" s="18">
        <f t="shared" si="238"/>
        <v>4.8963427509783486</v>
      </c>
      <c r="T2494" s="18">
        <f>S2494/Explications!$C$8</f>
        <v>0.16321142503261163</v>
      </c>
    </row>
    <row r="2495" spans="7:20">
      <c r="G2495" s="7" t="s">
        <v>53</v>
      </c>
      <c r="H2495" s="7" t="s">
        <v>68</v>
      </c>
      <c r="I2495" s="7">
        <v>46.808500000000002</v>
      </c>
      <c r="J2495" s="7">
        <v>-71.326599999999999</v>
      </c>
      <c r="K2495" s="7">
        <v>46.787599999999998</v>
      </c>
      <c r="L2495" s="7">
        <v>-71.288600000000002</v>
      </c>
      <c r="M2495" s="10" t="str">
        <f t="shared" si="233"/>
        <v>C37</v>
      </c>
      <c r="N2495" s="10" t="str">
        <f t="shared" si="234"/>
        <v>C52</v>
      </c>
      <c r="O2495" s="5">
        <f t="shared" si="235"/>
        <v>3.7105202990203581</v>
      </c>
      <c r="P2495" s="22">
        <f>O2495/Explications!$C$8</f>
        <v>0.12368400996734527</v>
      </c>
      <c r="Q2495" s="7" t="str">
        <f t="shared" si="236"/>
        <v>C52</v>
      </c>
      <c r="R2495" s="7" t="str">
        <f t="shared" si="237"/>
        <v>C37</v>
      </c>
      <c r="S2495" s="18">
        <f t="shared" si="238"/>
        <v>3.7105202990203581</v>
      </c>
      <c r="T2495" s="18">
        <f>S2495/Explications!$C$8</f>
        <v>0.12368400996734527</v>
      </c>
    </row>
    <row r="2496" spans="7:20">
      <c r="G2496" s="7" t="s">
        <v>53</v>
      </c>
      <c r="H2496" s="7" t="s">
        <v>69</v>
      </c>
      <c r="I2496" s="7">
        <v>46.808500000000002</v>
      </c>
      <c r="J2496" s="7">
        <v>-71.326599999999999</v>
      </c>
      <c r="K2496" s="7">
        <v>46.764600000000002</v>
      </c>
      <c r="L2496" s="7">
        <v>-71.308300000000003</v>
      </c>
      <c r="M2496" s="10" t="str">
        <f t="shared" si="233"/>
        <v>C37</v>
      </c>
      <c r="N2496" s="10" t="str">
        <f t="shared" si="234"/>
        <v>C53</v>
      </c>
      <c r="O2496" s="5">
        <f t="shared" si="235"/>
        <v>5.0764100667496548</v>
      </c>
      <c r="P2496" s="22">
        <f>O2496/Explications!$C$8</f>
        <v>0.16921366889165515</v>
      </c>
      <c r="Q2496" s="7" t="str">
        <f t="shared" si="236"/>
        <v>C53</v>
      </c>
      <c r="R2496" s="7" t="str">
        <f t="shared" si="237"/>
        <v>C37</v>
      </c>
      <c r="S2496" s="18">
        <f t="shared" si="238"/>
        <v>5.0764100667496548</v>
      </c>
      <c r="T2496" s="18">
        <f>S2496/Explications!$C$8</f>
        <v>0.16921366889165515</v>
      </c>
    </row>
    <row r="2497" spans="7:20">
      <c r="G2497" s="7" t="s">
        <v>53</v>
      </c>
      <c r="H2497" s="7" t="s">
        <v>70</v>
      </c>
      <c r="I2497" s="7">
        <v>46.808500000000002</v>
      </c>
      <c r="J2497" s="7">
        <v>-71.326599999999999</v>
      </c>
      <c r="K2497" s="7">
        <v>46.849699999999999</v>
      </c>
      <c r="L2497" s="7">
        <v>-71.097399999999993</v>
      </c>
      <c r="M2497" s="10" t="str">
        <f t="shared" si="233"/>
        <v>C37</v>
      </c>
      <c r="N2497" s="10" t="str">
        <f t="shared" si="234"/>
        <v>C54</v>
      </c>
      <c r="O2497" s="5">
        <f t="shared" si="235"/>
        <v>18.028615643818185</v>
      </c>
      <c r="P2497" s="22">
        <f>O2497/Explications!$C$8</f>
        <v>0.60095385479393948</v>
      </c>
      <c r="Q2497" s="7" t="str">
        <f t="shared" si="236"/>
        <v>C54</v>
      </c>
      <c r="R2497" s="7" t="str">
        <f t="shared" si="237"/>
        <v>C37</v>
      </c>
      <c r="S2497" s="18">
        <f t="shared" si="238"/>
        <v>18.028615643818185</v>
      </c>
      <c r="T2497" s="18">
        <f>S2497/Explications!$C$8</f>
        <v>0.60095385479393948</v>
      </c>
    </row>
    <row r="2498" spans="7:20">
      <c r="G2498" s="7" t="s">
        <v>53</v>
      </c>
      <c r="H2498" s="7" t="s">
        <v>71</v>
      </c>
      <c r="I2498" s="7">
        <v>46.808500000000002</v>
      </c>
      <c r="J2498" s="7">
        <v>-71.326599999999999</v>
      </c>
      <c r="K2498" s="7">
        <v>46.788899999999998</v>
      </c>
      <c r="L2498" s="7">
        <v>-71.321399999999997</v>
      </c>
      <c r="M2498" s="10" t="str">
        <f t="shared" si="233"/>
        <v>C37</v>
      </c>
      <c r="N2498" s="10" t="str">
        <f t="shared" si="234"/>
        <v>C55</v>
      </c>
      <c r="O2498" s="5">
        <f t="shared" si="235"/>
        <v>2.2150735049565653</v>
      </c>
      <c r="P2498" s="22">
        <f>O2498/Explications!$C$8</f>
        <v>7.3835783498552174E-2</v>
      </c>
      <c r="Q2498" s="7" t="str">
        <f t="shared" si="236"/>
        <v>C55</v>
      </c>
      <c r="R2498" s="7" t="str">
        <f t="shared" si="237"/>
        <v>C37</v>
      </c>
      <c r="S2498" s="18">
        <f t="shared" si="238"/>
        <v>2.2150735049565653</v>
      </c>
      <c r="T2498" s="18">
        <f>S2498/Explications!$C$8</f>
        <v>7.3835783498552174E-2</v>
      </c>
    </row>
    <row r="2499" spans="7:20">
      <c r="G2499" s="7" t="s">
        <v>53</v>
      </c>
      <c r="H2499" s="7" t="s">
        <v>72</v>
      </c>
      <c r="I2499" s="7">
        <v>46.808500000000002</v>
      </c>
      <c r="J2499" s="7">
        <v>-71.326599999999999</v>
      </c>
      <c r="K2499" s="7">
        <v>46.795400000000001</v>
      </c>
      <c r="L2499" s="7">
        <v>-71.232600000000005</v>
      </c>
      <c r="M2499" s="10" t="str">
        <f t="shared" si="233"/>
        <v>C37</v>
      </c>
      <c r="N2499" s="10" t="str">
        <f t="shared" si="234"/>
        <v>C56</v>
      </c>
      <c r="O2499" s="5">
        <f t="shared" si="235"/>
        <v>7.30162210252844</v>
      </c>
      <c r="P2499" s="22">
        <f>O2499/Explications!$C$8</f>
        <v>0.24338740341761467</v>
      </c>
      <c r="Q2499" s="7" t="str">
        <f t="shared" si="236"/>
        <v>C56</v>
      </c>
      <c r="R2499" s="7" t="str">
        <f t="shared" si="237"/>
        <v>C37</v>
      </c>
      <c r="S2499" s="18">
        <f t="shared" si="238"/>
        <v>7.30162210252844</v>
      </c>
      <c r="T2499" s="18">
        <f>S2499/Explications!$C$8</f>
        <v>0.24338740341761467</v>
      </c>
    </row>
    <row r="2500" spans="7:20">
      <c r="G2500" s="7" t="s">
        <v>53</v>
      </c>
      <c r="H2500" s="7" t="s">
        <v>73</v>
      </c>
      <c r="I2500" s="7">
        <v>46.808500000000002</v>
      </c>
      <c r="J2500" s="7">
        <v>-71.326599999999999</v>
      </c>
      <c r="K2500" s="7">
        <v>46.801200000000001</v>
      </c>
      <c r="L2500" s="7">
        <v>-71.224999999999994</v>
      </c>
      <c r="M2500" s="10" t="str">
        <f t="shared" ref="M2500:M2563" si="239">G2500</f>
        <v>C37</v>
      </c>
      <c r="N2500" s="10" t="str">
        <f t="shared" ref="N2500:N2563" si="240">H2500</f>
        <v>C57</v>
      </c>
      <c r="O2500" s="5">
        <f t="shared" ref="O2500:O2563" si="241">ACOS(SIN(RADIANS(I2500))*SIN(RADIANS(K2500))+COS(RADIANS(I2500))*COS(RADIANS(K2500))*COS(RADIANS(J2500-L2500)))*6371</f>
        <v>7.7753944233092831</v>
      </c>
      <c r="P2500" s="22">
        <f>O2500/Explications!$C$8</f>
        <v>0.25917981411030944</v>
      </c>
      <c r="Q2500" s="7" t="str">
        <f t="shared" ref="Q2500:Q2563" si="242">N2500</f>
        <v>C57</v>
      </c>
      <c r="R2500" s="7" t="str">
        <f t="shared" ref="R2500:R2563" si="243">M2500</f>
        <v>C37</v>
      </c>
      <c r="S2500" s="18">
        <f t="shared" ref="S2500:S2563" si="244">O2500</f>
        <v>7.7753944233092831</v>
      </c>
      <c r="T2500" s="18">
        <f>S2500/Explications!$C$8</f>
        <v>0.25917981411030944</v>
      </c>
    </row>
    <row r="2501" spans="7:20">
      <c r="G2501" s="7" t="s">
        <v>53</v>
      </c>
      <c r="H2501" s="7" t="s">
        <v>74</v>
      </c>
      <c r="I2501" s="7">
        <v>46.808500000000002</v>
      </c>
      <c r="J2501" s="7">
        <v>-71.326599999999999</v>
      </c>
      <c r="K2501" s="7">
        <v>46.773200000000003</v>
      </c>
      <c r="L2501" s="7">
        <v>-71.275899999999993</v>
      </c>
      <c r="M2501" s="10" t="str">
        <f t="shared" si="239"/>
        <v>C37</v>
      </c>
      <c r="N2501" s="10" t="str">
        <f t="shared" si="240"/>
        <v>C58</v>
      </c>
      <c r="O2501" s="5">
        <f t="shared" si="241"/>
        <v>5.5050397995153286</v>
      </c>
      <c r="P2501" s="22">
        <f>O2501/Explications!$C$8</f>
        <v>0.18350132665051094</v>
      </c>
      <c r="Q2501" s="7" t="str">
        <f t="shared" si="242"/>
        <v>C58</v>
      </c>
      <c r="R2501" s="7" t="str">
        <f t="shared" si="243"/>
        <v>C37</v>
      </c>
      <c r="S2501" s="18">
        <f t="shared" si="244"/>
        <v>5.5050397995153286</v>
      </c>
      <c r="T2501" s="18">
        <f>S2501/Explications!$C$8</f>
        <v>0.18350132665051094</v>
      </c>
    </row>
    <row r="2502" spans="7:20">
      <c r="G2502" s="7" t="s">
        <v>53</v>
      </c>
      <c r="H2502" s="7" t="s">
        <v>75</v>
      </c>
      <c r="I2502" s="7">
        <v>46.808500000000002</v>
      </c>
      <c r="J2502" s="7">
        <v>-71.326599999999999</v>
      </c>
      <c r="K2502" s="7">
        <v>46.814399999999999</v>
      </c>
      <c r="L2502" s="7">
        <v>-71.225700000000003</v>
      </c>
      <c r="M2502" s="10" t="str">
        <f t="shared" si="239"/>
        <v>C37</v>
      </c>
      <c r="N2502" s="10" t="str">
        <f t="shared" si="240"/>
        <v>C59</v>
      </c>
      <c r="O2502" s="5">
        <f t="shared" si="241"/>
        <v>7.7066625134240052</v>
      </c>
      <c r="P2502" s="22">
        <f>O2502/Explications!$C$8</f>
        <v>0.25688875044746684</v>
      </c>
      <c r="Q2502" s="7" t="str">
        <f t="shared" si="242"/>
        <v>C59</v>
      </c>
      <c r="R2502" s="7" t="str">
        <f t="shared" si="243"/>
        <v>C37</v>
      </c>
      <c r="S2502" s="18">
        <f t="shared" si="244"/>
        <v>7.7066625134240052</v>
      </c>
      <c r="T2502" s="18">
        <f>S2502/Explications!$C$8</f>
        <v>0.25688875044746684</v>
      </c>
    </row>
    <row r="2503" spans="7:20">
      <c r="G2503" s="7" t="s">
        <v>53</v>
      </c>
      <c r="H2503" s="7" t="s">
        <v>76</v>
      </c>
      <c r="I2503" s="7">
        <v>46.808500000000002</v>
      </c>
      <c r="J2503" s="7">
        <v>-71.326599999999999</v>
      </c>
      <c r="K2503" s="7">
        <v>46.772500000000001</v>
      </c>
      <c r="L2503" s="7">
        <v>-71.276300000000006</v>
      </c>
      <c r="M2503" s="10" t="str">
        <f t="shared" si="239"/>
        <v>C37</v>
      </c>
      <c r="N2503" s="10" t="str">
        <f t="shared" si="240"/>
        <v>C60</v>
      </c>
      <c r="O2503" s="5">
        <f t="shared" si="241"/>
        <v>5.5397292755170433</v>
      </c>
      <c r="P2503" s="22">
        <f>O2503/Explications!$C$8</f>
        <v>0.18465764251723477</v>
      </c>
      <c r="Q2503" s="7" t="str">
        <f t="shared" si="242"/>
        <v>C60</v>
      </c>
      <c r="R2503" s="7" t="str">
        <f t="shared" si="243"/>
        <v>C37</v>
      </c>
      <c r="S2503" s="18">
        <f t="shared" si="244"/>
        <v>5.5397292755170433</v>
      </c>
      <c r="T2503" s="18">
        <f>S2503/Explications!$C$8</f>
        <v>0.18465764251723477</v>
      </c>
    </row>
    <row r="2504" spans="7:20">
      <c r="G2504" s="7" t="s">
        <v>53</v>
      </c>
      <c r="H2504" s="7" t="s">
        <v>77</v>
      </c>
      <c r="I2504" s="7">
        <v>46.808500000000002</v>
      </c>
      <c r="J2504" s="7">
        <v>-71.326599999999999</v>
      </c>
      <c r="K2504" s="7">
        <v>46.810899999999997</v>
      </c>
      <c r="L2504" s="7">
        <v>-71.215599999999995</v>
      </c>
      <c r="M2504" s="10" t="str">
        <f t="shared" si="239"/>
        <v>C37</v>
      </c>
      <c r="N2504" s="10" t="str">
        <f t="shared" si="240"/>
        <v>C61</v>
      </c>
      <c r="O2504" s="5">
        <f t="shared" si="241"/>
        <v>8.451806541318776</v>
      </c>
      <c r="P2504" s="22">
        <f>O2504/Explications!$C$8</f>
        <v>0.28172688471062585</v>
      </c>
      <c r="Q2504" s="7" t="str">
        <f t="shared" si="242"/>
        <v>C61</v>
      </c>
      <c r="R2504" s="7" t="str">
        <f t="shared" si="243"/>
        <v>C37</v>
      </c>
      <c r="S2504" s="18">
        <f t="shared" si="244"/>
        <v>8.451806541318776</v>
      </c>
      <c r="T2504" s="18">
        <f>S2504/Explications!$C$8</f>
        <v>0.28172688471062585</v>
      </c>
    </row>
    <row r="2505" spans="7:20">
      <c r="G2505" s="7" t="s">
        <v>53</v>
      </c>
      <c r="H2505" s="7" t="s">
        <v>78</v>
      </c>
      <c r="I2505" s="7">
        <v>46.808500000000002</v>
      </c>
      <c r="J2505" s="7">
        <v>-71.326599999999999</v>
      </c>
      <c r="K2505" s="7">
        <v>46.795200000000001</v>
      </c>
      <c r="L2505" s="7">
        <v>-71.245099999999994</v>
      </c>
      <c r="M2505" s="10" t="str">
        <f t="shared" si="239"/>
        <v>C37</v>
      </c>
      <c r="N2505" s="10" t="str">
        <f t="shared" si="240"/>
        <v>C62</v>
      </c>
      <c r="O2505" s="5">
        <f t="shared" si="241"/>
        <v>6.3772645632765492</v>
      </c>
      <c r="P2505" s="22">
        <f>O2505/Explications!$C$8</f>
        <v>0.21257548544255164</v>
      </c>
      <c r="Q2505" s="7" t="str">
        <f t="shared" si="242"/>
        <v>C62</v>
      </c>
      <c r="R2505" s="7" t="str">
        <f t="shared" si="243"/>
        <v>C37</v>
      </c>
      <c r="S2505" s="18">
        <f t="shared" si="244"/>
        <v>6.3772645632765492</v>
      </c>
      <c r="T2505" s="18">
        <f>S2505/Explications!$C$8</f>
        <v>0.21257548544255164</v>
      </c>
    </row>
    <row r="2506" spans="7:20">
      <c r="G2506" s="7" t="s">
        <v>53</v>
      </c>
      <c r="H2506" s="7" t="s">
        <v>79</v>
      </c>
      <c r="I2506" s="7">
        <v>46.808500000000002</v>
      </c>
      <c r="J2506" s="7">
        <v>-71.326599999999999</v>
      </c>
      <c r="K2506" s="7">
        <v>46.822000000000003</v>
      </c>
      <c r="L2506" s="7">
        <v>-71.345699999999994</v>
      </c>
      <c r="M2506" s="10" t="str">
        <f t="shared" si="239"/>
        <v>C37</v>
      </c>
      <c r="N2506" s="10" t="str">
        <f t="shared" si="240"/>
        <v>C63</v>
      </c>
      <c r="O2506" s="5">
        <f t="shared" si="241"/>
        <v>2.0894730490507021</v>
      </c>
      <c r="P2506" s="22">
        <f>O2506/Explications!$C$8</f>
        <v>6.96491016350234E-2</v>
      </c>
      <c r="Q2506" s="7" t="str">
        <f t="shared" si="242"/>
        <v>C63</v>
      </c>
      <c r="R2506" s="7" t="str">
        <f t="shared" si="243"/>
        <v>C37</v>
      </c>
      <c r="S2506" s="18">
        <f t="shared" si="244"/>
        <v>2.0894730490507021</v>
      </c>
      <c r="T2506" s="18">
        <f>S2506/Explications!$C$8</f>
        <v>6.96491016350234E-2</v>
      </c>
    </row>
    <row r="2507" spans="7:20">
      <c r="G2507" s="7" t="s">
        <v>53</v>
      </c>
      <c r="H2507" s="7" t="s">
        <v>80</v>
      </c>
      <c r="I2507" s="7">
        <v>46.808500000000002</v>
      </c>
      <c r="J2507" s="7">
        <v>-71.326599999999999</v>
      </c>
      <c r="K2507" s="7">
        <v>46.779400000000003</v>
      </c>
      <c r="L2507" s="7">
        <v>-71.350399999999993</v>
      </c>
      <c r="M2507" s="10" t="str">
        <f t="shared" si="239"/>
        <v>C37</v>
      </c>
      <c r="N2507" s="10" t="str">
        <f t="shared" si="240"/>
        <v>C64</v>
      </c>
      <c r="O2507" s="5">
        <f t="shared" si="241"/>
        <v>3.7084902284638241</v>
      </c>
      <c r="P2507" s="22">
        <f>O2507/Explications!$C$8</f>
        <v>0.12361634094879413</v>
      </c>
      <c r="Q2507" s="7" t="str">
        <f t="shared" si="242"/>
        <v>C64</v>
      </c>
      <c r="R2507" s="7" t="str">
        <f t="shared" si="243"/>
        <v>C37</v>
      </c>
      <c r="S2507" s="18">
        <f t="shared" si="244"/>
        <v>3.7084902284638241</v>
      </c>
      <c r="T2507" s="18">
        <f>S2507/Explications!$C$8</f>
        <v>0.12361634094879413</v>
      </c>
    </row>
    <row r="2508" spans="7:20">
      <c r="G2508" s="7" t="s">
        <v>53</v>
      </c>
      <c r="H2508" s="7" t="s">
        <v>81</v>
      </c>
      <c r="I2508" s="7">
        <v>46.808500000000002</v>
      </c>
      <c r="J2508" s="7">
        <v>-71.326599999999999</v>
      </c>
      <c r="K2508" s="7">
        <v>46.772300000000001</v>
      </c>
      <c r="L2508" s="7">
        <v>-71.279799999999994</v>
      </c>
      <c r="M2508" s="10" t="str">
        <f t="shared" si="239"/>
        <v>C37</v>
      </c>
      <c r="N2508" s="10" t="str">
        <f t="shared" si="240"/>
        <v>C65</v>
      </c>
      <c r="O2508" s="5">
        <f t="shared" si="241"/>
        <v>5.3756312103831032</v>
      </c>
      <c r="P2508" s="22">
        <f>O2508/Explications!$C$8</f>
        <v>0.17918770701277012</v>
      </c>
      <c r="Q2508" s="7" t="str">
        <f t="shared" si="242"/>
        <v>C65</v>
      </c>
      <c r="R2508" s="7" t="str">
        <f t="shared" si="243"/>
        <v>C37</v>
      </c>
      <c r="S2508" s="18">
        <f t="shared" si="244"/>
        <v>5.3756312103831032</v>
      </c>
      <c r="T2508" s="18">
        <f>S2508/Explications!$C$8</f>
        <v>0.17918770701277012</v>
      </c>
    </row>
    <row r="2509" spans="7:20">
      <c r="G2509" s="7" t="s">
        <v>53</v>
      </c>
      <c r="H2509" s="7" t="s">
        <v>82</v>
      </c>
      <c r="I2509" s="7">
        <v>46.808500000000002</v>
      </c>
      <c r="J2509" s="7">
        <v>-71.326599999999999</v>
      </c>
      <c r="K2509" s="7">
        <v>46.814900000000002</v>
      </c>
      <c r="L2509" s="7">
        <v>-71.225200000000001</v>
      </c>
      <c r="M2509" s="10" t="str">
        <f t="shared" si="239"/>
        <v>C37</v>
      </c>
      <c r="N2509" s="10" t="str">
        <f t="shared" si="240"/>
        <v>C66</v>
      </c>
      <c r="O2509" s="5">
        <f t="shared" si="241"/>
        <v>7.7494480418863638</v>
      </c>
      <c r="P2509" s="22">
        <f>O2509/Explications!$C$8</f>
        <v>0.25831493472954548</v>
      </c>
      <c r="Q2509" s="7" t="str">
        <f t="shared" si="242"/>
        <v>C66</v>
      </c>
      <c r="R2509" s="7" t="str">
        <f t="shared" si="243"/>
        <v>C37</v>
      </c>
      <c r="S2509" s="18">
        <f t="shared" si="244"/>
        <v>7.7494480418863638</v>
      </c>
      <c r="T2509" s="18">
        <f>S2509/Explications!$C$8</f>
        <v>0.25831493472954548</v>
      </c>
    </row>
    <row r="2510" spans="7:20">
      <c r="G2510" s="7" t="s">
        <v>53</v>
      </c>
      <c r="H2510" s="7" t="s">
        <v>83</v>
      </c>
      <c r="I2510" s="7">
        <v>46.808500000000002</v>
      </c>
      <c r="J2510" s="7">
        <v>-71.326599999999999</v>
      </c>
      <c r="K2510" s="7">
        <v>46.814700000000002</v>
      </c>
      <c r="L2510" s="7">
        <v>-71.207300000000004</v>
      </c>
      <c r="M2510" s="10" t="str">
        <f t="shared" si="239"/>
        <v>C37</v>
      </c>
      <c r="N2510" s="10" t="str">
        <f t="shared" si="240"/>
        <v>C67</v>
      </c>
      <c r="O2510" s="5">
        <f t="shared" si="241"/>
        <v>9.105075699479368</v>
      </c>
      <c r="P2510" s="22">
        <f>O2510/Explications!$C$8</f>
        <v>0.30350252331597893</v>
      </c>
      <c r="Q2510" s="7" t="str">
        <f t="shared" si="242"/>
        <v>C67</v>
      </c>
      <c r="R2510" s="7" t="str">
        <f t="shared" si="243"/>
        <v>C37</v>
      </c>
      <c r="S2510" s="18">
        <f t="shared" si="244"/>
        <v>9.105075699479368</v>
      </c>
      <c r="T2510" s="18">
        <f>S2510/Explications!$C$8</f>
        <v>0.30350252331597893</v>
      </c>
    </row>
    <row r="2511" spans="7:20">
      <c r="G2511" s="7" t="s">
        <v>53</v>
      </c>
      <c r="H2511" s="7" t="s">
        <v>84</v>
      </c>
      <c r="I2511" s="7">
        <v>46.808500000000002</v>
      </c>
      <c r="J2511" s="7">
        <v>-71.326599999999999</v>
      </c>
      <c r="K2511" s="7">
        <v>46.815600000000003</v>
      </c>
      <c r="L2511" s="7">
        <v>-71.2029</v>
      </c>
      <c r="M2511" s="10" t="str">
        <f t="shared" si="239"/>
        <v>C37</v>
      </c>
      <c r="N2511" s="10" t="str">
        <f t="shared" si="240"/>
        <v>C68</v>
      </c>
      <c r="O2511" s="5">
        <f t="shared" si="241"/>
        <v>9.4467542426485203</v>
      </c>
      <c r="P2511" s="22">
        <f>O2511/Explications!$C$8</f>
        <v>0.31489180808828399</v>
      </c>
      <c r="Q2511" s="7" t="str">
        <f t="shared" si="242"/>
        <v>C68</v>
      </c>
      <c r="R2511" s="7" t="str">
        <f t="shared" si="243"/>
        <v>C37</v>
      </c>
      <c r="S2511" s="18">
        <f t="shared" si="244"/>
        <v>9.4467542426485203</v>
      </c>
      <c r="T2511" s="18">
        <f>S2511/Explications!$C$8</f>
        <v>0.31489180808828399</v>
      </c>
    </row>
    <row r="2512" spans="7:20">
      <c r="G2512" s="7" t="s">
        <v>53</v>
      </c>
      <c r="H2512" s="7" t="s">
        <v>85</v>
      </c>
      <c r="I2512" s="7">
        <v>46.808500000000002</v>
      </c>
      <c r="J2512" s="7">
        <v>-71.326599999999999</v>
      </c>
      <c r="K2512" s="7">
        <v>46.821899999999999</v>
      </c>
      <c r="L2512" s="7">
        <v>-71.249899999999997</v>
      </c>
      <c r="M2512" s="10" t="str">
        <f t="shared" si="239"/>
        <v>C37</v>
      </c>
      <c r="N2512" s="10" t="str">
        <f t="shared" si="240"/>
        <v>C69</v>
      </c>
      <c r="O2512" s="5">
        <f t="shared" si="241"/>
        <v>6.0238021409477005</v>
      </c>
      <c r="P2512" s="22">
        <f>O2512/Explications!$C$8</f>
        <v>0.20079340469825668</v>
      </c>
      <c r="Q2512" s="7" t="str">
        <f t="shared" si="242"/>
        <v>C69</v>
      </c>
      <c r="R2512" s="7" t="str">
        <f t="shared" si="243"/>
        <v>C37</v>
      </c>
      <c r="S2512" s="18">
        <f t="shared" si="244"/>
        <v>6.0238021409477005</v>
      </c>
      <c r="T2512" s="18">
        <f>S2512/Explications!$C$8</f>
        <v>0.20079340469825668</v>
      </c>
    </row>
    <row r="2513" spans="7:20">
      <c r="G2513" s="7" t="s">
        <v>53</v>
      </c>
      <c r="H2513" s="7" t="s">
        <v>86</v>
      </c>
      <c r="I2513" s="7">
        <v>46.808500000000002</v>
      </c>
      <c r="J2513" s="7">
        <v>-71.326599999999999</v>
      </c>
      <c r="K2513" s="7">
        <v>46.8872</v>
      </c>
      <c r="L2513" s="7">
        <v>-71.27</v>
      </c>
      <c r="M2513" s="10" t="str">
        <f t="shared" si="239"/>
        <v>C37</v>
      </c>
      <c r="N2513" s="10" t="str">
        <f t="shared" si="240"/>
        <v>C70</v>
      </c>
      <c r="O2513" s="5">
        <f t="shared" si="241"/>
        <v>9.7523860788482999</v>
      </c>
      <c r="P2513" s="22">
        <f>O2513/Explications!$C$8</f>
        <v>0.32507953596160999</v>
      </c>
      <c r="Q2513" s="7" t="str">
        <f t="shared" si="242"/>
        <v>C70</v>
      </c>
      <c r="R2513" s="7" t="str">
        <f t="shared" si="243"/>
        <v>C37</v>
      </c>
      <c r="S2513" s="18">
        <f t="shared" si="244"/>
        <v>9.7523860788482999</v>
      </c>
      <c r="T2513" s="18">
        <f>S2513/Explications!$C$8</f>
        <v>0.32507953596160999</v>
      </c>
    </row>
    <row r="2514" spans="7:20">
      <c r="G2514" s="7" t="s">
        <v>53</v>
      </c>
      <c r="H2514" s="7" t="s">
        <v>87</v>
      </c>
      <c r="I2514" s="7">
        <v>46.808500000000002</v>
      </c>
      <c r="J2514" s="7">
        <v>-71.326599999999999</v>
      </c>
      <c r="K2514" s="7">
        <v>46.816299999999998</v>
      </c>
      <c r="L2514" s="7">
        <v>-71.210300000000004</v>
      </c>
      <c r="M2514" s="10" t="str">
        <f t="shared" si="239"/>
        <v>C37</v>
      </c>
      <c r="N2514" s="10" t="str">
        <f t="shared" si="240"/>
        <v>C71</v>
      </c>
      <c r="O2514" s="5">
        <f t="shared" si="241"/>
        <v>8.8928971234329328</v>
      </c>
      <c r="P2514" s="22">
        <f>O2514/Explications!$C$8</f>
        <v>0.2964299041144311</v>
      </c>
      <c r="Q2514" s="7" t="str">
        <f t="shared" si="242"/>
        <v>C71</v>
      </c>
      <c r="R2514" s="7" t="str">
        <f t="shared" si="243"/>
        <v>C37</v>
      </c>
      <c r="S2514" s="18">
        <f t="shared" si="244"/>
        <v>8.8928971234329328</v>
      </c>
      <c r="T2514" s="18">
        <f>S2514/Explications!$C$8</f>
        <v>0.2964299041144311</v>
      </c>
    </row>
    <row r="2515" spans="7:20">
      <c r="G2515" s="7" t="s">
        <v>53</v>
      </c>
      <c r="H2515" s="7" t="s">
        <v>88</v>
      </c>
      <c r="I2515" s="7">
        <v>46.808500000000002</v>
      </c>
      <c r="J2515" s="7">
        <v>-71.326599999999999</v>
      </c>
      <c r="K2515" s="7">
        <v>46.807000000000002</v>
      </c>
      <c r="L2515" s="7">
        <v>-71.3566</v>
      </c>
      <c r="M2515" s="10" t="str">
        <f t="shared" si="239"/>
        <v>C37</v>
      </c>
      <c r="N2515" s="10" t="str">
        <f t="shared" si="240"/>
        <v>C72</v>
      </c>
      <c r="O2515" s="5">
        <f t="shared" si="241"/>
        <v>2.2893001115236822</v>
      </c>
      <c r="P2515" s="22">
        <f>O2515/Explications!$C$8</f>
        <v>7.6310003717456068E-2</v>
      </c>
      <c r="Q2515" s="7" t="str">
        <f t="shared" si="242"/>
        <v>C72</v>
      </c>
      <c r="R2515" s="7" t="str">
        <f t="shared" si="243"/>
        <v>C37</v>
      </c>
      <c r="S2515" s="18">
        <f t="shared" si="244"/>
        <v>2.2893001115236822</v>
      </c>
      <c r="T2515" s="18">
        <f>S2515/Explications!$C$8</f>
        <v>7.6310003717456068E-2</v>
      </c>
    </row>
    <row r="2516" spans="7:20">
      <c r="G2516" s="7" t="s">
        <v>53</v>
      </c>
      <c r="H2516" s="7" t="s">
        <v>89</v>
      </c>
      <c r="I2516" s="7">
        <v>46.808500000000002</v>
      </c>
      <c r="J2516" s="7">
        <v>-71.326599999999999</v>
      </c>
      <c r="K2516" s="7">
        <v>46.822899999999997</v>
      </c>
      <c r="L2516" s="7">
        <v>-71.341899999999995</v>
      </c>
      <c r="M2516" s="10" t="str">
        <f t="shared" si="239"/>
        <v>C37</v>
      </c>
      <c r="N2516" s="10" t="str">
        <f t="shared" si="240"/>
        <v>C73</v>
      </c>
      <c r="O2516" s="5">
        <f t="shared" si="241"/>
        <v>1.9797433523028225</v>
      </c>
      <c r="P2516" s="22">
        <f>O2516/Explications!$C$8</f>
        <v>6.5991445076760746E-2</v>
      </c>
      <c r="Q2516" s="7" t="str">
        <f t="shared" si="242"/>
        <v>C73</v>
      </c>
      <c r="R2516" s="7" t="str">
        <f t="shared" si="243"/>
        <v>C37</v>
      </c>
      <c r="S2516" s="18">
        <f t="shared" si="244"/>
        <v>1.9797433523028225</v>
      </c>
      <c r="T2516" s="18">
        <f>S2516/Explications!$C$8</f>
        <v>6.5991445076760746E-2</v>
      </c>
    </row>
    <row r="2517" spans="7:20">
      <c r="G2517" s="7" t="s">
        <v>53</v>
      </c>
      <c r="H2517" s="7" t="s">
        <v>90</v>
      </c>
      <c r="I2517" s="7">
        <v>46.808500000000002</v>
      </c>
      <c r="J2517" s="7">
        <v>-71.326599999999999</v>
      </c>
      <c r="K2517" s="7">
        <v>46.730699999999999</v>
      </c>
      <c r="L2517" s="7">
        <v>-71.261099999999999</v>
      </c>
      <c r="M2517" s="10" t="str">
        <f t="shared" si="239"/>
        <v>C37</v>
      </c>
      <c r="N2517" s="10" t="str">
        <f t="shared" si="240"/>
        <v>C74</v>
      </c>
      <c r="O2517" s="5">
        <f t="shared" si="241"/>
        <v>9.9862342438513245</v>
      </c>
      <c r="P2517" s="22">
        <f>O2517/Explications!$C$8</f>
        <v>0.33287447479504417</v>
      </c>
      <c r="Q2517" s="7" t="str">
        <f t="shared" si="242"/>
        <v>C74</v>
      </c>
      <c r="R2517" s="7" t="str">
        <f t="shared" si="243"/>
        <v>C37</v>
      </c>
      <c r="S2517" s="18">
        <f t="shared" si="244"/>
        <v>9.9862342438513245</v>
      </c>
      <c r="T2517" s="18">
        <f>S2517/Explications!$C$8</f>
        <v>0.33287447479504417</v>
      </c>
    </row>
    <row r="2518" spans="7:20">
      <c r="G2518" s="7" t="s">
        <v>53</v>
      </c>
      <c r="H2518" s="7" t="s">
        <v>91</v>
      </c>
      <c r="I2518" s="7">
        <v>46.808500000000002</v>
      </c>
      <c r="J2518" s="7">
        <v>-71.326599999999999</v>
      </c>
      <c r="K2518" s="7">
        <v>46.840600000000002</v>
      </c>
      <c r="L2518" s="7">
        <v>-71.289100000000005</v>
      </c>
      <c r="M2518" s="10" t="str">
        <f t="shared" si="239"/>
        <v>C37</v>
      </c>
      <c r="N2518" s="10" t="str">
        <f t="shared" si="240"/>
        <v>C75</v>
      </c>
      <c r="O2518" s="5">
        <f t="shared" si="241"/>
        <v>4.5695351625314533</v>
      </c>
      <c r="P2518" s="22">
        <f>O2518/Explications!$C$8</f>
        <v>0.15231783875104846</v>
      </c>
      <c r="Q2518" s="7" t="str">
        <f t="shared" si="242"/>
        <v>C75</v>
      </c>
      <c r="R2518" s="7" t="str">
        <f t="shared" si="243"/>
        <v>C37</v>
      </c>
      <c r="S2518" s="18">
        <f t="shared" si="244"/>
        <v>4.5695351625314533</v>
      </c>
      <c r="T2518" s="18">
        <f>S2518/Explications!$C$8</f>
        <v>0.15231783875104846</v>
      </c>
    </row>
    <row r="2519" spans="7:20">
      <c r="G2519" s="7" t="s">
        <v>53</v>
      </c>
      <c r="H2519" s="7" t="s">
        <v>92</v>
      </c>
      <c r="I2519" s="7">
        <v>46.808500000000002</v>
      </c>
      <c r="J2519" s="7">
        <v>-71.326599999999999</v>
      </c>
      <c r="K2519" s="7">
        <v>46.840600000000002</v>
      </c>
      <c r="L2519" s="7">
        <v>-71.281599999999997</v>
      </c>
      <c r="M2519" s="10" t="str">
        <f t="shared" si="239"/>
        <v>C37</v>
      </c>
      <c r="N2519" s="10" t="str">
        <f t="shared" si="240"/>
        <v>C76</v>
      </c>
      <c r="O2519" s="5">
        <f t="shared" si="241"/>
        <v>4.9459480007092633</v>
      </c>
      <c r="P2519" s="22">
        <f>O2519/Explications!$C$8</f>
        <v>0.16486493335697544</v>
      </c>
      <c r="Q2519" s="7" t="str">
        <f t="shared" si="242"/>
        <v>C76</v>
      </c>
      <c r="R2519" s="7" t="str">
        <f t="shared" si="243"/>
        <v>C37</v>
      </c>
      <c r="S2519" s="18">
        <f t="shared" si="244"/>
        <v>4.9459480007092633</v>
      </c>
      <c r="T2519" s="18">
        <f>S2519/Explications!$C$8</f>
        <v>0.16486493335697544</v>
      </c>
    </row>
    <row r="2520" spans="7:20">
      <c r="G2520" s="7" t="s">
        <v>53</v>
      </c>
      <c r="H2520" s="7" t="s">
        <v>93</v>
      </c>
      <c r="I2520" s="7">
        <v>46.808500000000002</v>
      </c>
      <c r="J2520" s="7">
        <v>-71.326599999999999</v>
      </c>
      <c r="K2520" s="7">
        <v>46.839399999999998</v>
      </c>
      <c r="L2520" s="7">
        <v>-71.282600000000002</v>
      </c>
      <c r="M2520" s="10" t="str">
        <f t="shared" si="239"/>
        <v>C37</v>
      </c>
      <c r="N2520" s="10" t="str">
        <f t="shared" si="240"/>
        <v>C77</v>
      </c>
      <c r="O2520" s="5">
        <f t="shared" si="241"/>
        <v>4.7971571566015587</v>
      </c>
      <c r="P2520" s="22">
        <f>O2520/Explications!$C$8</f>
        <v>0.15990523855338529</v>
      </c>
      <c r="Q2520" s="7" t="str">
        <f t="shared" si="242"/>
        <v>C77</v>
      </c>
      <c r="R2520" s="7" t="str">
        <f t="shared" si="243"/>
        <v>C37</v>
      </c>
      <c r="S2520" s="18">
        <f t="shared" si="244"/>
        <v>4.7971571566015587</v>
      </c>
      <c r="T2520" s="18">
        <f>S2520/Explications!$C$8</f>
        <v>0.15990523855338529</v>
      </c>
    </row>
    <row r="2521" spans="7:20">
      <c r="G2521" s="7" t="s">
        <v>53</v>
      </c>
      <c r="H2521" s="7" t="s">
        <v>94</v>
      </c>
      <c r="I2521" s="7">
        <v>46.808500000000002</v>
      </c>
      <c r="J2521" s="7">
        <v>-71.326599999999999</v>
      </c>
      <c r="K2521" s="7">
        <v>46.788499999999999</v>
      </c>
      <c r="L2521" s="7">
        <v>-71.282399999999996</v>
      </c>
      <c r="M2521" s="10" t="str">
        <f t="shared" si="239"/>
        <v>C37</v>
      </c>
      <c r="N2521" s="10" t="str">
        <f t="shared" si="240"/>
        <v>C78</v>
      </c>
      <c r="O2521" s="5">
        <f t="shared" si="241"/>
        <v>4.0330753139429536</v>
      </c>
      <c r="P2521" s="22">
        <f>O2521/Explications!$C$8</f>
        <v>0.13443584379809845</v>
      </c>
      <c r="Q2521" s="7" t="str">
        <f t="shared" si="242"/>
        <v>C78</v>
      </c>
      <c r="R2521" s="7" t="str">
        <f t="shared" si="243"/>
        <v>C37</v>
      </c>
      <c r="S2521" s="18">
        <f t="shared" si="244"/>
        <v>4.0330753139429536</v>
      </c>
      <c r="T2521" s="18">
        <f>S2521/Explications!$C$8</f>
        <v>0.13443584379809845</v>
      </c>
    </row>
    <row r="2522" spans="7:20">
      <c r="G2522" s="7" t="s">
        <v>53</v>
      </c>
      <c r="H2522" s="7" t="s">
        <v>95</v>
      </c>
      <c r="I2522" s="7">
        <v>46.808500000000002</v>
      </c>
      <c r="J2522" s="7">
        <v>-71.326599999999999</v>
      </c>
      <c r="K2522" s="7">
        <v>46.840699999999998</v>
      </c>
      <c r="L2522" s="7">
        <v>-71.325400000000002</v>
      </c>
      <c r="M2522" s="10" t="str">
        <f t="shared" si="239"/>
        <v>C37</v>
      </c>
      <c r="N2522" s="10" t="str">
        <f t="shared" si="240"/>
        <v>C79</v>
      </c>
      <c r="O2522" s="5">
        <f t="shared" si="241"/>
        <v>3.5816404968771995</v>
      </c>
      <c r="P2522" s="22">
        <f>O2522/Explications!$C$8</f>
        <v>0.11938801656257332</v>
      </c>
      <c r="Q2522" s="7" t="str">
        <f t="shared" si="242"/>
        <v>C79</v>
      </c>
      <c r="R2522" s="7" t="str">
        <f t="shared" si="243"/>
        <v>C37</v>
      </c>
      <c r="S2522" s="18">
        <f t="shared" si="244"/>
        <v>3.5816404968771995</v>
      </c>
      <c r="T2522" s="18">
        <f>S2522/Explications!$C$8</f>
        <v>0.11938801656257332</v>
      </c>
    </row>
    <row r="2523" spans="7:20">
      <c r="G2523" s="7" t="s">
        <v>53</v>
      </c>
      <c r="H2523" s="7" t="s">
        <v>96</v>
      </c>
      <c r="I2523" s="7">
        <v>46.808500000000002</v>
      </c>
      <c r="J2523" s="7">
        <v>-71.326599999999999</v>
      </c>
      <c r="K2523" s="7">
        <v>46.798400000000001</v>
      </c>
      <c r="L2523" s="7">
        <v>-71.183199999999999</v>
      </c>
      <c r="M2523" s="10" t="str">
        <f t="shared" si="239"/>
        <v>C37</v>
      </c>
      <c r="N2523" s="10" t="str">
        <f t="shared" si="240"/>
        <v>C80</v>
      </c>
      <c r="O2523" s="5">
        <f t="shared" si="241"/>
        <v>10.972270677081267</v>
      </c>
      <c r="P2523" s="22">
        <f>O2523/Explications!$C$8</f>
        <v>0.36574235590270893</v>
      </c>
      <c r="Q2523" s="7" t="str">
        <f t="shared" si="242"/>
        <v>C80</v>
      </c>
      <c r="R2523" s="7" t="str">
        <f t="shared" si="243"/>
        <v>C37</v>
      </c>
      <c r="S2523" s="18">
        <f t="shared" si="244"/>
        <v>10.972270677081267</v>
      </c>
      <c r="T2523" s="18">
        <f>S2523/Explications!$C$8</f>
        <v>0.36574235590270893</v>
      </c>
    </row>
    <row r="2524" spans="7:20">
      <c r="G2524" s="7" t="s">
        <v>53</v>
      </c>
      <c r="H2524" s="7" t="s">
        <v>97</v>
      </c>
      <c r="I2524" s="7">
        <v>46.808500000000002</v>
      </c>
      <c r="J2524" s="7">
        <v>-71.326599999999999</v>
      </c>
      <c r="K2524" s="7">
        <v>46.724800000000002</v>
      </c>
      <c r="L2524" s="7">
        <v>-71.2988</v>
      </c>
      <c r="M2524" s="10" t="str">
        <f t="shared" si="239"/>
        <v>C37</v>
      </c>
      <c r="N2524" s="10" t="str">
        <f t="shared" si="240"/>
        <v>C81</v>
      </c>
      <c r="O2524" s="5">
        <f t="shared" si="241"/>
        <v>9.5448362118169232</v>
      </c>
      <c r="P2524" s="22">
        <f>O2524/Explications!$C$8</f>
        <v>0.31816120706056411</v>
      </c>
      <c r="Q2524" s="7" t="str">
        <f t="shared" si="242"/>
        <v>C81</v>
      </c>
      <c r="R2524" s="7" t="str">
        <f t="shared" si="243"/>
        <v>C37</v>
      </c>
      <c r="S2524" s="18">
        <f t="shared" si="244"/>
        <v>9.5448362118169232</v>
      </c>
      <c r="T2524" s="18">
        <f>S2524/Explications!$C$8</f>
        <v>0.31816120706056411</v>
      </c>
    </row>
    <row r="2525" spans="7:20">
      <c r="G2525" s="7" t="s">
        <v>53</v>
      </c>
      <c r="H2525" s="7" t="s">
        <v>98</v>
      </c>
      <c r="I2525" s="7">
        <v>46.808500000000002</v>
      </c>
      <c r="J2525" s="7">
        <v>-71.326599999999999</v>
      </c>
      <c r="K2525" s="7">
        <v>46.795499999999997</v>
      </c>
      <c r="L2525" s="7">
        <v>-71.242900000000006</v>
      </c>
      <c r="M2525" s="10" t="str">
        <f t="shared" si="239"/>
        <v>C37</v>
      </c>
      <c r="N2525" s="10" t="str">
        <f t="shared" si="240"/>
        <v>C82</v>
      </c>
      <c r="O2525" s="5">
        <f t="shared" si="241"/>
        <v>6.5327895789989121</v>
      </c>
      <c r="P2525" s="22">
        <f>O2525/Explications!$C$8</f>
        <v>0.21775965263329708</v>
      </c>
      <c r="Q2525" s="7" t="str">
        <f t="shared" si="242"/>
        <v>C82</v>
      </c>
      <c r="R2525" s="7" t="str">
        <f t="shared" si="243"/>
        <v>C37</v>
      </c>
      <c r="S2525" s="18">
        <f t="shared" si="244"/>
        <v>6.5327895789989121</v>
      </c>
      <c r="T2525" s="18">
        <f>S2525/Explications!$C$8</f>
        <v>0.21775965263329708</v>
      </c>
    </row>
    <row r="2526" spans="7:20">
      <c r="G2526" s="7" t="s">
        <v>53</v>
      </c>
      <c r="H2526" s="7" t="s">
        <v>99</v>
      </c>
      <c r="I2526" s="7">
        <v>46.808500000000002</v>
      </c>
      <c r="J2526" s="7">
        <v>-71.326599999999999</v>
      </c>
      <c r="K2526" s="7">
        <v>46.8157</v>
      </c>
      <c r="L2526" s="7">
        <v>-71.201899999999995</v>
      </c>
      <c r="M2526" s="10" t="str">
        <f t="shared" si="239"/>
        <v>C37</v>
      </c>
      <c r="N2526" s="10" t="str">
        <f t="shared" si="240"/>
        <v>C83</v>
      </c>
      <c r="O2526" s="5">
        <f t="shared" si="241"/>
        <v>9.523510769790299</v>
      </c>
      <c r="P2526" s="22">
        <f>O2526/Explications!$C$8</f>
        <v>0.31745035899300994</v>
      </c>
      <c r="Q2526" s="7" t="str">
        <f t="shared" si="242"/>
        <v>C83</v>
      </c>
      <c r="R2526" s="7" t="str">
        <f t="shared" si="243"/>
        <v>C37</v>
      </c>
      <c r="S2526" s="18">
        <f t="shared" si="244"/>
        <v>9.523510769790299</v>
      </c>
      <c r="T2526" s="18">
        <f>S2526/Explications!$C$8</f>
        <v>0.31745035899300994</v>
      </c>
    </row>
    <row r="2527" spans="7:20">
      <c r="G2527" s="7" t="s">
        <v>53</v>
      </c>
      <c r="H2527" s="7" t="s">
        <v>100</v>
      </c>
      <c r="I2527" s="7">
        <v>46.808500000000002</v>
      </c>
      <c r="J2527" s="7">
        <v>-71.326599999999999</v>
      </c>
      <c r="K2527" s="7">
        <v>46.837600000000002</v>
      </c>
      <c r="L2527" s="7">
        <v>-71.196299999999994</v>
      </c>
      <c r="M2527" s="10" t="str">
        <f t="shared" si="239"/>
        <v>C37</v>
      </c>
      <c r="N2527" s="10" t="str">
        <f t="shared" si="240"/>
        <v>C84</v>
      </c>
      <c r="O2527" s="5">
        <f t="shared" si="241"/>
        <v>10.428640305606237</v>
      </c>
      <c r="P2527" s="22">
        <f>O2527/Explications!$C$8</f>
        <v>0.3476213435202079</v>
      </c>
      <c r="Q2527" s="7" t="str">
        <f t="shared" si="242"/>
        <v>C84</v>
      </c>
      <c r="R2527" s="7" t="str">
        <f t="shared" si="243"/>
        <v>C37</v>
      </c>
      <c r="S2527" s="18">
        <f t="shared" si="244"/>
        <v>10.428640305606237</v>
      </c>
      <c r="T2527" s="18">
        <f>S2527/Explications!$C$8</f>
        <v>0.3476213435202079</v>
      </c>
    </row>
    <row r="2528" spans="7:20">
      <c r="G2528" s="7" t="s">
        <v>53</v>
      </c>
      <c r="H2528" s="7" t="s">
        <v>101</v>
      </c>
      <c r="I2528" s="7">
        <v>46.808500000000002</v>
      </c>
      <c r="J2528" s="7">
        <v>-71.326599999999999</v>
      </c>
      <c r="K2528" s="7">
        <v>46.7988</v>
      </c>
      <c r="L2528" s="7">
        <v>-71.318200000000004</v>
      </c>
      <c r="M2528" s="10" t="str">
        <f t="shared" si="239"/>
        <v>C37</v>
      </c>
      <c r="N2528" s="10" t="str">
        <f t="shared" si="240"/>
        <v>C85</v>
      </c>
      <c r="O2528" s="5">
        <f t="shared" si="241"/>
        <v>1.2538442845782221</v>
      </c>
      <c r="P2528" s="22">
        <f>O2528/Explications!$C$8</f>
        <v>4.1794809485940734E-2</v>
      </c>
      <c r="Q2528" s="7" t="str">
        <f t="shared" si="242"/>
        <v>C85</v>
      </c>
      <c r="R2528" s="7" t="str">
        <f t="shared" si="243"/>
        <v>C37</v>
      </c>
      <c r="S2528" s="18">
        <f t="shared" si="244"/>
        <v>1.2538442845782221</v>
      </c>
      <c r="T2528" s="18">
        <f>S2528/Explications!$C$8</f>
        <v>4.1794809485940734E-2</v>
      </c>
    </row>
    <row r="2529" spans="7:20">
      <c r="G2529" s="7" t="s">
        <v>54</v>
      </c>
      <c r="H2529" s="7" t="s">
        <v>55</v>
      </c>
      <c r="I2529" s="7">
        <v>46.797499999999999</v>
      </c>
      <c r="J2529" s="7">
        <v>-71.306100000000001</v>
      </c>
      <c r="K2529" s="7">
        <v>46.8155</v>
      </c>
      <c r="L2529" s="7">
        <v>-71.268199999999993</v>
      </c>
      <c r="M2529" s="10" t="str">
        <f t="shared" si="239"/>
        <v>C38</v>
      </c>
      <c r="N2529" s="10" t="str">
        <f t="shared" si="240"/>
        <v>C39</v>
      </c>
      <c r="O2529" s="5">
        <f t="shared" si="241"/>
        <v>3.5109186020107561</v>
      </c>
      <c r="P2529" s="22">
        <f>O2529/Explications!$C$8</f>
        <v>0.11703062006702521</v>
      </c>
      <c r="Q2529" s="7" t="str">
        <f t="shared" si="242"/>
        <v>C39</v>
      </c>
      <c r="R2529" s="7" t="str">
        <f t="shared" si="243"/>
        <v>C38</v>
      </c>
      <c r="S2529" s="18">
        <f t="shared" si="244"/>
        <v>3.5109186020107561</v>
      </c>
      <c r="T2529" s="18">
        <f>S2529/Explications!$C$8</f>
        <v>0.11703062006702521</v>
      </c>
    </row>
    <row r="2530" spans="7:20">
      <c r="G2530" s="7" t="s">
        <v>54</v>
      </c>
      <c r="H2530" s="7" t="s">
        <v>56</v>
      </c>
      <c r="I2530" s="7">
        <v>46.797499999999999</v>
      </c>
      <c r="J2530" s="7">
        <v>-71.306100000000001</v>
      </c>
      <c r="K2530" s="7">
        <v>46.866700000000002</v>
      </c>
      <c r="L2530" s="7">
        <v>-71.215900000000005</v>
      </c>
      <c r="M2530" s="10" t="str">
        <f t="shared" si="239"/>
        <v>C38</v>
      </c>
      <c r="N2530" s="10" t="str">
        <f t="shared" si="240"/>
        <v>C40</v>
      </c>
      <c r="O2530" s="5">
        <f t="shared" si="241"/>
        <v>10.309799908257885</v>
      </c>
      <c r="P2530" s="22">
        <f>O2530/Explications!$C$8</f>
        <v>0.3436599969419295</v>
      </c>
      <c r="Q2530" s="7" t="str">
        <f t="shared" si="242"/>
        <v>C40</v>
      </c>
      <c r="R2530" s="7" t="str">
        <f t="shared" si="243"/>
        <v>C38</v>
      </c>
      <c r="S2530" s="18">
        <f t="shared" si="244"/>
        <v>10.309799908257885</v>
      </c>
      <c r="T2530" s="18">
        <f>S2530/Explications!$C$8</f>
        <v>0.3436599969419295</v>
      </c>
    </row>
    <row r="2531" spans="7:20">
      <c r="G2531" s="7" t="s">
        <v>54</v>
      </c>
      <c r="H2531" s="7" t="s">
        <v>57</v>
      </c>
      <c r="I2531" s="7">
        <v>46.797499999999999</v>
      </c>
      <c r="J2531" s="7">
        <v>-71.306100000000001</v>
      </c>
      <c r="K2531" s="7">
        <v>46.762099999999997</v>
      </c>
      <c r="L2531" s="7">
        <v>-71.235399999999998</v>
      </c>
      <c r="M2531" s="10" t="str">
        <f t="shared" si="239"/>
        <v>C38</v>
      </c>
      <c r="N2531" s="10" t="str">
        <f t="shared" si="240"/>
        <v>C41</v>
      </c>
      <c r="O2531" s="5">
        <f t="shared" si="241"/>
        <v>6.6691324651047994</v>
      </c>
      <c r="P2531" s="22">
        <f>O2531/Explications!$C$8</f>
        <v>0.22230441550349331</v>
      </c>
      <c r="Q2531" s="7" t="str">
        <f t="shared" si="242"/>
        <v>C41</v>
      </c>
      <c r="R2531" s="7" t="str">
        <f t="shared" si="243"/>
        <v>C38</v>
      </c>
      <c r="S2531" s="18">
        <f t="shared" si="244"/>
        <v>6.6691324651047994</v>
      </c>
      <c r="T2531" s="18">
        <f>S2531/Explications!$C$8</f>
        <v>0.22230441550349331</v>
      </c>
    </row>
    <row r="2532" spans="7:20">
      <c r="G2532" s="7" t="s">
        <v>54</v>
      </c>
      <c r="H2532" s="7" t="s">
        <v>58</v>
      </c>
      <c r="I2532" s="7">
        <v>46.797499999999999</v>
      </c>
      <c r="J2532" s="7">
        <v>-71.306100000000001</v>
      </c>
      <c r="K2532" s="7">
        <v>46.8157</v>
      </c>
      <c r="L2532" s="7">
        <v>-71.2042</v>
      </c>
      <c r="M2532" s="10" t="str">
        <f t="shared" si="239"/>
        <v>C38</v>
      </c>
      <c r="N2532" s="10" t="str">
        <f t="shared" si="240"/>
        <v>C42</v>
      </c>
      <c r="O2532" s="5">
        <f t="shared" si="241"/>
        <v>8.0151832023793279</v>
      </c>
      <c r="P2532" s="22">
        <f>O2532/Explications!$C$8</f>
        <v>0.26717277341264428</v>
      </c>
      <c r="Q2532" s="7" t="str">
        <f t="shared" si="242"/>
        <v>C42</v>
      </c>
      <c r="R2532" s="7" t="str">
        <f t="shared" si="243"/>
        <v>C38</v>
      </c>
      <c r="S2532" s="18">
        <f t="shared" si="244"/>
        <v>8.0151832023793279</v>
      </c>
      <c r="T2532" s="18">
        <f>S2532/Explications!$C$8</f>
        <v>0.26717277341264428</v>
      </c>
    </row>
    <row r="2533" spans="7:20">
      <c r="G2533" s="7" t="s">
        <v>54</v>
      </c>
      <c r="H2533" s="7" t="s">
        <v>59</v>
      </c>
      <c r="I2533" s="7">
        <v>46.797499999999999</v>
      </c>
      <c r="J2533" s="7">
        <v>-71.306100000000001</v>
      </c>
      <c r="K2533" s="7">
        <v>46.707000000000001</v>
      </c>
      <c r="L2533" s="7">
        <v>-71.217100000000002</v>
      </c>
      <c r="M2533" s="10" t="str">
        <f t="shared" si="239"/>
        <v>C38</v>
      </c>
      <c r="N2533" s="10" t="str">
        <f t="shared" si="240"/>
        <v>C43</v>
      </c>
      <c r="O2533" s="5">
        <f t="shared" si="241"/>
        <v>12.134343725888284</v>
      </c>
      <c r="P2533" s="22">
        <f>O2533/Explications!$C$8</f>
        <v>0.40447812419627616</v>
      </c>
      <c r="Q2533" s="7" t="str">
        <f t="shared" si="242"/>
        <v>C43</v>
      </c>
      <c r="R2533" s="7" t="str">
        <f t="shared" si="243"/>
        <v>C38</v>
      </c>
      <c r="S2533" s="18">
        <f t="shared" si="244"/>
        <v>12.134343725888284</v>
      </c>
      <c r="T2533" s="18">
        <f>S2533/Explications!$C$8</f>
        <v>0.40447812419627616</v>
      </c>
    </row>
    <row r="2534" spans="7:20">
      <c r="G2534" s="7" t="s">
        <v>54</v>
      </c>
      <c r="H2534" s="7" t="s">
        <v>60</v>
      </c>
      <c r="I2534" s="7">
        <v>46.797499999999999</v>
      </c>
      <c r="J2534" s="7">
        <v>-71.306100000000001</v>
      </c>
      <c r="K2534" s="7">
        <v>46.802900000000001</v>
      </c>
      <c r="L2534" s="7">
        <v>-71.228899999999996</v>
      </c>
      <c r="M2534" s="10" t="str">
        <f t="shared" si="239"/>
        <v>C38</v>
      </c>
      <c r="N2534" s="10" t="str">
        <f t="shared" si="240"/>
        <v>C44</v>
      </c>
      <c r="O2534" s="5">
        <f t="shared" si="241"/>
        <v>5.9068983526278167</v>
      </c>
      <c r="P2534" s="22">
        <f>O2534/Explications!$C$8</f>
        <v>0.19689661175426057</v>
      </c>
      <c r="Q2534" s="7" t="str">
        <f t="shared" si="242"/>
        <v>C44</v>
      </c>
      <c r="R2534" s="7" t="str">
        <f t="shared" si="243"/>
        <v>C38</v>
      </c>
      <c r="S2534" s="18">
        <f t="shared" si="244"/>
        <v>5.9068983526278167</v>
      </c>
      <c r="T2534" s="18">
        <f>S2534/Explications!$C$8</f>
        <v>0.19689661175426057</v>
      </c>
    </row>
    <row r="2535" spans="7:20">
      <c r="G2535" s="7" t="s">
        <v>54</v>
      </c>
      <c r="H2535" s="7" t="s">
        <v>61</v>
      </c>
      <c r="I2535" s="7">
        <v>46.797499999999999</v>
      </c>
      <c r="J2535" s="7">
        <v>-71.306100000000001</v>
      </c>
      <c r="K2535" s="7">
        <v>46.796900000000001</v>
      </c>
      <c r="L2535" s="7">
        <v>-71.3078</v>
      </c>
      <c r="M2535" s="10" t="str">
        <f t="shared" si="239"/>
        <v>C38</v>
      </c>
      <c r="N2535" s="10" t="str">
        <f t="shared" si="240"/>
        <v>C45</v>
      </c>
      <c r="O2535" s="5">
        <f t="shared" si="241"/>
        <v>0.14559354799381063</v>
      </c>
      <c r="P2535" s="22">
        <f>O2535/Explications!$C$8</f>
        <v>4.8531182664603547E-3</v>
      </c>
      <c r="Q2535" s="7" t="str">
        <f t="shared" si="242"/>
        <v>C45</v>
      </c>
      <c r="R2535" s="7" t="str">
        <f t="shared" si="243"/>
        <v>C38</v>
      </c>
      <c r="S2535" s="18">
        <f t="shared" si="244"/>
        <v>0.14559354799381063</v>
      </c>
      <c r="T2535" s="18">
        <f>S2535/Explications!$C$8</f>
        <v>4.8531182664603547E-3</v>
      </c>
    </row>
    <row r="2536" spans="7:20">
      <c r="G2536" s="7" t="s">
        <v>54</v>
      </c>
      <c r="H2536" s="7" t="s">
        <v>62</v>
      </c>
      <c r="I2536" s="7">
        <v>46.797499999999999</v>
      </c>
      <c r="J2536" s="7">
        <v>-71.306100000000001</v>
      </c>
      <c r="K2536" s="7">
        <v>46.803600000000003</v>
      </c>
      <c r="L2536" s="7">
        <v>-71.231099999999998</v>
      </c>
      <c r="M2536" s="10" t="str">
        <f t="shared" si="239"/>
        <v>C38</v>
      </c>
      <c r="N2536" s="10" t="str">
        <f t="shared" si="240"/>
        <v>C46</v>
      </c>
      <c r="O2536" s="5">
        <f t="shared" si="241"/>
        <v>5.7489579000937994</v>
      </c>
      <c r="P2536" s="22">
        <f>O2536/Explications!$C$8</f>
        <v>0.19163193000312664</v>
      </c>
      <c r="Q2536" s="7" t="str">
        <f t="shared" si="242"/>
        <v>C46</v>
      </c>
      <c r="R2536" s="7" t="str">
        <f t="shared" si="243"/>
        <v>C38</v>
      </c>
      <c r="S2536" s="18">
        <f t="shared" si="244"/>
        <v>5.7489579000937994</v>
      </c>
      <c r="T2536" s="18">
        <f>S2536/Explications!$C$8</f>
        <v>0.19163193000312664</v>
      </c>
    </row>
    <row r="2537" spans="7:20">
      <c r="G2537" s="7" t="s">
        <v>54</v>
      </c>
      <c r="H2537" s="7" t="s">
        <v>63</v>
      </c>
      <c r="I2537" s="7">
        <v>46.797499999999999</v>
      </c>
      <c r="J2537" s="7">
        <v>-71.306100000000001</v>
      </c>
      <c r="K2537" s="7">
        <v>46.802399999999999</v>
      </c>
      <c r="L2537" s="7">
        <v>-71.269800000000004</v>
      </c>
      <c r="M2537" s="10" t="str">
        <f t="shared" si="239"/>
        <v>C38</v>
      </c>
      <c r="N2537" s="10" t="str">
        <f t="shared" si="240"/>
        <v>C47</v>
      </c>
      <c r="O2537" s="5">
        <f t="shared" si="241"/>
        <v>2.8162997297356234</v>
      </c>
      <c r="P2537" s="22">
        <f>O2537/Explications!$C$8</f>
        <v>9.3876657657854107E-2</v>
      </c>
      <c r="Q2537" s="7" t="str">
        <f t="shared" si="242"/>
        <v>C47</v>
      </c>
      <c r="R2537" s="7" t="str">
        <f t="shared" si="243"/>
        <v>C38</v>
      </c>
      <c r="S2537" s="18">
        <f t="shared" si="244"/>
        <v>2.8162997297356234</v>
      </c>
      <c r="T2537" s="18">
        <f>S2537/Explications!$C$8</f>
        <v>9.3876657657854107E-2</v>
      </c>
    </row>
    <row r="2538" spans="7:20">
      <c r="G2538" s="7" t="s">
        <v>54</v>
      </c>
      <c r="H2538" s="7" t="s">
        <v>64</v>
      </c>
      <c r="I2538" s="7">
        <v>46.797499999999999</v>
      </c>
      <c r="J2538" s="7">
        <v>-71.306100000000001</v>
      </c>
      <c r="K2538" s="7">
        <v>46.826799999999999</v>
      </c>
      <c r="L2538" s="7">
        <v>-71.224199999999996</v>
      </c>
      <c r="M2538" s="10" t="str">
        <f t="shared" si="239"/>
        <v>C38</v>
      </c>
      <c r="N2538" s="10" t="str">
        <f t="shared" si="240"/>
        <v>C48</v>
      </c>
      <c r="O2538" s="5">
        <f t="shared" si="241"/>
        <v>7.0328375377381409</v>
      </c>
      <c r="P2538" s="22">
        <f>O2538/Explications!$C$8</f>
        <v>0.23442791792460468</v>
      </c>
      <c r="Q2538" s="7" t="str">
        <f t="shared" si="242"/>
        <v>C48</v>
      </c>
      <c r="R2538" s="7" t="str">
        <f t="shared" si="243"/>
        <v>C38</v>
      </c>
      <c r="S2538" s="18">
        <f t="shared" si="244"/>
        <v>7.0328375377381409</v>
      </c>
      <c r="T2538" s="18">
        <f>S2538/Explications!$C$8</f>
        <v>0.23442791792460468</v>
      </c>
    </row>
    <row r="2539" spans="7:20">
      <c r="G2539" s="7" t="s">
        <v>54</v>
      </c>
      <c r="H2539" s="7" t="s">
        <v>65</v>
      </c>
      <c r="I2539" s="7">
        <v>46.797499999999999</v>
      </c>
      <c r="J2539" s="7">
        <v>-71.306100000000001</v>
      </c>
      <c r="K2539" s="7">
        <v>46.864100000000001</v>
      </c>
      <c r="L2539" s="7">
        <v>-71.255499999999998</v>
      </c>
      <c r="M2539" s="10" t="str">
        <f t="shared" si="239"/>
        <v>C38</v>
      </c>
      <c r="N2539" s="10" t="str">
        <f t="shared" si="240"/>
        <v>C49</v>
      </c>
      <c r="O2539" s="5">
        <f t="shared" si="241"/>
        <v>8.346275645195611</v>
      </c>
      <c r="P2539" s="22">
        <f>O2539/Explications!$C$8</f>
        <v>0.27820918817318702</v>
      </c>
      <c r="Q2539" s="7" t="str">
        <f t="shared" si="242"/>
        <v>C49</v>
      </c>
      <c r="R2539" s="7" t="str">
        <f t="shared" si="243"/>
        <v>C38</v>
      </c>
      <c r="S2539" s="18">
        <f t="shared" si="244"/>
        <v>8.346275645195611</v>
      </c>
      <c r="T2539" s="18">
        <f>S2539/Explications!$C$8</f>
        <v>0.27820918817318702</v>
      </c>
    </row>
    <row r="2540" spans="7:20">
      <c r="G2540" s="7" t="s">
        <v>54</v>
      </c>
      <c r="H2540" s="7" t="s">
        <v>66</v>
      </c>
      <c r="I2540" s="7">
        <v>46.797499999999999</v>
      </c>
      <c r="J2540" s="7">
        <v>-71.306100000000001</v>
      </c>
      <c r="K2540" s="7">
        <v>46.843800000000002</v>
      </c>
      <c r="L2540" s="7">
        <v>-71.247299999999996</v>
      </c>
      <c r="M2540" s="10" t="str">
        <f t="shared" si="239"/>
        <v>C38</v>
      </c>
      <c r="N2540" s="10" t="str">
        <f t="shared" si="240"/>
        <v>C50</v>
      </c>
      <c r="O2540" s="5">
        <f t="shared" si="241"/>
        <v>6.8207177363373912</v>
      </c>
      <c r="P2540" s="22">
        <f>O2540/Explications!$C$8</f>
        <v>0.22735725787791303</v>
      </c>
      <c r="Q2540" s="7" t="str">
        <f t="shared" si="242"/>
        <v>C50</v>
      </c>
      <c r="R2540" s="7" t="str">
        <f t="shared" si="243"/>
        <v>C38</v>
      </c>
      <c r="S2540" s="18">
        <f t="shared" si="244"/>
        <v>6.8207177363373912</v>
      </c>
      <c r="T2540" s="18">
        <f>S2540/Explications!$C$8</f>
        <v>0.22735725787791303</v>
      </c>
    </row>
    <row r="2541" spans="7:20">
      <c r="G2541" s="7" t="s">
        <v>54</v>
      </c>
      <c r="H2541" s="7" t="s">
        <v>67</v>
      </c>
      <c r="I2541" s="7">
        <v>46.797499999999999</v>
      </c>
      <c r="J2541" s="7">
        <v>-71.306100000000001</v>
      </c>
      <c r="K2541" s="7">
        <v>46.765599999999999</v>
      </c>
      <c r="L2541" s="7">
        <v>-71.312100000000001</v>
      </c>
      <c r="M2541" s="10" t="str">
        <f t="shared" si="239"/>
        <v>C38</v>
      </c>
      <c r="N2541" s="10" t="str">
        <f t="shared" si="240"/>
        <v>C51</v>
      </c>
      <c r="O2541" s="5">
        <f t="shared" si="241"/>
        <v>3.5764190704984653</v>
      </c>
      <c r="P2541" s="22">
        <f>O2541/Explications!$C$8</f>
        <v>0.1192139690166155</v>
      </c>
      <c r="Q2541" s="7" t="str">
        <f t="shared" si="242"/>
        <v>C51</v>
      </c>
      <c r="R2541" s="7" t="str">
        <f t="shared" si="243"/>
        <v>C38</v>
      </c>
      <c r="S2541" s="18">
        <f t="shared" si="244"/>
        <v>3.5764190704984653</v>
      </c>
      <c r="T2541" s="18">
        <f>S2541/Explications!$C$8</f>
        <v>0.1192139690166155</v>
      </c>
    </row>
    <row r="2542" spans="7:20">
      <c r="G2542" s="7" t="s">
        <v>54</v>
      </c>
      <c r="H2542" s="7" t="s">
        <v>68</v>
      </c>
      <c r="I2542" s="7">
        <v>46.797499999999999</v>
      </c>
      <c r="J2542" s="7">
        <v>-71.306100000000001</v>
      </c>
      <c r="K2542" s="7">
        <v>46.787599999999998</v>
      </c>
      <c r="L2542" s="7">
        <v>-71.288600000000002</v>
      </c>
      <c r="M2542" s="10" t="str">
        <f t="shared" si="239"/>
        <v>C38</v>
      </c>
      <c r="N2542" s="10" t="str">
        <f t="shared" si="240"/>
        <v>C52</v>
      </c>
      <c r="O2542" s="5">
        <f t="shared" si="241"/>
        <v>1.7282136504295491</v>
      </c>
      <c r="P2542" s="22">
        <f>O2542/Explications!$C$8</f>
        <v>5.7607121680984967E-2</v>
      </c>
      <c r="Q2542" s="7" t="str">
        <f t="shared" si="242"/>
        <v>C52</v>
      </c>
      <c r="R2542" s="7" t="str">
        <f t="shared" si="243"/>
        <v>C38</v>
      </c>
      <c r="S2542" s="18">
        <f t="shared" si="244"/>
        <v>1.7282136504295491</v>
      </c>
      <c r="T2542" s="18">
        <f>S2542/Explications!$C$8</f>
        <v>5.7607121680984967E-2</v>
      </c>
    </row>
    <row r="2543" spans="7:20">
      <c r="G2543" s="7" t="s">
        <v>54</v>
      </c>
      <c r="H2543" s="7" t="s">
        <v>69</v>
      </c>
      <c r="I2543" s="7">
        <v>46.797499999999999</v>
      </c>
      <c r="J2543" s="7">
        <v>-71.306100000000001</v>
      </c>
      <c r="K2543" s="7">
        <v>46.764600000000002</v>
      </c>
      <c r="L2543" s="7">
        <v>-71.308300000000003</v>
      </c>
      <c r="M2543" s="10" t="str">
        <f t="shared" si="239"/>
        <v>C38</v>
      </c>
      <c r="N2543" s="10" t="str">
        <f t="shared" si="240"/>
        <v>C53</v>
      </c>
      <c r="O2543" s="5">
        <f t="shared" si="241"/>
        <v>3.6621465334065944</v>
      </c>
      <c r="P2543" s="22">
        <f>O2543/Explications!$C$8</f>
        <v>0.12207155111355314</v>
      </c>
      <c r="Q2543" s="7" t="str">
        <f t="shared" si="242"/>
        <v>C53</v>
      </c>
      <c r="R2543" s="7" t="str">
        <f t="shared" si="243"/>
        <v>C38</v>
      </c>
      <c r="S2543" s="18">
        <f t="shared" si="244"/>
        <v>3.6621465334065944</v>
      </c>
      <c r="T2543" s="18">
        <f>S2543/Explications!$C$8</f>
        <v>0.12207155111355314</v>
      </c>
    </row>
    <row r="2544" spans="7:20">
      <c r="G2544" s="7" t="s">
        <v>54</v>
      </c>
      <c r="H2544" s="7" t="s">
        <v>70</v>
      </c>
      <c r="I2544" s="7">
        <v>46.797499999999999</v>
      </c>
      <c r="J2544" s="7">
        <v>-71.306100000000001</v>
      </c>
      <c r="K2544" s="7">
        <v>46.849699999999999</v>
      </c>
      <c r="L2544" s="7">
        <v>-71.097399999999993</v>
      </c>
      <c r="M2544" s="10" t="str">
        <f t="shared" si="239"/>
        <v>C38</v>
      </c>
      <c r="N2544" s="10" t="str">
        <f t="shared" si="240"/>
        <v>C54</v>
      </c>
      <c r="O2544" s="5">
        <f t="shared" si="241"/>
        <v>16.906500230279033</v>
      </c>
      <c r="P2544" s="22">
        <f>O2544/Explications!$C$8</f>
        <v>0.56355000767596775</v>
      </c>
      <c r="Q2544" s="7" t="str">
        <f t="shared" si="242"/>
        <v>C54</v>
      </c>
      <c r="R2544" s="7" t="str">
        <f t="shared" si="243"/>
        <v>C38</v>
      </c>
      <c r="S2544" s="18">
        <f t="shared" si="244"/>
        <v>16.906500230279033</v>
      </c>
      <c r="T2544" s="18">
        <f>S2544/Explications!$C$8</f>
        <v>0.56355000767596775</v>
      </c>
    </row>
    <row r="2545" spans="7:20">
      <c r="G2545" s="7" t="s">
        <v>54</v>
      </c>
      <c r="H2545" s="7" t="s">
        <v>71</v>
      </c>
      <c r="I2545" s="7">
        <v>46.797499999999999</v>
      </c>
      <c r="J2545" s="7">
        <v>-71.306100000000001</v>
      </c>
      <c r="K2545" s="7">
        <v>46.788899999999998</v>
      </c>
      <c r="L2545" s="7">
        <v>-71.321399999999997</v>
      </c>
      <c r="M2545" s="10" t="str">
        <f t="shared" si="239"/>
        <v>C38</v>
      </c>
      <c r="N2545" s="10" t="str">
        <f t="shared" si="240"/>
        <v>C55</v>
      </c>
      <c r="O2545" s="5">
        <f t="shared" si="241"/>
        <v>1.5070232033440694</v>
      </c>
      <c r="P2545" s="22">
        <f>O2545/Explications!$C$8</f>
        <v>5.0234106778135647E-2</v>
      </c>
      <c r="Q2545" s="7" t="str">
        <f t="shared" si="242"/>
        <v>C55</v>
      </c>
      <c r="R2545" s="7" t="str">
        <f t="shared" si="243"/>
        <v>C38</v>
      </c>
      <c r="S2545" s="18">
        <f t="shared" si="244"/>
        <v>1.5070232033440694</v>
      </c>
      <c r="T2545" s="18">
        <f>S2545/Explications!$C$8</f>
        <v>5.0234106778135647E-2</v>
      </c>
    </row>
    <row r="2546" spans="7:20">
      <c r="G2546" s="7" t="s">
        <v>54</v>
      </c>
      <c r="H2546" s="7" t="s">
        <v>72</v>
      </c>
      <c r="I2546" s="7">
        <v>46.797499999999999</v>
      </c>
      <c r="J2546" s="7">
        <v>-71.306100000000001</v>
      </c>
      <c r="K2546" s="7">
        <v>46.795400000000001</v>
      </c>
      <c r="L2546" s="7">
        <v>-71.232600000000005</v>
      </c>
      <c r="M2546" s="10" t="str">
        <f t="shared" si="239"/>
        <v>C38</v>
      </c>
      <c r="N2546" s="10" t="str">
        <f t="shared" si="240"/>
        <v>C56</v>
      </c>
      <c r="O2546" s="5">
        <f t="shared" si="241"/>
        <v>5.5999246965111578</v>
      </c>
      <c r="P2546" s="22">
        <f>O2546/Explications!$C$8</f>
        <v>0.18666415655037191</v>
      </c>
      <c r="Q2546" s="7" t="str">
        <f t="shared" si="242"/>
        <v>C56</v>
      </c>
      <c r="R2546" s="7" t="str">
        <f t="shared" si="243"/>
        <v>C38</v>
      </c>
      <c r="S2546" s="18">
        <f t="shared" si="244"/>
        <v>5.5999246965111578</v>
      </c>
      <c r="T2546" s="18">
        <f>S2546/Explications!$C$8</f>
        <v>0.18666415655037191</v>
      </c>
    </row>
    <row r="2547" spans="7:20">
      <c r="G2547" s="7" t="s">
        <v>54</v>
      </c>
      <c r="H2547" s="7" t="s">
        <v>73</v>
      </c>
      <c r="I2547" s="7">
        <v>46.797499999999999</v>
      </c>
      <c r="J2547" s="7">
        <v>-71.306100000000001</v>
      </c>
      <c r="K2547" s="7">
        <v>46.801200000000001</v>
      </c>
      <c r="L2547" s="7">
        <v>-71.224999999999994</v>
      </c>
      <c r="M2547" s="10" t="str">
        <f t="shared" si="239"/>
        <v>C38</v>
      </c>
      <c r="N2547" s="10" t="str">
        <f t="shared" si="240"/>
        <v>C57</v>
      </c>
      <c r="O2547" s="5">
        <f t="shared" si="241"/>
        <v>6.186952040657836</v>
      </c>
      <c r="P2547" s="22">
        <f>O2547/Explications!$C$8</f>
        <v>0.20623173468859454</v>
      </c>
      <c r="Q2547" s="7" t="str">
        <f t="shared" si="242"/>
        <v>C57</v>
      </c>
      <c r="R2547" s="7" t="str">
        <f t="shared" si="243"/>
        <v>C38</v>
      </c>
      <c r="S2547" s="18">
        <f t="shared" si="244"/>
        <v>6.186952040657836</v>
      </c>
      <c r="T2547" s="18">
        <f>S2547/Explications!$C$8</f>
        <v>0.20623173468859454</v>
      </c>
    </row>
    <row r="2548" spans="7:20">
      <c r="G2548" s="7" t="s">
        <v>54</v>
      </c>
      <c r="H2548" s="7" t="s">
        <v>74</v>
      </c>
      <c r="I2548" s="7">
        <v>46.797499999999999</v>
      </c>
      <c r="J2548" s="7">
        <v>-71.306100000000001</v>
      </c>
      <c r="K2548" s="7">
        <v>46.773200000000003</v>
      </c>
      <c r="L2548" s="7">
        <v>-71.275899999999993</v>
      </c>
      <c r="M2548" s="10" t="str">
        <f t="shared" si="239"/>
        <v>C38</v>
      </c>
      <c r="N2548" s="10" t="str">
        <f t="shared" si="240"/>
        <v>C58</v>
      </c>
      <c r="O2548" s="5">
        <f t="shared" si="241"/>
        <v>3.5479877051342439</v>
      </c>
      <c r="P2548" s="22">
        <f>O2548/Explications!$C$8</f>
        <v>0.11826625683780813</v>
      </c>
      <c r="Q2548" s="7" t="str">
        <f t="shared" si="242"/>
        <v>C58</v>
      </c>
      <c r="R2548" s="7" t="str">
        <f t="shared" si="243"/>
        <v>C38</v>
      </c>
      <c r="S2548" s="18">
        <f t="shared" si="244"/>
        <v>3.5479877051342439</v>
      </c>
      <c r="T2548" s="18">
        <f>S2548/Explications!$C$8</f>
        <v>0.11826625683780813</v>
      </c>
    </row>
    <row r="2549" spans="7:20">
      <c r="G2549" s="7" t="s">
        <v>54</v>
      </c>
      <c r="H2549" s="7" t="s">
        <v>75</v>
      </c>
      <c r="I2549" s="7">
        <v>46.797499999999999</v>
      </c>
      <c r="J2549" s="7">
        <v>-71.306100000000001</v>
      </c>
      <c r="K2549" s="7">
        <v>46.814399999999999</v>
      </c>
      <c r="L2549" s="7">
        <v>-71.225700000000003</v>
      </c>
      <c r="M2549" s="10" t="str">
        <f t="shared" si="239"/>
        <v>C38</v>
      </c>
      <c r="N2549" s="10" t="str">
        <f t="shared" si="240"/>
        <v>C59</v>
      </c>
      <c r="O2549" s="5">
        <f t="shared" si="241"/>
        <v>6.4012705767920064</v>
      </c>
      <c r="P2549" s="22">
        <f>O2549/Explications!$C$8</f>
        <v>0.21337568589306688</v>
      </c>
      <c r="Q2549" s="7" t="str">
        <f t="shared" si="242"/>
        <v>C59</v>
      </c>
      <c r="R2549" s="7" t="str">
        <f t="shared" si="243"/>
        <v>C38</v>
      </c>
      <c r="S2549" s="18">
        <f t="shared" si="244"/>
        <v>6.4012705767920064</v>
      </c>
      <c r="T2549" s="18">
        <f>S2549/Explications!$C$8</f>
        <v>0.21337568589306688</v>
      </c>
    </row>
    <row r="2550" spans="7:20">
      <c r="G2550" s="7" t="s">
        <v>54</v>
      </c>
      <c r="H2550" s="7" t="s">
        <v>76</v>
      </c>
      <c r="I2550" s="7">
        <v>46.797499999999999</v>
      </c>
      <c r="J2550" s="7">
        <v>-71.306100000000001</v>
      </c>
      <c r="K2550" s="7">
        <v>46.772500000000001</v>
      </c>
      <c r="L2550" s="7">
        <v>-71.276300000000006</v>
      </c>
      <c r="M2550" s="10" t="str">
        <f t="shared" si="239"/>
        <v>C38</v>
      </c>
      <c r="N2550" s="10" t="str">
        <f t="shared" si="240"/>
        <v>C60</v>
      </c>
      <c r="O2550" s="5">
        <f t="shared" si="241"/>
        <v>3.5882927617994329</v>
      </c>
      <c r="P2550" s="22">
        <f>O2550/Explications!$C$8</f>
        <v>0.11960975872664777</v>
      </c>
      <c r="Q2550" s="7" t="str">
        <f t="shared" si="242"/>
        <v>C60</v>
      </c>
      <c r="R2550" s="7" t="str">
        <f t="shared" si="243"/>
        <v>C38</v>
      </c>
      <c r="S2550" s="18">
        <f t="shared" si="244"/>
        <v>3.5882927617994329</v>
      </c>
      <c r="T2550" s="18">
        <f>S2550/Explications!$C$8</f>
        <v>0.11960975872664777</v>
      </c>
    </row>
    <row r="2551" spans="7:20">
      <c r="G2551" s="7" t="s">
        <v>54</v>
      </c>
      <c r="H2551" s="7" t="s">
        <v>77</v>
      </c>
      <c r="I2551" s="7">
        <v>46.797499999999999</v>
      </c>
      <c r="J2551" s="7">
        <v>-71.306100000000001</v>
      </c>
      <c r="K2551" s="7">
        <v>46.810899999999997</v>
      </c>
      <c r="L2551" s="7">
        <v>-71.215599999999995</v>
      </c>
      <c r="M2551" s="10" t="str">
        <f t="shared" si="239"/>
        <v>C38</v>
      </c>
      <c r="N2551" s="10" t="str">
        <f t="shared" si="240"/>
        <v>C61</v>
      </c>
      <c r="O2551" s="5">
        <f t="shared" si="241"/>
        <v>7.0474694338670938</v>
      </c>
      <c r="P2551" s="22">
        <f>O2551/Explications!$C$8</f>
        <v>0.23491564779556978</v>
      </c>
      <c r="Q2551" s="7" t="str">
        <f t="shared" si="242"/>
        <v>C61</v>
      </c>
      <c r="R2551" s="7" t="str">
        <f t="shared" si="243"/>
        <v>C38</v>
      </c>
      <c r="S2551" s="18">
        <f t="shared" si="244"/>
        <v>7.0474694338670938</v>
      </c>
      <c r="T2551" s="18">
        <f>S2551/Explications!$C$8</f>
        <v>0.23491564779556978</v>
      </c>
    </row>
    <row r="2552" spans="7:20">
      <c r="G2552" s="7" t="s">
        <v>54</v>
      </c>
      <c r="H2552" s="7" t="s">
        <v>78</v>
      </c>
      <c r="I2552" s="7">
        <v>46.797499999999999</v>
      </c>
      <c r="J2552" s="7">
        <v>-71.306100000000001</v>
      </c>
      <c r="K2552" s="7">
        <v>46.795200000000001</v>
      </c>
      <c r="L2552" s="7">
        <v>-71.245099999999994</v>
      </c>
      <c r="M2552" s="10" t="str">
        <f t="shared" si="239"/>
        <v>C38</v>
      </c>
      <c r="N2552" s="10" t="str">
        <f t="shared" si="240"/>
        <v>C62</v>
      </c>
      <c r="O2552" s="5">
        <f t="shared" si="241"/>
        <v>4.6505604489241179</v>
      </c>
      <c r="P2552" s="22">
        <f>O2552/Explications!$C$8</f>
        <v>0.15501868163080393</v>
      </c>
      <c r="Q2552" s="7" t="str">
        <f t="shared" si="242"/>
        <v>C62</v>
      </c>
      <c r="R2552" s="7" t="str">
        <f t="shared" si="243"/>
        <v>C38</v>
      </c>
      <c r="S2552" s="18">
        <f t="shared" si="244"/>
        <v>4.6505604489241179</v>
      </c>
      <c r="T2552" s="18">
        <f>S2552/Explications!$C$8</f>
        <v>0.15501868163080393</v>
      </c>
    </row>
    <row r="2553" spans="7:20">
      <c r="G2553" s="7" t="s">
        <v>54</v>
      </c>
      <c r="H2553" s="7" t="s">
        <v>79</v>
      </c>
      <c r="I2553" s="7">
        <v>46.797499999999999</v>
      </c>
      <c r="J2553" s="7">
        <v>-71.306100000000001</v>
      </c>
      <c r="K2553" s="7">
        <v>46.822000000000003</v>
      </c>
      <c r="L2553" s="7">
        <v>-71.345699999999994</v>
      </c>
      <c r="M2553" s="10" t="str">
        <f t="shared" si="239"/>
        <v>C38</v>
      </c>
      <c r="N2553" s="10" t="str">
        <f t="shared" si="240"/>
        <v>C63</v>
      </c>
      <c r="O2553" s="5">
        <f t="shared" si="241"/>
        <v>4.0625440732147009</v>
      </c>
      <c r="P2553" s="22">
        <f>O2553/Explications!$C$8</f>
        <v>0.13541813577382336</v>
      </c>
      <c r="Q2553" s="7" t="str">
        <f t="shared" si="242"/>
        <v>C63</v>
      </c>
      <c r="R2553" s="7" t="str">
        <f t="shared" si="243"/>
        <v>C38</v>
      </c>
      <c r="S2553" s="18">
        <f t="shared" si="244"/>
        <v>4.0625440732147009</v>
      </c>
      <c r="T2553" s="18">
        <f>S2553/Explications!$C$8</f>
        <v>0.13541813577382336</v>
      </c>
    </row>
    <row r="2554" spans="7:20">
      <c r="G2554" s="7" t="s">
        <v>54</v>
      </c>
      <c r="H2554" s="7" t="s">
        <v>80</v>
      </c>
      <c r="I2554" s="7">
        <v>46.797499999999999</v>
      </c>
      <c r="J2554" s="7">
        <v>-71.306100000000001</v>
      </c>
      <c r="K2554" s="7">
        <v>46.779400000000003</v>
      </c>
      <c r="L2554" s="7">
        <v>-71.350399999999993</v>
      </c>
      <c r="M2554" s="10" t="str">
        <f t="shared" si="239"/>
        <v>C38</v>
      </c>
      <c r="N2554" s="10" t="str">
        <f t="shared" si="240"/>
        <v>C64</v>
      </c>
      <c r="O2554" s="5">
        <f t="shared" si="241"/>
        <v>3.9276165081395069</v>
      </c>
      <c r="P2554" s="22">
        <f>O2554/Explications!$C$8</f>
        <v>0.13092055027131691</v>
      </c>
      <c r="Q2554" s="7" t="str">
        <f t="shared" si="242"/>
        <v>C64</v>
      </c>
      <c r="R2554" s="7" t="str">
        <f t="shared" si="243"/>
        <v>C38</v>
      </c>
      <c r="S2554" s="18">
        <f t="shared" si="244"/>
        <v>3.9276165081395069</v>
      </c>
      <c r="T2554" s="18">
        <f>S2554/Explications!$C$8</f>
        <v>0.13092055027131691</v>
      </c>
    </row>
    <row r="2555" spans="7:20">
      <c r="G2555" s="7" t="s">
        <v>54</v>
      </c>
      <c r="H2555" s="7" t="s">
        <v>81</v>
      </c>
      <c r="I2555" s="7">
        <v>46.797499999999999</v>
      </c>
      <c r="J2555" s="7">
        <v>-71.306100000000001</v>
      </c>
      <c r="K2555" s="7">
        <v>46.772300000000001</v>
      </c>
      <c r="L2555" s="7">
        <v>-71.279799999999994</v>
      </c>
      <c r="M2555" s="10" t="str">
        <f t="shared" si="239"/>
        <v>C38</v>
      </c>
      <c r="N2555" s="10" t="str">
        <f t="shared" si="240"/>
        <v>C65</v>
      </c>
      <c r="O2555" s="5">
        <f t="shared" si="241"/>
        <v>3.444084247775161</v>
      </c>
      <c r="P2555" s="22">
        <f>O2555/Explications!$C$8</f>
        <v>0.11480280825917204</v>
      </c>
      <c r="Q2555" s="7" t="str">
        <f t="shared" si="242"/>
        <v>C65</v>
      </c>
      <c r="R2555" s="7" t="str">
        <f t="shared" si="243"/>
        <v>C38</v>
      </c>
      <c r="S2555" s="18">
        <f t="shared" si="244"/>
        <v>3.444084247775161</v>
      </c>
      <c r="T2555" s="18">
        <f>S2555/Explications!$C$8</f>
        <v>0.11480280825917204</v>
      </c>
    </row>
    <row r="2556" spans="7:20">
      <c r="G2556" s="7" t="s">
        <v>54</v>
      </c>
      <c r="H2556" s="7" t="s">
        <v>82</v>
      </c>
      <c r="I2556" s="7">
        <v>46.797499999999999</v>
      </c>
      <c r="J2556" s="7">
        <v>-71.306100000000001</v>
      </c>
      <c r="K2556" s="7">
        <v>46.814900000000002</v>
      </c>
      <c r="L2556" s="7">
        <v>-71.225200000000001</v>
      </c>
      <c r="M2556" s="10" t="str">
        <f t="shared" si="239"/>
        <v>C38</v>
      </c>
      <c r="N2556" s="10" t="str">
        <f t="shared" si="240"/>
        <v>C66</v>
      </c>
      <c r="O2556" s="5">
        <f t="shared" si="241"/>
        <v>6.4540794181985053</v>
      </c>
      <c r="P2556" s="22">
        <f>O2556/Explications!$C$8</f>
        <v>0.21513598060661684</v>
      </c>
      <c r="Q2556" s="7" t="str">
        <f t="shared" si="242"/>
        <v>C66</v>
      </c>
      <c r="R2556" s="7" t="str">
        <f t="shared" si="243"/>
        <v>C38</v>
      </c>
      <c r="S2556" s="18">
        <f t="shared" si="244"/>
        <v>6.4540794181985053</v>
      </c>
      <c r="T2556" s="18">
        <f>S2556/Explications!$C$8</f>
        <v>0.21513598060661684</v>
      </c>
    </row>
    <row r="2557" spans="7:20">
      <c r="G2557" s="7" t="s">
        <v>54</v>
      </c>
      <c r="H2557" s="7" t="s">
        <v>83</v>
      </c>
      <c r="I2557" s="7">
        <v>46.797499999999999</v>
      </c>
      <c r="J2557" s="7">
        <v>-71.306100000000001</v>
      </c>
      <c r="K2557" s="7">
        <v>46.814700000000002</v>
      </c>
      <c r="L2557" s="7">
        <v>-71.207300000000004</v>
      </c>
      <c r="M2557" s="10" t="str">
        <f t="shared" si="239"/>
        <v>C38</v>
      </c>
      <c r="N2557" s="10" t="str">
        <f t="shared" si="240"/>
        <v>C67</v>
      </c>
      <c r="O2557" s="5">
        <f t="shared" si="241"/>
        <v>7.7590311597258905</v>
      </c>
      <c r="P2557" s="22">
        <f>O2557/Explications!$C$8</f>
        <v>0.25863437199086303</v>
      </c>
      <c r="Q2557" s="7" t="str">
        <f t="shared" si="242"/>
        <v>C67</v>
      </c>
      <c r="R2557" s="7" t="str">
        <f t="shared" si="243"/>
        <v>C38</v>
      </c>
      <c r="S2557" s="18">
        <f t="shared" si="244"/>
        <v>7.7590311597258905</v>
      </c>
      <c r="T2557" s="18">
        <f>S2557/Explications!$C$8</f>
        <v>0.25863437199086303</v>
      </c>
    </row>
    <row r="2558" spans="7:20">
      <c r="G2558" s="7" t="s">
        <v>54</v>
      </c>
      <c r="H2558" s="7" t="s">
        <v>84</v>
      </c>
      <c r="I2558" s="7">
        <v>46.797499999999999</v>
      </c>
      <c r="J2558" s="7">
        <v>-71.306100000000001</v>
      </c>
      <c r="K2558" s="7">
        <v>46.815600000000003</v>
      </c>
      <c r="L2558" s="7">
        <v>-71.2029</v>
      </c>
      <c r="M2558" s="10" t="str">
        <f t="shared" si="239"/>
        <v>C38</v>
      </c>
      <c r="N2558" s="10" t="str">
        <f t="shared" si="240"/>
        <v>C68</v>
      </c>
      <c r="O2558" s="5">
        <f t="shared" si="241"/>
        <v>8.1081972171804786</v>
      </c>
      <c r="P2558" s="22">
        <f>O2558/Explications!$C$8</f>
        <v>0.27027324057268259</v>
      </c>
      <c r="Q2558" s="7" t="str">
        <f t="shared" si="242"/>
        <v>C68</v>
      </c>
      <c r="R2558" s="7" t="str">
        <f t="shared" si="243"/>
        <v>C38</v>
      </c>
      <c r="S2558" s="18">
        <f t="shared" si="244"/>
        <v>8.1081972171804786</v>
      </c>
      <c r="T2558" s="18">
        <f>S2558/Explications!$C$8</f>
        <v>0.27027324057268259</v>
      </c>
    </row>
    <row r="2559" spans="7:20">
      <c r="G2559" s="7" t="s">
        <v>54</v>
      </c>
      <c r="H2559" s="7" t="s">
        <v>85</v>
      </c>
      <c r="I2559" s="7">
        <v>46.797499999999999</v>
      </c>
      <c r="J2559" s="7">
        <v>-71.306100000000001</v>
      </c>
      <c r="K2559" s="7">
        <v>46.821899999999999</v>
      </c>
      <c r="L2559" s="7">
        <v>-71.249899999999997</v>
      </c>
      <c r="M2559" s="10" t="str">
        <f t="shared" si="239"/>
        <v>C38</v>
      </c>
      <c r="N2559" s="10" t="str">
        <f t="shared" si="240"/>
        <v>C69</v>
      </c>
      <c r="O2559" s="5">
        <f t="shared" si="241"/>
        <v>5.0650309976899619</v>
      </c>
      <c r="P2559" s="22">
        <f>O2559/Explications!$C$8</f>
        <v>0.16883436658966539</v>
      </c>
      <c r="Q2559" s="7" t="str">
        <f t="shared" si="242"/>
        <v>C69</v>
      </c>
      <c r="R2559" s="7" t="str">
        <f t="shared" si="243"/>
        <v>C38</v>
      </c>
      <c r="S2559" s="18">
        <f t="shared" si="244"/>
        <v>5.0650309976899619</v>
      </c>
      <c r="T2559" s="18">
        <f>S2559/Explications!$C$8</f>
        <v>0.16883436658966539</v>
      </c>
    </row>
    <row r="2560" spans="7:20">
      <c r="G2560" s="7" t="s">
        <v>54</v>
      </c>
      <c r="H2560" s="7" t="s">
        <v>86</v>
      </c>
      <c r="I2560" s="7">
        <v>46.797499999999999</v>
      </c>
      <c r="J2560" s="7">
        <v>-71.306100000000001</v>
      </c>
      <c r="K2560" s="7">
        <v>46.8872</v>
      </c>
      <c r="L2560" s="7">
        <v>-71.27</v>
      </c>
      <c r="M2560" s="10" t="str">
        <f t="shared" si="239"/>
        <v>C38</v>
      </c>
      <c r="N2560" s="10" t="str">
        <f t="shared" si="240"/>
        <v>C70</v>
      </c>
      <c r="O2560" s="5">
        <f t="shared" si="241"/>
        <v>10.345203628628088</v>
      </c>
      <c r="P2560" s="22">
        <f>O2560/Explications!$C$8</f>
        <v>0.34484012095426958</v>
      </c>
      <c r="Q2560" s="7" t="str">
        <f t="shared" si="242"/>
        <v>C70</v>
      </c>
      <c r="R2560" s="7" t="str">
        <f t="shared" si="243"/>
        <v>C38</v>
      </c>
      <c r="S2560" s="18">
        <f t="shared" si="244"/>
        <v>10.345203628628088</v>
      </c>
      <c r="T2560" s="18">
        <f>S2560/Explications!$C$8</f>
        <v>0.34484012095426958</v>
      </c>
    </row>
    <row r="2561" spans="7:20">
      <c r="G2561" s="7" t="s">
        <v>54</v>
      </c>
      <c r="H2561" s="7" t="s">
        <v>87</v>
      </c>
      <c r="I2561" s="7">
        <v>46.797499999999999</v>
      </c>
      <c r="J2561" s="7">
        <v>-71.306100000000001</v>
      </c>
      <c r="K2561" s="7">
        <v>46.816299999999998</v>
      </c>
      <c r="L2561" s="7">
        <v>-71.210300000000004</v>
      </c>
      <c r="M2561" s="10" t="str">
        <f t="shared" si="239"/>
        <v>C38</v>
      </c>
      <c r="N2561" s="10" t="str">
        <f t="shared" si="240"/>
        <v>C71</v>
      </c>
      <c r="O2561" s="5">
        <f t="shared" si="241"/>
        <v>7.5849464454741762</v>
      </c>
      <c r="P2561" s="22">
        <f>O2561/Explications!$C$8</f>
        <v>0.25283154818247255</v>
      </c>
      <c r="Q2561" s="7" t="str">
        <f t="shared" si="242"/>
        <v>C71</v>
      </c>
      <c r="R2561" s="7" t="str">
        <f t="shared" si="243"/>
        <v>C38</v>
      </c>
      <c r="S2561" s="18">
        <f t="shared" si="244"/>
        <v>7.5849464454741762</v>
      </c>
      <c r="T2561" s="18">
        <f>S2561/Explications!$C$8</f>
        <v>0.25283154818247255</v>
      </c>
    </row>
    <row r="2562" spans="7:20">
      <c r="G2562" s="7" t="s">
        <v>54</v>
      </c>
      <c r="H2562" s="7" t="s">
        <v>88</v>
      </c>
      <c r="I2562" s="7">
        <v>46.797499999999999</v>
      </c>
      <c r="J2562" s="7">
        <v>-71.306100000000001</v>
      </c>
      <c r="K2562" s="7">
        <v>46.807000000000002</v>
      </c>
      <c r="L2562" s="7">
        <v>-71.3566</v>
      </c>
      <c r="M2562" s="10" t="str">
        <f t="shared" si="239"/>
        <v>C38</v>
      </c>
      <c r="N2562" s="10" t="str">
        <f t="shared" si="240"/>
        <v>C72</v>
      </c>
      <c r="O2562" s="5">
        <f t="shared" si="241"/>
        <v>3.9863175494893603</v>
      </c>
      <c r="P2562" s="22">
        <f>O2562/Explications!$C$8</f>
        <v>0.13287725164964534</v>
      </c>
      <c r="Q2562" s="7" t="str">
        <f t="shared" si="242"/>
        <v>C72</v>
      </c>
      <c r="R2562" s="7" t="str">
        <f t="shared" si="243"/>
        <v>C38</v>
      </c>
      <c r="S2562" s="18">
        <f t="shared" si="244"/>
        <v>3.9863175494893603</v>
      </c>
      <c r="T2562" s="18">
        <f>S2562/Explications!$C$8</f>
        <v>0.13287725164964534</v>
      </c>
    </row>
    <row r="2563" spans="7:20">
      <c r="G2563" s="7" t="s">
        <v>54</v>
      </c>
      <c r="H2563" s="7" t="s">
        <v>89</v>
      </c>
      <c r="I2563" s="7">
        <v>46.797499999999999</v>
      </c>
      <c r="J2563" s="7">
        <v>-71.306100000000001</v>
      </c>
      <c r="K2563" s="7">
        <v>46.822899999999997</v>
      </c>
      <c r="L2563" s="7">
        <v>-71.341899999999995</v>
      </c>
      <c r="M2563" s="10" t="str">
        <f t="shared" si="239"/>
        <v>C38</v>
      </c>
      <c r="N2563" s="10" t="str">
        <f t="shared" si="240"/>
        <v>C73</v>
      </c>
      <c r="O2563" s="5">
        <f t="shared" si="241"/>
        <v>3.9242748912866947</v>
      </c>
      <c r="P2563" s="22">
        <f>O2563/Explications!$C$8</f>
        <v>0.13080916304288984</v>
      </c>
      <c r="Q2563" s="7" t="str">
        <f t="shared" si="242"/>
        <v>C73</v>
      </c>
      <c r="R2563" s="7" t="str">
        <f t="shared" si="243"/>
        <v>C38</v>
      </c>
      <c r="S2563" s="18">
        <f t="shared" si="244"/>
        <v>3.9242748912866947</v>
      </c>
      <c r="T2563" s="18">
        <f>S2563/Explications!$C$8</f>
        <v>0.13080916304288984</v>
      </c>
    </row>
    <row r="2564" spans="7:20">
      <c r="G2564" s="7" t="s">
        <v>54</v>
      </c>
      <c r="H2564" s="7" t="s">
        <v>90</v>
      </c>
      <c r="I2564" s="7">
        <v>46.797499999999999</v>
      </c>
      <c r="J2564" s="7">
        <v>-71.306100000000001</v>
      </c>
      <c r="K2564" s="7">
        <v>46.730699999999999</v>
      </c>
      <c r="L2564" s="7">
        <v>-71.261099999999999</v>
      </c>
      <c r="M2564" s="10" t="str">
        <f t="shared" ref="M2564:M2627" si="245">G2564</f>
        <v>C38</v>
      </c>
      <c r="N2564" s="10" t="str">
        <f t="shared" ref="N2564:N2627" si="246">H2564</f>
        <v>C74</v>
      </c>
      <c r="O2564" s="5">
        <f t="shared" ref="O2564:O2627" si="247">ACOS(SIN(RADIANS(I2564))*SIN(RADIANS(K2564))+COS(RADIANS(I2564))*COS(RADIANS(K2564))*COS(RADIANS(J2564-L2564)))*6371</f>
        <v>8.1805242671035288</v>
      </c>
      <c r="P2564" s="22">
        <f>O2564/Explications!$C$8</f>
        <v>0.27268414223678428</v>
      </c>
      <c r="Q2564" s="7" t="str">
        <f t="shared" ref="Q2564:Q2627" si="248">N2564</f>
        <v>C74</v>
      </c>
      <c r="R2564" s="7" t="str">
        <f t="shared" ref="R2564:R2627" si="249">M2564</f>
        <v>C38</v>
      </c>
      <c r="S2564" s="18">
        <f t="shared" ref="S2564:S2627" si="250">O2564</f>
        <v>8.1805242671035288</v>
      </c>
      <c r="T2564" s="18">
        <f>S2564/Explications!$C$8</f>
        <v>0.27268414223678428</v>
      </c>
    </row>
    <row r="2565" spans="7:20">
      <c r="G2565" s="7" t="s">
        <v>54</v>
      </c>
      <c r="H2565" s="7" t="s">
        <v>91</v>
      </c>
      <c r="I2565" s="7">
        <v>46.797499999999999</v>
      </c>
      <c r="J2565" s="7">
        <v>-71.306100000000001</v>
      </c>
      <c r="K2565" s="7">
        <v>46.840600000000002</v>
      </c>
      <c r="L2565" s="7">
        <v>-71.289100000000005</v>
      </c>
      <c r="M2565" s="10" t="str">
        <f t="shared" si="245"/>
        <v>C38</v>
      </c>
      <c r="N2565" s="10" t="str">
        <f t="shared" si="246"/>
        <v>C75</v>
      </c>
      <c r="O2565" s="5">
        <f t="shared" si="247"/>
        <v>4.964004615685913</v>
      </c>
      <c r="P2565" s="22">
        <f>O2565/Explications!$C$8</f>
        <v>0.16546682052286377</v>
      </c>
      <c r="Q2565" s="7" t="str">
        <f t="shared" si="248"/>
        <v>C75</v>
      </c>
      <c r="R2565" s="7" t="str">
        <f t="shared" si="249"/>
        <v>C38</v>
      </c>
      <c r="S2565" s="18">
        <f t="shared" si="250"/>
        <v>4.964004615685913</v>
      </c>
      <c r="T2565" s="18">
        <f>S2565/Explications!$C$8</f>
        <v>0.16546682052286377</v>
      </c>
    </row>
    <row r="2566" spans="7:20">
      <c r="G2566" s="7" t="s">
        <v>54</v>
      </c>
      <c r="H2566" s="7" t="s">
        <v>92</v>
      </c>
      <c r="I2566" s="7">
        <v>46.797499999999999</v>
      </c>
      <c r="J2566" s="7">
        <v>-71.306100000000001</v>
      </c>
      <c r="K2566" s="7">
        <v>46.840600000000002</v>
      </c>
      <c r="L2566" s="7">
        <v>-71.281599999999997</v>
      </c>
      <c r="M2566" s="10" t="str">
        <f t="shared" si="245"/>
        <v>C38</v>
      </c>
      <c r="N2566" s="10" t="str">
        <f t="shared" si="246"/>
        <v>C76</v>
      </c>
      <c r="O2566" s="5">
        <f t="shared" si="247"/>
        <v>5.1423184634905699</v>
      </c>
      <c r="P2566" s="22">
        <f>O2566/Explications!$C$8</f>
        <v>0.17141061544968567</v>
      </c>
      <c r="Q2566" s="7" t="str">
        <f t="shared" si="248"/>
        <v>C76</v>
      </c>
      <c r="R2566" s="7" t="str">
        <f t="shared" si="249"/>
        <v>C38</v>
      </c>
      <c r="S2566" s="18">
        <f t="shared" si="250"/>
        <v>5.1423184634905699</v>
      </c>
      <c r="T2566" s="18">
        <f>S2566/Explications!$C$8</f>
        <v>0.17141061544968567</v>
      </c>
    </row>
    <row r="2567" spans="7:20">
      <c r="G2567" s="7" t="s">
        <v>54</v>
      </c>
      <c r="H2567" s="7" t="s">
        <v>93</v>
      </c>
      <c r="I2567" s="7">
        <v>46.797499999999999</v>
      </c>
      <c r="J2567" s="7">
        <v>-71.306100000000001</v>
      </c>
      <c r="K2567" s="7">
        <v>46.839399999999998</v>
      </c>
      <c r="L2567" s="7">
        <v>-71.282600000000002</v>
      </c>
      <c r="M2567" s="10" t="str">
        <f t="shared" si="245"/>
        <v>C38</v>
      </c>
      <c r="N2567" s="10" t="str">
        <f t="shared" si="246"/>
        <v>C77</v>
      </c>
      <c r="O2567" s="5">
        <f t="shared" si="247"/>
        <v>4.9904345477561867</v>
      </c>
      <c r="P2567" s="22">
        <f>O2567/Explications!$C$8</f>
        <v>0.16634781825853956</v>
      </c>
      <c r="Q2567" s="7" t="str">
        <f t="shared" si="248"/>
        <v>C77</v>
      </c>
      <c r="R2567" s="7" t="str">
        <f t="shared" si="249"/>
        <v>C38</v>
      </c>
      <c r="S2567" s="18">
        <f t="shared" si="250"/>
        <v>4.9904345477561867</v>
      </c>
      <c r="T2567" s="18">
        <f>S2567/Explications!$C$8</f>
        <v>0.16634781825853956</v>
      </c>
    </row>
    <row r="2568" spans="7:20">
      <c r="G2568" s="7" t="s">
        <v>54</v>
      </c>
      <c r="H2568" s="7" t="s">
        <v>94</v>
      </c>
      <c r="I2568" s="7">
        <v>46.797499999999999</v>
      </c>
      <c r="J2568" s="7">
        <v>-71.306100000000001</v>
      </c>
      <c r="K2568" s="7">
        <v>46.788499999999999</v>
      </c>
      <c r="L2568" s="7">
        <v>-71.282399999999996</v>
      </c>
      <c r="M2568" s="10" t="str">
        <f t="shared" si="245"/>
        <v>C38</v>
      </c>
      <c r="N2568" s="10" t="str">
        <f t="shared" si="246"/>
        <v>C78</v>
      </c>
      <c r="O2568" s="5">
        <f t="shared" si="247"/>
        <v>2.0631950618983375</v>
      </c>
      <c r="P2568" s="22">
        <f>O2568/Explications!$C$8</f>
        <v>6.8773168729944587E-2</v>
      </c>
      <c r="Q2568" s="7" t="str">
        <f t="shared" si="248"/>
        <v>C78</v>
      </c>
      <c r="R2568" s="7" t="str">
        <f t="shared" si="249"/>
        <v>C38</v>
      </c>
      <c r="S2568" s="18">
        <f t="shared" si="250"/>
        <v>2.0631950618983375</v>
      </c>
      <c r="T2568" s="18">
        <f>S2568/Explications!$C$8</f>
        <v>6.8773168729944587E-2</v>
      </c>
    </row>
    <row r="2569" spans="7:20">
      <c r="G2569" s="7" t="s">
        <v>54</v>
      </c>
      <c r="H2569" s="7" t="s">
        <v>95</v>
      </c>
      <c r="I2569" s="7">
        <v>46.797499999999999</v>
      </c>
      <c r="J2569" s="7">
        <v>-71.306100000000001</v>
      </c>
      <c r="K2569" s="7">
        <v>46.840699999999998</v>
      </c>
      <c r="L2569" s="7">
        <v>-71.325400000000002</v>
      </c>
      <c r="M2569" s="10" t="str">
        <f t="shared" si="245"/>
        <v>C38</v>
      </c>
      <c r="N2569" s="10" t="str">
        <f t="shared" si="246"/>
        <v>C79</v>
      </c>
      <c r="O2569" s="5">
        <f t="shared" si="247"/>
        <v>5.0230904985010092</v>
      </c>
      <c r="P2569" s="22">
        <f>O2569/Explications!$C$8</f>
        <v>0.16743634995003365</v>
      </c>
      <c r="Q2569" s="7" t="str">
        <f t="shared" si="248"/>
        <v>C79</v>
      </c>
      <c r="R2569" s="7" t="str">
        <f t="shared" si="249"/>
        <v>C38</v>
      </c>
      <c r="S2569" s="18">
        <f t="shared" si="250"/>
        <v>5.0230904985010092</v>
      </c>
      <c r="T2569" s="18">
        <f>S2569/Explications!$C$8</f>
        <v>0.16743634995003365</v>
      </c>
    </row>
    <row r="2570" spans="7:20">
      <c r="G2570" s="7" t="s">
        <v>54</v>
      </c>
      <c r="H2570" s="7" t="s">
        <v>96</v>
      </c>
      <c r="I2570" s="7">
        <v>46.797499999999999</v>
      </c>
      <c r="J2570" s="7">
        <v>-71.306100000000001</v>
      </c>
      <c r="K2570" s="7">
        <v>46.798400000000001</v>
      </c>
      <c r="L2570" s="7">
        <v>-71.183199999999999</v>
      </c>
      <c r="M2570" s="10" t="str">
        <f t="shared" si="245"/>
        <v>C38</v>
      </c>
      <c r="N2570" s="10" t="str">
        <f t="shared" si="246"/>
        <v>C80</v>
      </c>
      <c r="O2570" s="5">
        <f t="shared" si="247"/>
        <v>9.3558132282399988</v>
      </c>
      <c r="P2570" s="22">
        <f>O2570/Explications!$C$8</f>
        <v>0.31186044094133331</v>
      </c>
      <c r="Q2570" s="7" t="str">
        <f t="shared" si="248"/>
        <v>C80</v>
      </c>
      <c r="R2570" s="7" t="str">
        <f t="shared" si="249"/>
        <v>C38</v>
      </c>
      <c r="S2570" s="18">
        <f t="shared" si="250"/>
        <v>9.3558132282399988</v>
      </c>
      <c r="T2570" s="18">
        <f>S2570/Explications!$C$8</f>
        <v>0.31186044094133331</v>
      </c>
    </row>
    <row r="2571" spans="7:20">
      <c r="G2571" s="7" t="s">
        <v>54</v>
      </c>
      <c r="H2571" s="7" t="s">
        <v>97</v>
      </c>
      <c r="I2571" s="7">
        <v>46.797499999999999</v>
      </c>
      <c r="J2571" s="7">
        <v>-71.306100000000001</v>
      </c>
      <c r="K2571" s="7">
        <v>46.724800000000002</v>
      </c>
      <c r="L2571" s="7">
        <v>-71.2988</v>
      </c>
      <c r="M2571" s="10" t="str">
        <f t="shared" si="245"/>
        <v>C38</v>
      </c>
      <c r="N2571" s="10" t="str">
        <f t="shared" si="246"/>
        <v>C81</v>
      </c>
      <c r="O2571" s="5">
        <f t="shared" si="247"/>
        <v>8.1029735094980495</v>
      </c>
      <c r="P2571" s="22">
        <f>O2571/Explications!$C$8</f>
        <v>0.27009911698326833</v>
      </c>
      <c r="Q2571" s="7" t="str">
        <f t="shared" si="248"/>
        <v>C81</v>
      </c>
      <c r="R2571" s="7" t="str">
        <f t="shared" si="249"/>
        <v>C38</v>
      </c>
      <c r="S2571" s="18">
        <f t="shared" si="250"/>
        <v>8.1029735094980495</v>
      </c>
      <c r="T2571" s="18">
        <f>S2571/Explications!$C$8</f>
        <v>0.27009911698326833</v>
      </c>
    </row>
    <row r="2572" spans="7:20">
      <c r="G2572" s="7" t="s">
        <v>54</v>
      </c>
      <c r="H2572" s="7" t="s">
        <v>98</v>
      </c>
      <c r="I2572" s="7">
        <v>46.797499999999999</v>
      </c>
      <c r="J2572" s="7">
        <v>-71.306100000000001</v>
      </c>
      <c r="K2572" s="7">
        <v>46.795499999999997</v>
      </c>
      <c r="L2572" s="7">
        <v>-71.242900000000006</v>
      </c>
      <c r="M2572" s="10" t="str">
        <f t="shared" si="245"/>
        <v>C38</v>
      </c>
      <c r="N2572" s="10" t="str">
        <f t="shared" si="246"/>
        <v>C82</v>
      </c>
      <c r="O2572" s="5">
        <f t="shared" si="247"/>
        <v>4.8161181335483398</v>
      </c>
      <c r="P2572" s="22">
        <f>O2572/Explications!$C$8</f>
        <v>0.16053727111827801</v>
      </c>
      <c r="Q2572" s="7" t="str">
        <f t="shared" si="248"/>
        <v>C82</v>
      </c>
      <c r="R2572" s="7" t="str">
        <f t="shared" si="249"/>
        <v>C38</v>
      </c>
      <c r="S2572" s="18">
        <f t="shared" si="250"/>
        <v>4.8161181335483398</v>
      </c>
      <c r="T2572" s="18">
        <f>S2572/Explications!$C$8</f>
        <v>0.16053727111827801</v>
      </c>
    </row>
    <row r="2573" spans="7:20">
      <c r="G2573" s="7" t="s">
        <v>54</v>
      </c>
      <c r="H2573" s="7" t="s">
        <v>99</v>
      </c>
      <c r="I2573" s="7">
        <v>46.797499999999999</v>
      </c>
      <c r="J2573" s="7">
        <v>-71.306100000000001</v>
      </c>
      <c r="K2573" s="7">
        <v>46.8157</v>
      </c>
      <c r="L2573" s="7">
        <v>-71.201899999999995</v>
      </c>
      <c r="M2573" s="10" t="str">
        <f t="shared" si="245"/>
        <v>C38</v>
      </c>
      <c r="N2573" s="10" t="str">
        <f t="shared" si="246"/>
        <v>C83</v>
      </c>
      <c r="O2573" s="5">
        <f t="shared" si="247"/>
        <v>8.1846811228211589</v>
      </c>
      <c r="P2573" s="22">
        <f>O2573/Explications!$C$8</f>
        <v>0.27282270409403864</v>
      </c>
      <c r="Q2573" s="7" t="str">
        <f t="shared" si="248"/>
        <v>C83</v>
      </c>
      <c r="R2573" s="7" t="str">
        <f t="shared" si="249"/>
        <v>C38</v>
      </c>
      <c r="S2573" s="18">
        <f t="shared" si="250"/>
        <v>8.1846811228211589</v>
      </c>
      <c r="T2573" s="18">
        <f>S2573/Explications!$C$8</f>
        <v>0.27282270409403864</v>
      </c>
    </row>
    <row r="2574" spans="7:20">
      <c r="G2574" s="7" t="s">
        <v>54</v>
      </c>
      <c r="H2574" s="7" t="s">
        <v>100</v>
      </c>
      <c r="I2574" s="7">
        <v>46.797499999999999</v>
      </c>
      <c r="J2574" s="7">
        <v>-71.306100000000001</v>
      </c>
      <c r="K2574" s="7">
        <v>46.837600000000002</v>
      </c>
      <c r="L2574" s="7">
        <v>-71.196299999999994</v>
      </c>
      <c r="M2574" s="10" t="str">
        <f t="shared" si="245"/>
        <v>C38</v>
      </c>
      <c r="N2574" s="10" t="str">
        <f t="shared" si="246"/>
        <v>C84</v>
      </c>
      <c r="O2574" s="5">
        <f t="shared" si="247"/>
        <v>9.4704139271606778</v>
      </c>
      <c r="P2574" s="22">
        <f>O2574/Explications!$C$8</f>
        <v>0.31568046423868928</v>
      </c>
      <c r="Q2574" s="7" t="str">
        <f t="shared" si="248"/>
        <v>C84</v>
      </c>
      <c r="R2574" s="7" t="str">
        <f t="shared" si="249"/>
        <v>C38</v>
      </c>
      <c r="S2574" s="18">
        <f t="shared" si="250"/>
        <v>9.4704139271606778</v>
      </c>
      <c r="T2574" s="18">
        <f>S2574/Explications!$C$8</f>
        <v>0.31568046423868928</v>
      </c>
    </row>
    <row r="2575" spans="7:20">
      <c r="G2575" s="7" t="s">
        <v>54</v>
      </c>
      <c r="H2575" s="7" t="s">
        <v>101</v>
      </c>
      <c r="I2575" s="7">
        <v>46.797499999999999</v>
      </c>
      <c r="J2575" s="7">
        <v>-71.306100000000001</v>
      </c>
      <c r="K2575" s="7">
        <v>46.7988</v>
      </c>
      <c r="L2575" s="7">
        <v>-71.318200000000004</v>
      </c>
      <c r="M2575" s="10" t="str">
        <f t="shared" si="245"/>
        <v>C38</v>
      </c>
      <c r="N2575" s="10" t="str">
        <f t="shared" si="246"/>
        <v>C85</v>
      </c>
      <c r="O2575" s="5">
        <f t="shared" si="247"/>
        <v>0.93233572894405814</v>
      </c>
      <c r="P2575" s="22">
        <f>O2575/Explications!$C$8</f>
        <v>3.1077857631468603E-2</v>
      </c>
      <c r="Q2575" s="7" t="str">
        <f t="shared" si="248"/>
        <v>C85</v>
      </c>
      <c r="R2575" s="7" t="str">
        <f t="shared" si="249"/>
        <v>C38</v>
      </c>
      <c r="S2575" s="18">
        <f t="shared" si="250"/>
        <v>0.93233572894405814</v>
      </c>
      <c r="T2575" s="18">
        <f>S2575/Explications!$C$8</f>
        <v>3.1077857631468603E-2</v>
      </c>
    </row>
    <row r="2576" spans="7:20">
      <c r="G2576" s="7" t="s">
        <v>55</v>
      </c>
      <c r="H2576" s="7" t="s">
        <v>56</v>
      </c>
      <c r="I2576" s="7">
        <v>46.8155</v>
      </c>
      <c r="J2576" s="7">
        <v>-71.268199999999993</v>
      </c>
      <c r="K2576" s="7">
        <v>46.866700000000002</v>
      </c>
      <c r="L2576" s="7">
        <v>-71.215900000000005</v>
      </c>
      <c r="M2576" s="10" t="str">
        <f t="shared" si="245"/>
        <v>C39</v>
      </c>
      <c r="N2576" s="10" t="str">
        <f t="shared" si="246"/>
        <v>C40</v>
      </c>
      <c r="O2576" s="5">
        <f t="shared" si="247"/>
        <v>6.9452348432773672</v>
      </c>
      <c r="P2576" s="22">
        <f>O2576/Explications!$C$8</f>
        <v>0.23150782810924558</v>
      </c>
      <c r="Q2576" s="7" t="str">
        <f t="shared" si="248"/>
        <v>C40</v>
      </c>
      <c r="R2576" s="7" t="str">
        <f t="shared" si="249"/>
        <v>C39</v>
      </c>
      <c r="S2576" s="18">
        <f t="shared" si="250"/>
        <v>6.9452348432773672</v>
      </c>
      <c r="T2576" s="18">
        <f>S2576/Explications!$C$8</f>
        <v>0.23150782810924558</v>
      </c>
    </row>
    <row r="2577" spans="7:20">
      <c r="G2577" s="7" t="s">
        <v>55</v>
      </c>
      <c r="H2577" s="7" t="s">
        <v>57</v>
      </c>
      <c r="I2577" s="7">
        <v>46.8155</v>
      </c>
      <c r="J2577" s="7">
        <v>-71.268199999999993</v>
      </c>
      <c r="K2577" s="7">
        <v>46.762099999999997</v>
      </c>
      <c r="L2577" s="7">
        <v>-71.235399999999998</v>
      </c>
      <c r="M2577" s="10" t="str">
        <f t="shared" si="245"/>
        <v>C39</v>
      </c>
      <c r="N2577" s="10" t="str">
        <f t="shared" si="246"/>
        <v>C41</v>
      </c>
      <c r="O2577" s="5">
        <f t="shared" si="247"/>
        <v>6.4415494949379104</v>
      </c>
      <c r="P2577" s="22">
        <f>O2577/Explications!$C$8</f>
        <v>0.21471831649793036</v>
      </c>
      <c r="Q2577" s="7" t="str">
        <f t="shared" si="248"/>
        <v>C41</v>
      </c>
      <c r="R2577" s="7" t="str">
        <f t="shared" si="249"/>
        <v>C39</v>
      </c>
      <c r="S2577" s="18">
        <f t="shared" si="250"/>
        <v>6.4415494949379104</v>
      </c>
      <c r="T2577" s="18">
        <f>S2577/Explications!$C$8</f>
        <v>0.21471831649793036</v>
      </c>
    </row>
    <row r="2578" spans="7:20">
      <c r="G2578" s="7" t="s">
        <v>55</v>
      </c>
      <c r="H2578" s="7" t="s">
        <v>58</v>
      </c>
      <c r="I2578" s="7">
        <v>46.8155</v>
      </c>
      <c r="J2578" s="7">
        <v>-71.268199999999993</v>
      </c>
      <c r="K2578" s="7">
        <v>46.8157</v>
      </c>
      <c r="L2578" s="7">
        <v>-71.2042</v>
      </c>
      <c r="M2578" s="10" t="str">
        <f t="shared" si="245"/>
        <v>C39</v>
      </c>
      <c r="N2578" s="10" t="str">
        <f t="shared" si="246"/>
        <v>C42</v>
      </c>
      <c r="O2578" s="5">
        <f t="shared" si="247"/>
        <v>4.8702005759745859</v>
      </c>
      <c r="P2578" s="22">
        <f>O2578/Explications!$C$8</f>
        <v>0.16234001919915286</v>
      </c>
      <c r="Q2578" s="7" t="str">
        <f t="shared" si="248"/>
        <v>C42</v>
      </c>
      <c r="R2578" s="7" t="str">
        <f t="shared" si="249"/>
        <v>C39</v>
      </c>
      <c r="S2578" s="18">
        <f t="shared" si="250"/>
        <v>4.8702005759745859</v>
      </c>
      <c r="T2578" s="18">
        <f>S2578/Explications!$C$8</f>
        <v>0.16234001919915286</v>
      </c>
    </row>
    <row r="2579" spans="7:20">
      <c r="G2579" s="7" t="s">
        <v>55</v>
      </c>
      <c r="H2579" s="7" t="s">
        <v>59</v>
      </c>
      <c r="I2579" s="7">
        <v>46.8155</v>
      </c>
      <c r="J2579" s="7">
        <v>-71.268199999999993</v>
      </c>
      <c r="K2579" s="7">
        <v>46.707000000000001</v>
      </c>
      <c r="L2579" s="7">
        <v>-71.217100000000002</v>
      </c>
      <c r="M2579" s="10" t="str">
        <f t="shared" si="245"/>
        <v>C39</v>
      </c>
      <c r="N2579" s="10" t="str">
        <f t="shared" si="246"/>
        <v>C43</v>
      </c>
      <c r="O2579" s="5">
        <f t="shared" si="247"/>
        <v>12.677019641985478</v>
      </c>
      <c r="P2579" s="22">
        <f>O2579/Explications!$C$8</f>
        <v>0.42256732139951592</v>
      </c>
      <c r="Q2579" s="7" t="str">
        <f t="shared" si="248"/>
        <v>C43</v>
      </c>
      <c r="R2579" s="7" t="str">
        <f t="shared" si="249"/>
        <v>C39</v>
      </c>
      <c r="S2579" s="18">
        <f t="shared" si="250"/>
        <v>12.677019641985478</v>
      </c>
      <c r="T2579" s="18">
        <f>S2579/Explications!$C$8</f>
        <v>0.42256732139951592</v>
      </c>
    </row>
    <row r="2580" spans="7:20">
      <c r="G2580" s="7" t="s">
        <v>55</v>
      </c>
      <c r="H2580" s="7" t="s">
        <v>60</v>
      </c>
      <c r="I2580" s="7">
        <v>46.8155</v>
      </c>
      <c r="J2580" s="7">
        <v>-71.268199999999993</v>
      </c>
      <c r="K2580" s="7">
        <v>46.802900000000001</v>
      </c>
      <c r="L2580" s="7">
        <v>-71.228899999999996</v>
      </c>
      <c r="M2580" s="10" t="str">
        <f t="shared" si="245"/>
        <v>C39</v>
      </c>
      <c r="N2580" s="10" t="str">
        <f t="shared" si="246"/>
        <v>C44</v>
      </c>
      <c r="O2580" s="5">
        <f t="shared" si="247"/>
        <v>3.3028221416026242</v>
      </c>
      <c r="P2580" s="22">
        <f>O2580/Explications!$C$8</f>
        <v>0.11009407138675414</v>
      </c>
      <c r="Q2580" s="7" t="str">
        <f t="shared" si="248"/>
        <v>C44</v>
      </c>
      <c r="R2580" s="7" t="str">
        <f t="shared" si="249"/>
        <v>C39</v>
      </c>
      <c r="S2580" s="18">
        <f t="shared" si="250"/>
        <v>3.3028221416026242</v>
      </c>
      <c r="T2580" s="18">
        <f>S2580/Explications!$C$8</f>
        <v>0.11009407138675414</v>
      </c>
    </row>
    <row r="2581" spans="7:20">
      <c r="G2581" s="7" t="s">
        <v>55</v>
      </c>
      <c r="H2581" s="7" t="s">
        <v>61</v>
      </c>
      <c r="I2581" s="7">
        <v>46.8155</v>
      </c>
      <c r="J2581" s="7">
        <v>-71.268199999999993</v>
      </c>
      <c r="K2581" s="7">
        <v>46.796900000000001</v>
      </c>
      <c r="L2581" s="7">
        <v>-71.3078</v>
      </c>
      <c r="M2581" s="10" t="str">
        <f t="shared" si="245"/>
        <v>C39</v>
      </c>
      <c r="N2581" s="10" t="str">
        <f t="shared" si="246"/>
        <v>C45</v>
      </c>
      <c r="O2581" s="5">
        <f t="shared" si="247"/>
        <v>3.6553170504626253</v>
      </c>
      <c r="P2581" s="22">
        <f>O2581/Explications!$C$8</f>
        <v>0.12184390168208752</v>
      </c>
      <c r="Q2581" s="7" t="str">
        <f t="shared" si="248"/>
        <v>C45</v>
      </c>
      <c r="R2581" s="7" t="str">
        <f t="shared" si="249"/>
        <v>C39</v>
      </c>
      <c r="S2581" s="18">
        <f t="shared" si="250"/>
        <v>3.6553170504626253</v>
      </c>
      <c r="T2581" s="18">
        <f>S2581/Explications!$C$8</f>
        <v>0.12184390168208752</v>
      </c>
    </row>
    <row r="2582" spans="7:20">
      <c r="G2582" s="7" t="s">
        <v>55</v>
      </c>
      <c r="H2582" s="7" t="s">
        <v>62</v>
      </c>
      <c r="I2582" s="7">
        <v>46.8155</v>
      </c>
      <c r="J2582" s="7">
        <v>-71.268199999999993</v>
      </c>
      <c r="K2582" s="7">
        <v>46.803600000000003</v>
      </c>
      <c r="L2582" s="7">
        <v>-71.231099999999998</v>
      </c>
      <c r="M2582" s="10" t="str">
        <f t="shared" si="245"/>
        <v>C39</v>
      </c>
      <c r="N2582" s="10" t="str">
        <f t="shared" si="246"/>
        <v>C46</v>
      </c>
      <c r="O2582" s="5">
        <f t="shared" si="247"/>
        <v>3.1181667944026641</v>
      </c>
      <c r="P2582" s="22">
        <f>O2582/Explications!$C$8</f>
        <v>0.10393889314675547</v>
      </c>
      <c r="Q2582" s="7" t="str">
        <f t="shared" si="248"/>
        <v>C46</v>
      </c>
      <c r="R2582" s="7" t="str">
        <f t="shared" si="249"/>
        <v>C39</v>
      </c>
      <c r="S2582" s="18">
        <f t="shared" si="250"/>
        <v>3.1181667944026641</v>
      </c>
      <c r="T2582" s="18">
        <f>S2582/Explications!$C$8</f>
        <v>0.10393889314675547</v>
      </c>
    </row>
    <row r="2583" spans="7:20">
      <c r="G2583" s="7" t="s">
        <v>55</v>
      </c>
      <c r="H2583" s="7" t="s">
        <v>63</v>
      </c>
      <c r="I2583" s="7">
        <v>46.8155</v>
      </c>
      <c r="J2583" s="7">
        <v>-71.268199999999993</v>
      </c>
      <c r="K2583" s="7">
        <v>46.802399999999999</v>
      </c>
      <c r="L2583" s="7">
        <v>-71.269800000000004</v>
      </c>
      <c r="M2583" s="10" t="str">
        <f t="shared" si="245"/>
        <v>C39</v>
      </c>
      <c r="N2583" s="10" t="str">
        <f t="shared" si="246"/>
        <v>C47</v>
      </c>
      <c r="O2583" s="5">
        <f t="shared" si="247"/>
        <v>1.4617343022192799</v>
      </c>
      <c r="P2583" s="22">
        <f>O2583/Explications!$C$8</f>
        <v>4.8724476740642661E-2</v>
      </c>
      <c r="Q2583" s="7" t="str">
        <f t="shared" si="248"/>
        <v>C47</v>
      </c>
      <c r="R2583" s="7" t="str">
        <f t="shared" si="249"/>
        <v>C39</v>
      </c>
      <c r="S2583" s="18">
        <f t="shared" si="250"/>
        <v>1.4617343022192799</v>
      </c>
      <c r="T2583" s="18">
        <f>S2583/Explications!$C$8</f>
        <v>4.8724476740642661E-2</v>
      </c>
    </row>
    <row r="2584" spans="7:20">
      <c r="G2584" s="7" t="s">
        <v>55</v>
      </c>
      <c r="H2584" s="7" t="s">
        <v>64</v>
      </c>
      <c r="I2584" s="7">
        <v>46.8155</v>
      </c>
      <c r="J2584" s="7">
        <v>-71.268199999999993</v>
      </c>
      <c r="K2584" s="7">
        <v>46.826799999999999</v>
      </c>
      <c r="L2584" s="7">
        <v>-71.224199999999996</v>
      </c>
      <c r="M2584" s="10" t="str">
        <f t="shared" si="245"/>
        <v>C39</v>
      </c>
      <c r="N2584" s="10" t="str">
        <f t="shared" si="246"/>
        <v>C48</v>
      </c>
      <c r="O2584" s="5">
        <f t="shared" si="247"/>
        <v>3.5759076804645309</v>
      </c>
      <c r="P2584" s="22">
        <f>O2584/Explications!$C$8</f>
        <v>0.11919692268215103</v>
      </c>
      <c r="Q2584" s="7" t="str">
        <f t="shared" si="248"/>
        <v>C48</v>
      </c>
      <c r="R2584" s="7" t="str">
        <f t="shared" si="249"/>
        <v>C39</v>
      </c>
      <c r="S2584" s="18">
        <f t="shared" si="250"/>
        <v>3.5759076804645309</v>
      </c>
      <c r="T2584" s="18">
        <f>S2584/Explications!$C$8</f>
        <v>0.11919692268215103</v>
      </c>
    </row>
    <row r="2585" spans="7:20">
      <c r="G2585" s="7" t="s">
        <v>55</v>
      </c>
      <c r="H2585" s="7" t="s">
        <v>65</v>
      </c>
      <c r="I2585" s="7">
        <v>46.8155</v>
      </c>
      <c r="J2585" s="7">
        <v>-71.268199999999993</v>
      </c>
      <c r="K2585" s="7">
        <v>46.864100000000001</v>
      </c>
      <c r="L2585" s="7">
        <v>-71.255499999999998</v>
      </c>
      <c r="M2585" s="10" t="str">
        <f t="shared" si="245"/>
        <v>C39</v>
      </c>
      <c r="N2585" s="10" t="str">
        <f t="shared" si="246"/>
        <v>C49</v>
      </c>
      <c r="O2585" s="5">
        <f t="shared" si="247"/>
        <v>5.4897301563899088</v>
      </c>
      <c r="P2585" s="22">
        <f>O2585/Explications!$C$8</f>
        <v>0.18299100521299697</v>
      </c>
      <c r="Q2585" s="7" t="str">
        <f t="shared" si="248"/>
        <v>C49</v>
      </c>
      <c r="R2585" s="7" t="str">
        <f t="shared" si="249"/>
        <v>C39</v>
      </c>
      <c r="S2585" s="18">
        <f t="shared" si="250"/>
        <v>5.4897301563899088</v>
      </c>
      <c r="T2585" s="18">
        <f>S2585/Explications!$C$8</f>
        <v>0.18299100521299697</v>
      </c>
    </row>
    <row r="2586" spans="7:20">
      <c r="G2586" s="7" t="s">
        <v>55</v>
      </c>
      <c r="H2586" s="7" t="s">
        <v>66</v>
      </c>
      <c r="I2586" s="7">
        <v>46.8155</v>
      </c>
      <c r="J2586" s="7">
        <v>-71.268199999999993</v>
      </c>
      <c r="K2586" s="7">
        <v>46.843800000000002</v>
      </c>
      <c r="L2586" s="7">
        <v>-71.247299999999996</v>
      </c>
      <c r="M2586" s="10" t="str">
        <f t="shared" si="245"/>
        <v>C39</v>
      </c>
      <c r="N2586" s="10" t="str">
        <f t="shared" si="246"/>
        <v>C50</v>
      </c>
      <c r="O2586" s="5">
        <f t="shared" si="247"/>
        <v>3.5256957231869537</v>
      </c>
      <c r="P2586" s="22">
        <f>O2586/Explications!$C$8</f>
        <v>0.11752319077289845</v>
      </c>
      <c r="Q2586" s="7" t="str">
        <f t="shared" si="248"/>
        <v>C50</v>
      </c>
      <c r="R2586" s="7" t="str">
        <f t="shared" si="249"/>
        <v>C39</v>
      </c>
      <c r="S2586" s="18">
        <f t="shared" si="250"/>
        <v>3.5256957231869537</v>
      </c>
      <c r="T2586" s="18">
        <f>S2586/Explications!$C$8</f>
        <v>0.11752319077289845</v>
      </c>
    </row>
    <row r="2587" spans="7:20">
      <c r="G2587" s="7" t="s">
        <v>55</v>
      </c>
      <c r="H2587" s="7" t="s">
        <v>67</v>
      </c>
      <c r="I2587" s="7">
        <v>46.8155</v>
      </c>
      <c r="J2587" s="7">
        <v>-71.268199999999993</v>
      </c>
      <c r="K2587" s="7">
        <v>46.765599999999999</v>
      </c>
      <c r="L2587" s="7">
        <v>-71.312100000000001</v>
      </c>
      <c r="M2587" s="10" t="str">
        <f t="shared" si="245"/>
        <v>C39</v>
      </c>
      <c r="N2587" s="10" t="str">
        <f t="shared" si="246"/>
        <v>C51</v>
      </c>
      <c r="O2587" s="5">
        <f t="shared" si="247"/>
        <v>6.4774520874605575</v>
      </c>
      <c r="P2587" s="22">
        <f>O2587/Explications!$C$8</f>
        <v>0.21591506958201859</v>
      </c>
      <c r="Q2587" s="7" t="str">
        <f t="shared" si="248"/>
        <v>C51</v>
      </c>
      <c r="R2587" s="7" t="str">
        <f t="shared" si="249"/>
        <v>C39</v>
      </c>
      <c r="S2587" s="18">
        <f t="shared" si="250"/>
        <v>6.4774520874605575</v>
      </c>
      <c r="T2587" s="18">
        <f>S2587/Explications!$C$8</f>
        <v>0.21591506958201859</v>
      </c>
    </row>
    <row r="2588" spans="7:20">
      <c r="G2588" s="7" t="s">
        <v>55</v>
      </c>
      <c r="H2588" s="7" t="s">
        <v>68</v>
      </c>
      <c r="I2588" s="7">
        <v>46.8155</v>
      </c>
      <c r="J2588" s="7">
        <v>-71.268199999999993</v>
      </c>
      <c r="K2588" s="7">
        <v>46.787599999999998</v>
      </c>
      <c r="L2588" s="7">
        <v>-71.288600000000002</v>
      </c>
      <c r="M2588" s="10" t="str">
        <f t="shared" si="245"/>
        <v>C39</v>
      </c>
      <c r="N2588" s="10" t="str">
        <f t="shared" si="246"/>
        <v>C52</v>
      </c>
      <c r="O2588" s="5">
        <f t="shared" si="247"/>
        <v>3.4692341234386861</v>
      </c>
      <c r="P2588" s="22">
        <f>O2588/Explications!$C$8</f>
        <v>0.1156411374479562</v>
      </c>
      <c r="Q2588" s="7" t="str">
        <f t="shared" si="248"/>
        <v>C52</v>
      </c>
      <c r="R2588" s="7" t="str">
        <f t="shared" si="249"/>
        <v>C39</v>
      </c>
      <c r="S2588" s="18">
        <f t="shared" si="250"/>
        <v>3.4692341234386861</v>
      </c>
      <c r="T2588" s="18">
        <f>S2588/Explications!$C$8</f>
        <v>0.1156411374479562</v>
      </c>
    </row>
    <row r="2589" spans="7:20">
      <c r="G2589" s="7" t="s">
        <v>55</v>
      </c>
      <c r="H2589" s="7" t="s">
        <v>69</v>
      </c>
      <c r="I2589" s="7">
        <v>46.8155</v>
      </c>
      <c r="J2589" s="7">
        <v>-71.268199999999993</v>
      </c>
      <c r="K2589" s="7">
        <v>46.764600000000002</v>
      </c>
      <c r="L2589" s="7">
        <v>-71.308300000000003</v>
      </c>
      <c r="M2589" s="10" t="str">
        <f t="shared" si="245"/>
        <v>C39</v>
      </c>
      <c r="N2589" s="10" t="str">
        <f t="shared" si="246"/>
        <v>C53</v>
      </c>
      <c r="O2589" s="5">
        <f t="shared" si="247"/>
        <v>6.4306916667880802</v>
      </c>
      <c r="P2589" s="22">
        <f>O2589/Explications!$C$8</f>
        <v>0.21435638889293601</v>
      </c>
      <c r="Q2589" s="7" t="str">
        <f t="shared" si="248"/>
        <v>C53</v>
      </c>
      <c r="R2589" s="7" t="str">
        <f t="shared" si="249"/>
        <v>C39</v>
      </c>
      <c r="S2589" s="18">
        <f t="shared" si="250"/>
        <v>6.4306916667880802</v>
      </c>
      <c r="T2589" s="18">
        <f>S2589/Explications!$C$8</f>
        <v>0.21435638889293601</v>
      </c>
    </row>
    <row r="2590" spans="7:20">
      <c r="G2590" s="7" t="s">
        <v>55</v>
      </c>
      <c r="H2590" s="7" t="s">
        <v>70</v>
      </c>
      <c r="I2590" s="7">
        <v>46.8155</v>
      </c>
      <c r="J2590" s="7">
        <v>-71.268199999999993</v>
      </c>
      <c r="K2590" s="7">
        <v>46.849699999999999</v>
      </c>
      <c r="L2590" s="7">
        <v>-71.097399999999993</v>
      </c>
      <c r="M2590" s="10" t="str">
        <f t="shared" si="245"/>
        <v>C39</v>
      </c>
      <c r="N2590" s="10" t="str">
        <f t="shared" si="246"/>
        <v>C54</v>
      </c>
      <c r="O2590" s="5">
        <f t="shared" si="247"/>
        <v>13.538184387206691</v>
      </c>
      <c r="P2590" s="22">
        <f>O2590/Explications!$C$8</f>
        <v>0.4512728129068897</v>
      </c>
      <c r="Q2590" s="7" t="str">
        <f t="shared" si="248"/>
        <v>C54</v>
      </c>
      <c r="R2590" s="7" t="str">
        <f t="shared" si="249"/>
        <v>C39</v>
      </c>
      <c r="S2590" s="18">
        <f t="shared" si="250"/>
        <v>13.538184387206691</v>
      </c>
      <c r="T2590" s="18">
        <f>S2590/Explications!$C$8</f>
        <v>0.4512728129068897</v>
      </c>
    </row>
    <row r="2591" spans="7:20">
      <c r="G2591" s="7" t="s">
        <v>55</v>
      </c>
      <c r="H2591" s="7" t="s">
        <v>71</v>
      </c>
      <c r="I2591" s="7">
        <v>46.8155</v>
      </c>
      <c r="J2591" s="7">
        <v>-71.268199999999993</v>
      </c>
      <c r="K2591" s="7">
        <v>46.788899999999998</v>
      </c>
      <c r="L2591" s="7">
        <v>-71.321399999999997</v>
      </c>
      <c r="M2591" s="10" t="str">
        <f t="shared" si="245"/>
        <v>C39</v>
      </c>
      <c r="N2591" s="10" t="str">
        <f t="shared" si="246"/>
        <v>C55</v>
      </c>
      <c r="O2591" s="5">
        <f t="shared" si="247"/>
        <v>5.0145278408991816</v>
      </c>
      <c r="P2591" s="22">
        <f>O2591/Explications!$C$8</f>
        <v>0.16715092802997272</v>
      </c>
      <c r="Q2591" s="7" t="str">
        <f t="shared" si="248"/>
        <v>C55</v>
      </c>
      <c r="R2591" s="7" t="str">
        <f t="shared" si="249"/>
        <v>C39</v>
      </c>
      <c r="S2591" s="18">
        <f t="shared" si="250"/>
        <v>5.0145278408991816</v>
      </c>
      <c r="T2591" s="18">
        <f>S2591/Explications!$C$8</f>
        <v>0.16715092802997272</v>
      </c>
    </row>
    <row r="2592" spans="7:20">
      <c r="G2592" s="7" t="s">
        <v>55</v>
      </c>
      <c r="H2592" s="7" t="s">
        <v>72</v>
      </c>
      <c r="I2592" s="7">
        <v>46.8155</v>
      </c>
      <c r="J2592" s="7">
        <v>-71.268199999999993</v>
      </c>
      <c r="K2592" s="7">
        <v>46.795400000000001</v>
      </c>
      <c r="L2592" s="7">
        <v>-71.232600000000005</v>
      </c>
      <c r="M2592" s="10" t="str">
        <f t="shared" si="245"/>
        <v>C39</v>
      </c>
      <c r="N2592" s="10" t="str">
        <f t="shared" si="246"/>
        <v>C56</v>
      </c>
      <c r="O2592" s="5">
        <f t="shared" si="247"/>
        <v>3.5123880448281479</v>
      </c>
      <c r="P2592" s="22">
        <f>O2592/Explications!$C$8</f>
        <v>0.1170796014942716</v>
      </c>
      <c r="Q2592" s="7" t="str">
        <f t="shared" si="248"/>
        <v>C56</v>
      </c>
      <c r="R2592" s="7" t="str">
        <f t="shared" si="249"/>
        <v>C39</v>
      </c>
      <c r="S2592" s="18">
        <f t="shared" si="250"/>
        <v>3.5123880448281479</v>
      </c>
      <c r="T2592" s="18">
        <f>S2592/Explications!$C$8</f>
        <v>0.1170796014942716</v>
      </c>
    </row>
    <row r="2593" spans="7:20">
      <c r="G2593" s="7" t="s">
        <v>55</v>
      </c>
      <c r="H2593" s="7" t="s">
        <v>73</v>
      </c>
      <c r="I2593" s="7">
        <v>46.8155</v>
      </c>
      <c r="J2593" s="7">
        <v>-71.268199999999993</v>
      </c>
      <c r="K2593" s="7">
        <v>46.801200000000001</v>
      </c>
      <c r="L2593" s="7">
        <v>-71.224999999999994</v>
      </c>
      <c r="M2593" s="10" t="str">
        <f t="shared" si="245"/>
        <v>C39</v>
      </c>
      <c r="N2593" s="10" t="str">
        <f t="shared" si="246"/>
        <v>C57</v>
      </c>
      <c r="O2593" s="5">
        <f t="shared" si="247"/>
        <v>3.6521184933387869</v>
      </c>
      <c r="P2593" s="22">
        <f>O2593/Explications!$C$8</f>
        <v>0.12173728311129289</v>
      </c>
      <c r="Q2593" s="7" t="str">
        <f t="shared" si="248"/>
        <v>C57</v>
      </c>
      <c r="R2593" s="7" t="str">
        <f t="shared" si="249"/>
        <v>C39</v>
      </c>
      <c r="S2593" s="18">
        <f t="shared" si="250"/>
        <v>3.6521184933387869</v>
      </c>
      <c r="T2593" s="18">
        <f>S2593/Explications!$C$8</f>
        <v>0.12173728311129289</v>
      </c>
    </row>
    <row r="2594" spans="7:20">
      <c r="G2594" s="7" t="s">
        <v>55</v>
      </c>
      <c r="H2594" s="7" t="s">
        <v>74</v>
      </c>
      <c r="I2594" s="7">
        <v>46.8155</v>
      </c>
      <c r="J2594" s="7">
        <v>-71.268199999999993</v>
      </c>
      <c r="K2594" s="7">
        <v>46.773200000000003</v>
      </c>
      <c r="L2594" s="7">
        <v>-71.275899999999993</v>
      </c>
      <c r="M2594" s="10" t="str">
        <f t="shared" si="245"/>
        <v>C39</v>
      </c>
      <c r="N2594" s="10" t="str">
        <f t="shared" si="246"/>
        <v>C58</v>
      </c>
      <c r="O2594" s="5">
        <f t="shared" si="247"/>
        <v>4.7399299751475912</v>
      </c>
      <c r="P2594" s="22">
        <f>O2594/Explications!$C$8</f>
        <v>0.15799766583825303</v>
      </c>
      <c r="Q2594" s="7" t="str">
        <f t="shared" si="248"/>
        <v>C58</v>
      </c>
      <c r="R2594" s="7" t="str">
        <f t="shared" si="249"/>
        <v>C39</v>
      </c>
      <c r="S2594" s="18">
        <f t="shared" si="250"/>
        <v>4.7399299751475912</v>
      </c>
      <c r="T2594" s="18">
        <f>S2594/Explications!$C$8</f>
        <v>0.15799766583825303</v>
      </c>
    </row>
    <row r="2595" spans="7:20">
      <c r="G2595" s="7" t="s">
        <v>55</v>
      </c>
      <c r="H2595" s="7" t="s">
        <v>75</v>
      </c>
      <c r="I2595" s="7">
        <v>46.8155</v>
      </c>
      <c r="J2595" s="7">
        <v>-71.268199999999993</v>
      </c>
      <c r="K2595" s="7">
        <v>46.814399999999999</v>
      </c>
      <c r="L2595" s="7">
        <v>-71.225700000000003</v>
      </c>
      <c r="M2595" s="10" t="str">
        <f t="shared" si="245"/>
        <v>C39</v>
      </c>
      <c r="N2595" s="10" t="str">
        <f t="shared" si="246"/>
        <v>C59</v>
      </c>
      <c r="O2595" s="5">
        <f t="shared" si="247"/>
        <v>3.2364351298540406</v>
      </c>
      <c r="P2595" s="22">
        <f>O2595/Explications!$C$8</f>
        <v>0.10788117099513468</v>
      </c>
      <c r="Q2595" s="7" t="str">
        <f t="shared" si="248"/>
        <v>C59</v>
      </c>
      <c r="R2595" s="7" t="str">
        <f t="shared" si="249"/>
        <v>C39</v>
      </c>
      <c r="S2595" s="18">
        <f t="shared" si="250"/>
        <v>3.2364351298540406</v>
      </c>
      <c r="T2595" s="18">
        <f>S2595/Explications!$C$8</f>
        <v>0.10788117099513468</v>
      </c>
    </row>
    <row r="2596" spans="7:20">
      <c r="G2596" s="7" t="s">
        <v>55</v>
      </c>
      <c r="H2596" s="7" t="s">
        <v>76</v>
      </c>
      <c r="I2596" s="7">
        <v>46.8155</v>
      </c>
      <c r="J2596" s="7">
        <v>-71.268199999999993</v>
      </c>
      <c r="K2596" s="7">
        <v>46.772500000000001</v>
      </c>
      <c r="L2596" s="7">
        <v>-71.276300000000006</v>
      </c>
      <c r="M2596" s="10" t="str">
        <f t="shared" si="245"/>
        <v>C39</v>
      </c>
      <c r="N2596" s="10" t="str">
        <f t="shared" si="246"/>
        <v>C60</v>
      </c>
      <c r="O2596" s="5">
        <f t="shared" si="247"/>
        <v>4.8209791289130051</v>
      </c>
      <c r="P2596" s="22">
        <f>O2596/Explications!$C$8</f>
        <v>0.16069930429710017</v>
      </c>
      <c r="Q2596" s="7" t="str">
        <f t="shared" si="248"/>
        <v>C60</v>
      </c>
      <c r="R2596" s="7" t="str">
        <f t="shared" si="249"/>
        <v>C39</v>
      </c>
      <c r="S2596" s="18">
        <f t="shared" si="250"/>
        <v>4.8209791289130051</v>
      </c>
      <c r="T2596" s="18">
        <f>S2596/Explications!$C$8</f>
        <v>0.16069930429710017</v>
      </c>
    </row>
    <row r="2597" spans="7:20">
      <c r="G2597" s="7" t="s">
        <v>55</v>
      </c>
      <c r="H2597" s="7" t="s">
        <v>77</v>
      </c>
      <c r="I2597" s="7">
        <v>46.8155</v>
      </c>
      <c r="J2597" s="7">
        <v>-71.268199999999993</v>
      </c>
      <c r="K2597" s="7">
        <v>46.810899999999997</v>
      </c>
      <c r="L2597" s="7">
        <v>-71.215599999999995</v>
      </c>
      <c r="M2597" s="10" t="str">
        <f t="shared" si="245"/>
        <v>C39</v>
      </c>
      <c r="N2597" s="10" t="str">
        <f t="shared" si="246"/>
        <v>C61</v>
      </c>
      <c r="O2597" s="5">
        <f t="shared" si="247"/>
        <v>4.0353811641132999</v>
      </c>
      <c r="P2597" s="22">
        <f>O2597/Explications!$C$8</f>
        <v>0.13451270547044333</v>
      </c>
      <c r="Q2597" s="7" t="str">
        <f t="shared" si="248"/>
        <v>C61</v>
      </c>
      <c r="R2597" s="7" t="str">
        <f t="shared" si="249"/>
        <v>C39</v>
      </c>
      <c r="S2597" s="18">
        <f t="shared" si="250"/>
        <v>4.0353811641132999</v>
      </c>
      <c r="T2597" s="18">
        <f>S2597/Explications!$C$8</f>
        <v>0.13451270547044333</v>
      </c>
    </row>
    <row r="2598" spans="7:20">
      <c r="G2598" s="7" t="s">
        <v>55</v>
      </c>
      <c r="H2598" s="7" t="s">
        <v>78</v>
      </c>
      <c r="I2598" s="7">
        <v>46.8155</v>
      </c>
      <c r="J2598" s="7">
        <v>-71.268199999999993</v>
      </c>
      <c r="K2598" s="7">
        <v>46.795200000000001</v>
      </c>
      <c r="L2598" s="7">
        <v>-71.245099999999994</v>
      </c>
      <c r="M2598" s="10" t="str">
        <f t="shared" si="245"/>
        <v>C39</v>
      </c>
      <c r="N2598" s="10" t="str">
        <f t="shared" si="246"/>
        <v>C62</v>
      </c>
      <c r="O2598" s="5">
        <f t="shared" si="247"/>
        <v>2.8611741020973129</v>
      </c>
      <c r="P2598" s="22">
        <f>O2598/Explications!$C$8</f>
        <v>9.5372470069910426E-2</v>
      </c>
      <c r="Q2598" s="7" t="str">
        <f t="shared" si="248"/>
        <v>C62</v>
      </c>
      <c r="R2598" s="7" t="str">
        <f t="shared" si="249"/>
        <v>C39</v>
      </c>
      <c r="S2598" s="18">
        <f t="shared" si="250"/>
        <v>2.8611741020973129</v>
      </c>
      <c r="T2598" s="18">
        <f>S2598/Explications!$C$8</f>
        <v>9.5372470069910426E-2</v>
      </c>
    </row>
    <row r="2599" spans="7:20">
      <c r="G2599" s="7" t="s">
        <v>55</v>
      </c>
      <c r="H2599" s="7" t="s">
        <v>79</v>
      </c>
      <c r="I2599" s="7">
        <v>46.8155</v>
      </c>
      <c r="J2599" s="7">
        <v>-71.268199999999993</v>
      </c>
      <c r="K2599" s="7">
        <v>46.822000000000003</v>
      </c>
      <c r="L2599" s="7">
        <v>-71.345699999999994</v>
      </c>
      <c r="M2599" s="10" t="str">
        <f t="shared" si="245"/>
        <v>C39</v>
      </c>
      <c r="N2599" s="10" t="str">
        <f t="shared" si="246"/>
        <v>C63</v>
      </c>
      <c r="O2599" s="5">
        <f t="shared" si="247"/>
        <v>5.9412286517870063</v>
      </c>
      <c r="P2599" s="22">
        <f>O2599/Explications!$C$8</f>
        <v>0.19804095505956687</v>
      </c>
      <c r="Q2599" s="7" t="str">
        <f t="shared" si="248"/>
        <v>C63</v>
      </c>
      <c r="R2599" s="7" t="str">
        <f t="shared" si="249"/>
        <v>C39</v>
      </c>
      <c r="S2599" s="18">
        <f t="shared" si="250"/>
        <v>5.9412286517870063</v>
      </c>
      <c r="T2599" s="18">
        <f>S2599/Explications!$C$8</f>
        <v>0.19804095505956687</v>
      </c>
    </row>
    <row r="2600" spans="7:20">
      <c r="G2600" s="7" t="s">
        <v>55</v>
      </c>
      <c r="H2600" s="7" t="s">
        <v>80</v>
      </c>
      <c r="I2600" s="7">
        <v>46.8155</v>
      </c>
      <c r="J2600" s="7">
        <v>-71.268199999999993</v>
      </c>
      <c r="K2600" s="7">
        <v>46.779400000000003</v>
      </c>
      <c r="L2600" s="7">
        <v>-71.350399999999993</v>
      </c>
      <c r="M2600" s="10" t="str">
        <f t="shared" si="245"/>
        <v>C39</v>
      </c>
      <c r="N2600" s="10" t="str">
        <f t="shared" si="246"/>
        <v>C64</v>
      </c>
      <c r="O2600" s="5">
        <f t="shared" si="247"/>
        <v>7.434107801859982</v>
      </c>
      <c r="P2600" s="22">
        <f>O2600/Explications!$C$8</f>
        <v>0.24780359339533273</v>
      </c>
      <c r="Q2600" s="7" t="str">
        <f t="shared" si="248"/>
        <v>C64</v>
      </c>
      <c r="R2600" s="7" t="str">
        <f t="shared" si="249"/>
        <v>C39</v>
      </c>
      <c r="S2600" s="18">
        <f t="shared" si="250"/>
        <v>7.434107801859982</v>
      </c>
      <c r="T2600" s="18">
        <f>S2600/Explications!$C$8</f>
        <v>0.24780359339533273</v>
      </c>
    </row>
    <row r="2601" spans="7:20">
      <c r="G2601" s="7" t="s">
        <v>55</v>
      </c>
      <c r="H2601" s="7" t="s">
        <v>81</v>
      </c>
      <c r="I2601" s="7">
        <v>46.8155</v>
      </c>
      <c r="J2601" s="7">
        <v>-71.268199999999993</v>
      </c>
      <c r="K2601" s="7">
        <v>46.772300000000001</v>
      </c>
      <c r="L2601" s="7">
        <v>-71.279799999999994</v>
      </c>
      <c r="M2601" s="10" t="str">
        <f t="shared" si="245"/>
        <v>C39</v>
      </c>
      <c r="N2601" s="10" t="str">
        <f t="shared" si="246"/>
        <v>C65</v>
      </c>
      <c r="O2601" s="5">
        <f t="shared" si="247"/>
        <v>4.8841157829025015</v>
      </c>
      <c r="P2601" s="22">
        <f>O2601/Explications!$C$8</f>
        <v>0.16280385943008338</v>
      </c>
      <c r="Q2601" s="7" t="str">
        <f t="shared" si="248"/>
        <v>C65</v>
      </c>
      <c r="R2601" s="7" t="str">
        <f t="shared" si="249"/>
        <v>C39</v>
      </c>
      <c r="S2601" s="18">
        <f t="shared" si="250"/>
        <v>4.8841157829025015</v>
      </c>
      <c r="T2601" s="18">
        <f>S2601/Explications!$C$8</f>
        <v>0.16280385943008338</v>
      </c>
    </row>
    <row r="2602" spans="7:20">
      <c r="G2602" s="7" t="s">
        <v>55</v>
      </c>
      <c r="H2602" s="7" t="s">
        <v>82</v>
      </c>
      <c r="I2602" s="7">
        <v>46.8155</v>
      </c>
      <c r="J2602" s="7">
        <v>-71.268199999999993</v>
      </c>
      <c r="K2602" s="7">
        <v>46.814900000000002</v>
      </c>
      <c r="L2602" s="7">
        <v>-71.225200000000001</v>
      </c>
      <c r="M2602" s="10" t="str">
        <f t="shared" si="245"/>
        <v>C39</v>
      </c>
      <c r="N2602" s="10" t="str">
        <f t="shared" si="246"/>
        <v>C66</v>
      </c>
      <c r="O2602" s="5">
        <f t="shared" si="247"/>
        <v>3.2728363715497721</v>
      </c>
      <c r="P2602" s="22">
        <f>O2602/Explications!$C$8</f>
        <v>0.10909454571832573</v>
      </c>
      <c r="Q2602" s="7" t="str">
        <f t="shared" si="248"/>
        <v>C66</v>
      </c>
      <c r="R2602" s="7" t="str">
        <f t="shared" si="249"/>
        <v>C39</v>
      </c>
      <c r="S2602" s="18">
        <f t="shared" si="250"/>
        <v>3.2728363715497721</v>
      </c>
      <c r="T2602" s="18">
        <f>S2602/Explications!$C$8</f>
        <v>0.10909454571832573</v>
      </c>
    </row>
    <row r="2603" spans="7:20">
      <c r="G2603" s="7" t="s">
        <v>55</v>
      </c>
      <c r="H2603" s="7" t="s">
        <v>83</v>
      </c>
      <c r="I2603" s="7">
        <v>46.8155</v>
      </c>
      <c r="J2603" s="7">
        <v>-71.268199999999993</v>
      </c>
      <c r="K2603" s="7">
        <v>46.814700000000002</v>
      </c>
      <c r="L2603" s="7">
        <v>-71.207300000000004</v>
      </c>
      <c r="M2603" s="10" t="str">
        <f t="shared" si="245"/>
        <v>C39</v>
      </c>
      <c r="N2603" s="10" t="str">
        <f t="shared" si="246"/>
        <v>C67</v>
      </c>
      <c r="O2603" s="5">
        <f t="shared" si="247"/>
        <v>4.6351487020443489</v>
      </c>
      <c r="P2603" s="22">
        <f>O2603/Explications!$C$8</f>
        <v>0.15450495673481163</v>
      </c>
      <c r="Q2603" s="7" t="str">
        <f t="shared" si="248"/>
        <v>C67</v>
      </c>
      <c r="R2603" s="7" t="str">
        <f t="shared" si="249"/>
        <v>C39</v>
      </c>
      <c r="S2603" s="18">
        <f t="shared" si="250"/>
        <v>4.6351487020443489</v>
      </c>
      <c r="T2603" s="18">
        <f>S2603/Explications!$C$8</f>
        <v>0.15450495673481163</v>
      </c>
    </row>
    <row r="2604" spans="7:20">
      <c r="G2604" s="7" t="s">
        <v>55</v>
      </c>
      <c r="H2604" s="7" t="s">
        <v>84</v>
      </c>
      <c r="I2604" s="7">
        <v>46.8155</v>
      </c>
      <c r="J2604" s="7">
        <v>-71.268199999999993</v>
      </c>
      <c r="K2604" s="7">
        <v>46.815600000000003</v>
      </c>
      <c r="L2604" s="7">
        <v>-71.2029</v>
      </c>
      <c r="M2604" s="10" t="str">
        <f t="shared" si="245"/>
        <v>C39</v>
      </c>
      <c r="N2604" s="10" t="str">
        <f t="shared" si="246"/>
        <v>C68</v>
      </c>
      <c r="O2604" s="5">
        <f t="shared" si="247"/>
        <v>4.9690917734364906</v>
      </c>
      <c r="P2604" s="22">
        <f>O2604/Explications!$C$8</f>
        <v>0.16563639244788303</v>
      </c>
      <c r="Q2604" s="7" t="str">
        <f t="shared" si="248"/>
        <v>C68</v>
      </c>
      <c r="R2604" s="7" t="str">
        <f t="shared" si="249"/>
        <v>C39</v>
      </c>
      <c r="S2604" s="18">
        <f t="shared" si="250"/>
        <v>4.9690917734364906</v>
      </c>
      <c r="T2604" s="18">
        <f>S2604/Explications!$C$8</f>
        <v>0.16563639244788303</v>
      </c>
    </row>
    <row r="2605" spans="7:20">
      <c r="G2605" s="7" t="s">
        <v>55</v>
      </c>
      <c r="H2605" s="7" t="s">
        <v>85</v>
      </c>
      <c r="I2605" s="7">
        <v>46.8155</v>
      </c>
      <c r="J2605" s="7">
        <v>-71.268199999999993</v>
      </c>
      <c r="K2605" s="7">
        <v>46.821899999999999</v>
      </c>
      <c r="L2605" s="7">
        <v>-71.249899999999997</v>
      </c>
      <c r="M2605" s="10" t="str">
        <f t="shared" si="245"/>
        <v>C39</v>
      </c>
      <c r="N2605" s="10" t="str">
        <f t="shared" si="246"/>
        <v>C69</v>
      </c>
      <c r="O2605" s="5">
        <f t="shared" si="247"/>
        <v>1.5637895569190636</v>
      </c>
      <c r="P2605" s="22">
        <f>O2605/Explications!$C$8</f>
        <v>5.2126318563968786E-2</v>
      </c>
      <c r="Q2605" s="7" t="str">
        <f t="shared" si="248"/>
        <v>C69</v>
      </c>
      <c r="R2605" s="7" t="str">
        <f t="shared" si="249"/>
        <v>C39</v>
      </c>
      <c r="S2605" s="18">
        <f t="shared" si="250"/>
        <v>1.5637895569190636</v>
      </c>
      <c r="T2605" s="18">
        <f>S2605/Explications!$C$8</f>
        <v>5.2126318563968786E-2</v>
      </c>
    </row>
    <row r="2606" spans="7:20">
      <c r="G2606" s="7" t="s">
        <v>55</v>
      </c>
      <c r="H2606" s="7" t="s">
        <v>86</v>
      </c>
      <c r="I2606" s="7">
        <v>46.8155</v>
      </c>
      <c r="J2606" s="7">
        <v>-71.268199999999993</v>
      </c>
      <c r="K2606" s="7">
        <v>46.8872</v>
      </c>
      <c r="L2606" s="7">
        <v>-71.27</v>
      </c>
      <c r="M2606" s="10" t="str">
        <f t="shared" si="245"/>
        <v>C39</v>
      </c>
      <c r="N2606" s="10" t="str">
        <f t="shared" si="246"/>
        <v>C70</v>
      </c>
      <c r="O2606" s="5">
        <f t="shared" si="247"/>
        <v>7.9738512068977299</v>
      </c>
      <c r="P2606" s="22">
        <f>O2606/Explications!$C$8</f>
        <v>0.26579504022992434</v>
      </c>
      <c r="Q2606" s="7" t="str">
        <f t="shared" si="248"/>
        <v>C70</v>
      </c>
      <c r="R2606" s="7" t="str">
        <f t="shared" si="249"/>
        <v>C39</v>
      </c>
      <c r="S2606" s="18">
        <f t="shared" si="250"/>
        <v>7.9738512068977299</v>
      </c>
      <c r="T2606" s="18">
        <f>S2606/Explications!$C$8</f>
        <v>0.26579504022992434</v>
      </c>
    </row>
    <row r="2607" spans="7:20">
      <c r="G2607" s="7" t="s">
        <v>55</v>
      </c>
      <c r="H2607" s="7" t="s">
        <v>87</v>
      </c>
      <c r="I2607" s="7">
        <v>46.8155</v>
      </c>
      <c r="J2607" s="7">
        <v>-71.268199999999993</v>
      </c>
      <c r="K2607" s="7">
        <v>46.816299999999998</v>
      </c>
      <c r="L2607" s="7">
        <v>-71.210300000000004</v>
      </c>
      <c r="M2607" s="10" t="str">
        <f t="shared" si="245"/>
        <v>C39</v>
      </c>
      <c r="N2607" s="10" t="str">
        <f t="shared" si="246"/>
        <v>C71</v>
      </c>
      <c r="O2607" s="5">
        <f t="shared" si="247"/>
        <v>4.4068370073533778</v>
      </c>
      <c r="P2607" s="22">
        <f>O2607/Explications!$C$8</f>
        <v>0.14689456691177927</v>
      </c>
      <c r="Q2607" s="7" t="str">
        <f t="shared" si="248"/>
        <v>C71</v>
      </c>
      <c r="R2607" s="7" t="str">
        <f t="shared" si="249"/>
        <v>C39</v>
      </c>
      <c r="S2607" s="18">
        <f t="shared" si="250"/>
        <v>4.4068370073533778</v>
      </c>
      <c r="T2607" s="18">
        <f>S2607/Explications!$C$8</f>
        <v>0.14689456691177927</v>
      </c>
    </row>
    <row r="2608" spans="7:20">
      <c r="G2608" s="7" t="s">
        <v>55</v>
      </c>
      <c r="H2608" s="7" t="s">
        <v>88</v>
      </c>
      <c r="I2608" s="7">
        <v>46.8155</v>
      </c>
      <c r="J2608" s="7">
        <v>-71.268199999999993</v>
      </c>
      <c r="K2608" s="7">
        <v>46.807000000000002</v>
      </c>
      <c r="L2608" s="7">
        <v>-71.3566</v>
      </c>
      <c r="M2608" s="10" t="str">
        <f t="shared" si="245"/>
        <v>C39</v>
      </c>
      <c r="N2608" s="10" t="str">
        <f t="shared" si="246"/>
        <v>C72</v>
      </c>
      <c r="O2608" s="5">
        <f t="shared" si="247"/>
        <v>6.7935078064086607</v>
      </c>
      <c r="P2608" s="22">
        <f>O2608/Explications!$C$8</f>
        <v>0.22645026021362202</v>
      </c>
      <c r="Q2608" s="7" t="str">
        <f t="shared" si="248"/>
        <v>C72</v>
      </c>
      <c r="R2608" s="7" t="str">
        <f t="shared" si="249"/>
        <v>C39</v>
      </c>
      <c r="S2608" s="18">
        <f t="shared" si="250"/>
        <v>6.7935078064086607</v>
      </c>
      <c r="T2608" s="18">
        <f>S2608/Explications!$C$8</f>
        <v>0.22645026021362202</v>
      </c>
    </row>
    <row r="2609" spans="7:20">
      <c r="G2609" s="7" t="s">
        <v>55</v>
      </c>
      <c r="H2609" s="7" t="s">
        <v>89</v>
      </c>
      <c r="I2609" s="7">
        <v>46.8155</v>
      </c>
      <c r="J2609" s="7">
        <v>-71.268199999999993</v>
      </c>
      <c r="K2609" s="7">
        <v>46.822899999999997</v>
      </c>
      <c r="L2609" s="7">
        <v>-71.341899999999995</v>
      </c>
      <c r="M2609" s="10" t="str">
        <f t="shared" si="245"/>
        <v>C39</v>
      </c>
      <c r="N2609" s="10" t="str">
        <f t="shared" si="246"/>
        <v>C73</v>
      </c>
      <c r="O2609" s="5">
        <f t="shared" si="247"/>
        <v>5.6679523068590161</v>
      </c>
      <c r="P2609" s="22">
        <f>O2609/Explications!$C$8</f>
        <v>0.18893174356196721</v>
      </c>
      <c r="Q2609" s="7" t="str">
        <f t="shared" si="248"/>
        <v>C73</v>
      </c>
      <c r="R2609" s="7" t="str">
        <f t="shared" si="249"/>
        <v>C39</v>
      </c>
      <c r="S2609" s="18">
        <f t="shared" si="250"/>
        <v>5.6679523068590161</v>
      </c>
      <c r="T2609" s="18">
        <f>S2609/Explications!$C$8</f>
        <v>0.18893174356196721</v>
      </c>
    </row>
    <row r="2610" spans="7:20">
      <c r="G2610" s="7" t="s">
        <v>55</v>
      </c>
      <c r="H2610" s="7" t="s">
        <v>90</v>
      </c>
      <c r="I2610" s="7">
        <v>46.8155</v>
      </c>
      <c r="J2610" s="7">
        <v>-71.268199999999993</v>
      </c>
      <c r="K2610" s="7">
        <v>46.730699999999999</v>
      </c>
      <c r="L2610" s="7">
        <v>-71.261099999999999</v>
      </c>
      <c r="M2610" s="10" t="str">
        <f t="shared" si="245"/>
        <v>C39</v>
      </c>
      <c r="N2610" s="10" t="str">
        <f t="shared" si="246"/>
        <v>C74</v>
      </c>
      <c r="O2610" s="5">
        <f t="shared" si="247"/>
        <v>9.4448200721475235</v>
      </c>
      <c r="P2610" s="22">
        <f>O2610/Explications!$C$8</f>
        <v>0.31482733573825078</v>
      </c>
      <c r="Q2610" s="7" t="str">
        <f t="shared" si="248"/>
        <v>C74</v>
      </c>
      <c r="R2610" s="7" t="str">
        <f t="shared" si="249"/>
        <v>C39</v>
      </c>
      <c r="S2610" s="18">
        <f t="shared" si="250"/>
        <v>9.4448200721475235</v>
      </c>
      <c r="T2610" s="18">
        <f>S2610/Explications!$C$8</f>
        <v>0.31482733573825078</v>
      </c>
    </row>
    <row r="2611" spans="7:20">
      <c r="G2611" s="7" t="s">
        <v>55</v>
      </c>
      <c r="H2611" s="7" t="s">
        <v>91</v>
      </c>
      <c r="I2611" s="7">
        <v>46.8155</v>
      </c>
      <c r="J2611" s="7">
        <v>-71.268199999999993</v>
      </c>
      <c r="K2611" s="7">
        <v>46.840600000000002</v>
      </c>
      <c r="L2611" s="7">
        <v>-71.289100000000005</v>
      </c>
      <c r="M2611" s="10" t="str">
        <f t="shared" si="245"/>
        <v>C39</v>
      </c>
      <c r="N2611" s="10" t="str">
        <f t="shared" si="246"/>
        <v>C75</v>
      </c>
      <c r="O2611" s="5">
        <f t="shared" si="247"/>
        <v>3.212143723674914</v>
      </c>
      <c r="P2611" s="22">
        <f>O2611/Explications!$C$8</f>
        <v>0.10707145745583047</v>
      </c>
      <c r="Q2611" s="7" t="str">
        <f t="shared" si="248"/>
        <v>C75</v>
      </c>
      <c r="R2611" s="7" t="str">
        <f t="shared" si="249"/>
        <v>C39</v>
      </c>
      <c r="S2611" s="18">
        <f t="shared" si="250"/>
        <v>3.212143723674914</v>
      </c>
      <c r="T2611" s="18">
        <f>S2611/Explications!$C$8</f>
        <v>0.10707145745583047</v>
      </c>
    </row>
    <row r="2612" spans="7:20">
      <c r="G2612" s="7" t="s">
        <v>55</v>
      </c>
      <c r="H2612" s="7" t="s">
        <v>92</v>
      </c>
      <c r="I2612" s="7">
        <v>46.8155</v>
      </c>
      <c r="J2612" s="7">
        <v>-71.268199999999993</v>
      </c>
      <c r="K2612" s="7">
        <v>46.840600000000002</v>
      </c>
      <c r="L2612" s="7">
        <v>-71.281599999999997</v>
      </c>
      <c r="M2612" s="10" t="str">
        <f t="shared" si="245"/>
        <v>C39</v>
      </c>
      <c r="N2612" s="10" t="str">
        <f t="shared" si="246"/>
        <v>C76</v>
      </c>
      <c r="O2612" s="5">
        <f t="shared" si="247"/>
        <v>2.9713500941389559</v>
      </c>
      <c r="P2612" s="22">
        <f>O2612/Explications!$C$8</f>
        <v>9.9045003137965201E-2</v>
      </c>
      <c r="Q2612" s="7" t="str">
        <f t="shared" si="248"/>
        <v>C76</v>
      </c>
      <c r="R2612" s="7" t="str">
        <f t="shared" si="249"/>
        <v>C39</v>
      </c>
      <c r="S2612" s="18">
        <f t="shared" si="250"/>
        <v>2.9713500941389559</v>
      </c>
      <c r="T2612" s="18">
        <f>S2612/Explications!$C$8</f>
        <v>9.9045003137965201E-2</v>
      </c>
    </row>
    <row r="2613" spans="7:20">
      <c r="G2613" s="7" t="s">
        <v>55</v>
      </c>
      <c r="H2613" s="7" t="s">
        <v>93</v>
      </c>
      <c r="I2613" s="7">
        <v>46.8155</v>
      </c>
      <c r="J2613" s="7">
        <v>-71.268199999999993</v>
      </c>
      <c r="K2613" s="7">
        <v>46.839399999999998</v>
      </c>
      <c r="L2613" s="7">
        <v>-71.282600000000002</v>
      </c>
      <c r="M2613" s="10" t="str">
        <f t="shared" si="245"/>
        <v>C39</v>
      </c>
      <c r="N2613" s="10" t="str">
        <f t="shared" si="246"/>
        <v>C77</v>
      </c>
      <c r="O2613" s="5">
        <f t="shared" si="247"/>
        <v>2.8745140828009985</v>
      </c>
      <c r="P2613" s="22">
        <f>O2613/Explications!$C$8</f>
        <v>9.5817136093366617E-2</v>
      </c>
      <c r="Q2613" s="7" t="str">
        <f t="shared" si="248"/>
        <v>C77</v>
      </c>
      <c r="R2613" s="7" t="str">
        <f t="shared" si="249"/>
        <v>C39</v>
      </c>
      <c r="S2613" s="18">
        <f t="shared" si="250"/>
        <v>2.8745140828009985</v>
      </c>
      <c r="T2613" s="18">
        <f>S2613/Explications!$C$8</f>
        <v>9.5817136093366617E-2</v>
      </c>
    </row>
    <row r="2614" spans="7:20">
      <c r="G2614" s="7" t="s">
        <v>55</v>
      </c>
      <c r="H2614" s="7" t="s">
        <v>94</v>
      </c>
      <c r="I2614" s="7">
        <v>46.8155</v>
      </c>
      <c r="J2614" s="7">
        <v>-71.268199999999993</v>
      </c>
      <c r="K2614" s="7">
        <v>46.788499999999999</v>
      </c>
      <c r="L2614" s="7">
        <v>-71.282399999999996</v>
      </c>
      <c r="M2614" s="10" t="str">
        <f t="shared" si="245"/>
        <v>C39</v>
      </c>
      <c r="N2614" s="10" t="str">
        <f t="shared" si="246"/>
        <v>C78</v>
      </c>
      <c r="O2614" s="5">
        <f t="shared" si="247"/>
        <v>3.1908922586292716</v>
      </c>
      <c r="P2614" s="22">
        <f>O2614/Explications!$C$8</f>
        <v>0.10636307528764238</v>
      </c>
      <c r="Q2614" s="7" t="str">
        <f t="shared" si="248"/>
        <v>C78</v>
      </c>
      <c r="R2614" s="7" t="str">
        <f t="shared" si="249"/>
        <v>C39</v>
      </c>
      <c r="S2614" s="18">
        <f t="shared" si="250"/>
        <v>3.1908922586292716</v>
      </c>
      <c r="T2614" s="18">
        <f>S2614/Explications!$C$8</f>
        <v>0.10636307528764238</v>
      </c>
    </row>
    <row r="2615" spans="7:20">
      <c r="G2615" s="7" t="s">
        <v>55</v>
      </c>
      <c r="H2615" s="7" t="s">
        <v>95</v>
      </c>
      <c r="I2615" s="7">
        <v>46.8155</v>
      </c>
      <c r="J2615" s="7">
        <v>-71.268199999999993</v>
      </c>
      <c r="K2615" s="7">
        <v>46.840699999999998</v>
      </c>
      <c r="L2615" s="7">
        <v>-71.325400000000002</v>
      </c>
      <c r="M2615" s="10" t="str">
        <f t="shared" si="245"/>
        <v>C39</v>
      </c>
      <c r="N2615" s="10" t="str">
        <f t="shared" si="246"/>
        <v>C79</v>
      </c>
      <c r="O2615" s="5">
        <f t="shared" si="247"/>
        <v>5.1758080834487172</v>
      </c>
      <c r="P2615" s="22">
        <f>O2615/Explications!$C$8</f>
        <v>0.17252693611495723</v>
      </c>
      <c r="Q2615" s="7" t="str">
        <f t="shared" si="248"/>
        <v>C79</v>
      </c>
      <c r="R2615" s="7" t="str">
        <f t="shared" si="249"/>
        <v>C39</v>
      </c>
      <c r="S2615" s="18">
        <f t="shared" si="250"/>
        <v>5.1758080834487172</v>
      </c>
      <c r="T2615" s="18">
        <f>S2615/Explications!$C$8</f>
        <v>0.17252693611495723</v>
      </c>
    </row>
    <row r="2616" spans="7:20">
      <c r="G2616" s="7" t="s">
        <v>55</v>
      </c>
      <c r="H2616" s="7" t="s">
        <v>96</v>
      </c>
      <c r="I2616" s="7">
        <v>46.8155</v>
      </c>
      <c r="J2616" s="7">
        <v>-71.268199999999993</v>
      </c>
      <c r="K2616" s="7">
        <v>46.798400000000001</v>
      </c>
      <c r="L2616" s="7">
        <v>-71.183199999999999</v>
      </c>
      <c r="M2616" s="10" t="str">
        <f t="shared" si="245"/>
        <v>C39</v>
      </c>
      <c r="N2616" s="10" t="str">
        <f t="shared" si="246"/>
        <v>C80</v>
      </c>
      <c r="O2616" s="5">
        <f t="shared" si="247"/>
        <v>6.7428553534481086</v>
      </c>
      <c r="P2616" s="22">
        <f>O2616/Explications!$C$8</f>
        <v>0.22476184511493696</v>
      </c>
      <c r="Q2616" s="7" t="str">
        <f t="shared" si="248"/>
        <v>C80</v>
      </c>
      <c r="R2616" s="7" t="str">
        <f t="shared" si="249"/>
        <v>C39</v>
      </c>
      <c r="S2616" s="18">
        <f t="shared" si="250"/>
        <v>6.7428553534481086</v>
      </c>
      <c r="T2616" s="18">
        <f>S2616/Explications!$C$8</f>
        <v>0.22476184511493696</v>
      </c>
    </row>
    <row r="2617" spans="7:20">
      <c r="G2617" s="7" t="s">
        <v>55</v>
      </c>
      <c r="H2617" s="7" t="s">
        <v>97</v>
      </c>
      <c r="I2617" s="7">
        <v>46.8155</v>
      </c>
      <c r="J2617" s="7">
        <v>-71.268199999999993</v>
      </c>
      <c r="K2617" s="7">
        <v>46.724800000000002</v>
      </c>
      <c r="L2617" s="7">
        <v>-71.2988</v>
      </c>
      <c r="M2617" s="10" t="str">
        <f t="shared" si="245"/>
        <v>C39</v>
      </c>
      <c r="N2617" s="10" t="str">
        <f t="shared" si="246"/>
        <v>C81</v>
      </c>
      <c r="O2617" s="5">
        <f t="shared" si="247"/>
        <v>10.351142353139478</v>
      </c>
      <c r="P2617" s="22">
        <f>O2617/Explications!$C$8</f>
        <v>0.34503807843798262</v>
      </c>
      <c r="Q2617" s="7" t="str">
        <f t="shared" si="248"/>
        <v>C81</v>
      </c>
      <c r="R2617" s="7" t="str">
        <f t="shared" si="249"/>
        <v>C39</v>
      </c>
      <c r="S2617" s="18">
        <f t="shared" si="250"/>
        <v>10.351142353139478</v>
      </c>
      <c r="T2617" s="18">
        <f>S2617/Explications!$C$8</f>
        <v>0.34503807843798262</v>
      </c>
    </row>
    <row r="2618" spans="7:20">
      <c r="G2618" s="7" t="s">
        <v>55</v>
      </c>
      <c r="H2618" s="7" t="s">
        <v>98</v>
      </c>
      <c r="I2618" s="7">
        <v>46.8155</v>
      </c>
      <c r="J2618" s="7">
        <v>-71.268199999999993</v>
      </c>
      <c r="K2618" s="7">
        <v>46.795499999999997</v>
      </c>
      <c r="L2618" s="7">
        <v>-71.242900000000006</v>
      </c>
      <c r="M2618" s="10" t="str">
        <f t="shared" si="245"/>
        <v>C39</v>
      </c>
      <c r="N2618" s="10" t="str">
        <f t="shared" si="246"/>
        <v>C82</v>
      </c>
      <c r="O2618" s="5">
        <f t="shared" si="247"/>
        <v>2.9417055895077056</v>
      </c>
      <c r="P2618" s="22">
        <f>O2618/Explications!$C$8</f>
        <v>9.8056852983590181E-2</v>
      </c>
      <c r="Q2618" s="7" t="str">
        <f t="shared" si="248"/>
        <v>C82</v>
      </c>
      <c r="R2618" s="7" t="str">
        <f t="shared" si="249"/>
        <v>C39</v>
      </c>
      <c r="S2618" s="18">
        <f t="shared" si="250"/>
        <v>2.9417055895077056</v>
      </c>
      <c r="T2618" s="18">
        <f>S2618/Explications!$C$8</f>
        <v>9.8056852983590181E-2</v>
      </c>
    </row>
    <row r="2619" spans="7:20">
      <c r="G2619" s="7" t="s">
        <v>55</v>
      </c>
      <c r="H2619" s="7" t="s">
        <v>99</v>
      </c>
      <c r="I2619" s="7">
        <v>46.8155</v>
      </c>
      <c r="J2619" s="7">
        <v>-71.268199999999993</v>
      </c>
      <c r="K2619" s="7">
        <v>46.8157</v>
      </c>
      <c r="L2619" s="7">
        <v>-71.201899999999995</v>
      </c>
      <c r="M2619" s="10" t="str">
        <f t="shared" si="245"/>
        <v>C39</v>
      </c>
      <c r="N2619" s="10" t="str">
        <f t="shared" si="246"/>
        <v>C83</v>
      </c>
      <c r="O2619" s="5">
        <f t="shared" si="247"/>
        <v>5.0452198130697319</v>
      </c>
      <c r="P2619" s="22">
        <f>O2619/Explications!$C$8</f>
        <v>0.16817399376899106</v>
      </c>
      <c r="Q2619" s="7" t="str">
        <f t="shared" si="248"/>
        <v>C83</v>
      </c>
      <c r="R2619" s="7" t="str">
        <f t="shared" si="249"/>
        <v>C39</v>
      </c>
      <c r="S2619" s="18">
        <f t="shared" si="250"/>
        <v>5.0452198130697319</v>
      </c>
      <c r="T2619" s="18">
        <f>S2619/Explications!$C$8</f>
        <v>0.16817399376899106</v>
      </c>
    </row>
    <row r="2620" spans="7:20">
      <c r="G2620" s="7" t="s">
        <v>55</v>
      </c>
      <c r="H2620" s="7" t="s">
        <v>100</v>
      </c>
      <c r="I2620" s="7">
        <v>46.8155</v>
      </c>
      <c r="J2620" s="7">
        <v>-71.268199999999993</v>
      </c>
      <c r="K2620" s="7">
        <v>46.837600000000002</v>
      </c>
      <c r="L2620" s="7">
        <v>-71.196299999999994</v>
      </c>
      <c r="M2620" s="10" t="str">
        <f t="shared" si="245"/>
        <v>C39</v>
      </c>
      <c r="N2620" s="10" t="str">
        <f t="shared" si="246"/>
        <v>C84</v>
      </c>
      <c r="O2620" s="5">
        <f t="shared" si="247"/>
        <v>5.9968226270874991</v>
      </c>
      <c r="P2620" s="22">
        <f>O2620/Explications!$C$8</f>
        <v>0.1998940875695833</v>
      </c>
      <c r="Q2620" s="7" t="str">
        <f t="shared" si="248"/>
        <v>C84</v>
      </c>
      <c r="R2620" s="7" t="str">
        <f t="shared" si="249"/>
        <v>C39</v>
      </c>
      <c r="S2620" s="18">
        <f t="shared" si="250"/>
        <v>5.9968226270874991</v>
      </c>
      <c r="T2620" s="18">
        <f>S2620/Explications!$C$8</f>
        <v>0.1998940875695833</v>
      </c>
    </row>
    <row r="2621" spans="7:20">
      <c r="G2621" s="7" t="s">
        <v>55</v>
      </c>
      <c r="H2621" s="7" t="s">
        <v>101</v>
      </c>
      <c r="I2621" s="7">
        <v>46.8155</v>
      </c>
      <c r="J2621" s="7">
        <v>-71.268199999999993</v>
      </c>
      <c r="K2621" s="7">
        <v>46.7988</v>
      </c>
      <c r="L2621" s="7">
        <v>-71.318200000000004</v>
      </c>
      <c r="M2621" s="10" t="str">
        <f t="shared" si="245"/>
        <v>C39</v>
      </c>
      <c r="N2621" s="10" t="str">
        <f t="shared" si="246"/>
        <v>C85</v>
      </c>
      <c r="O2621" s="5">
        <f t="shared" si="247"/>
        <v>4.2343086672154344</v>
      </c>
      <c r="P2621" s="22">
        <f>O2621/Explications!$C$8</f>
        <v>0.14114362224051449</v>
      </c>
      <c r="Q2621" s="7" t="str">
        <f t="shared" si="248"/>
        <v>C85</v>
      </c>
      <c r="R2621" s="7" t="str">
        <f t="shared" si="249"/>
        <v>C39</v>
      </c>
      <c r="S2621" s="18">
        <f t="shared" si="250"/>
        <v>4.2343086672154344</v>
      </c>
      <c r="T2621" s="18">
        <f>S2621/Explications!$C$8</f>
        <v>0.14114362224051449</v>
      </c>
    </row>
    <row r="2622" spans="7:20">
      <c r="G2622" s="7" t="s">
        <v>56</v>
      </c>
      <c r="H2622" s="7" t="s">
        <v>57</v>
      </c>
      <c r="I2622" s="7">
        <v>46.866700000000002</v>
      </c>
      <c r="J2622" s="7">
        <v>-71.215900000000005</v>
      </c>
      <c r="K2622" s="7">
        <v>46.762099999999997</v>
      </c>
      <c r="L2622" s="7">
        <v>-71.235399999999998</v>
      </c>
      <c r="M2622" s="10" t="str">
        <f t="shared" si="245"/>
        <v>C40</v>
      </c>
      <c r="N2622" s="10" t="str">
        <f t="shared" si="246"/>
        <v>C41</v>
      </c>
      <c r="O2622" s="5">
        <f t="shared" si="247"/>
        <v>11.725267151113822</v>
      </c>
      <c r="P2622" s="22">
        <f>O2622/Explications!$C$8</f>
        <v>0.39084223837046073</v>
      </c>
      <c r="Q2622" s="7" t="str">
        <f t="shared" si="248"/>
        <v>C41</v>
      </c>
      <c r="R2622" s="7" t="str">
        <f t="shared" si="249"/>
        <v>C40</v>
      </c>
      <c r="S2622" s="18">
        <f t="shared" si="250"/>
        <v>11.725267151113822</v>
      </c>
      <c r="T2622" s="18">
        <f>S2622/Explications!$C$8</f>
        <v>0.39084223837046073</v>
      </c>
    </row>
    <row r="2623" spans="7:20">
      <c r="G2623" s="7" t="s">
        <v>56</v>
      </c>
      <c r="H2623" s="7" t="s">
        <v>58</v>
      </c>
      <c r="I2623" s="7">
        <v>46.866700000000002</v>
      </c>
      <c r="J2623" s="7">
        <v>-71.215900000000005</v>
      </c>
      <c r="K2623" s="7">
        <v>46.8157</v>
      </c>
      <c r="L2623" s="7">
        <v>-71.2042</v>
      </c>
      <c r="M2623" s="10" t="str">
        <f t="shared" si="245"/>
        <v>C40</v>
      </c>
      <c r="N2623" s="10" t="str">
        <f t="shared" si="246"/>
        <v>C42</v>
      </c>
      <c r="O2623" s="5">
        <f t="shared" si="247"/>
        <v>5.7403394641036716</v>
      </c>
      <c r="P2623" s="22">
        <f>O2623/Explications!$C$8</f>
        <v>0.19134464880345572</v>
      </c>
      <c r="Q2623" s="7" t="str">
        <f t="shared" si="248"/>
        <v>C42</v>
      </c>
      <c r="R2623" s="7" t="str">
        <f t="shared" si="249"/>
        <v>C40</v>
      </c>
      <c r="S2623" s="18">
        <f t="shared" si="250"/>
        <v>5.7403394641036716</v>
      </c>
      <c r="T2623" s="18">
        <f>S2623/Explications!$C$8</f>
        <v>0.19134464880345572</v>
      </c>
    </row>
    <row r="2624" spans="7:20">
      <c r="G2624" s="7" t="s">
        <v>56</v>
      </c>
      <c r="H2624" s="7" t="s">
        <v>59</v>
      </c>
      <c r="I2624" s="7">
        <v>46.866700000000002</v>
      </c>
      <c r="J2624" s="7">
        <v>-71.215900000000005</v>
      </c>
      <c r="K2624" s="7">
        <v>46.707000000000001</v>
      </c>
      <c r="L2624" s="7">
        <v>-71.217100000000002</v>
      </c>
      <c r="M2624" s="10" t="str">
        <f t="shared" si="245"/>
        <v>C40</v>
      </c>
      <c r="N2624" s="10" t="str">
        <f t="shared" si="246"/>
        <v>C43</v>
      </c>
      <c r="O2624" s="5">
        <f t="shared" si="247"/>
        <v>17.758064817148323</v>
      </c>
      <c r="P2624" s="22">
        <f>O2624/Explications!$C$8</f>
        <v>0.59193549390494415</v>
      </c>
      <c r="Q2624" s="7" t="str">
        <f t="shared" si="248"/>
        <v>C43</v>
      </c>
      <c r="R2624" s="7" t="str">
        <f t="shared" si="249"/>
        <v>C40</v>
      </c>
      <c r="S2624" s="18">
        <f t="shared" si="250"/>
        <v>17.758064817148323</v>
      </c>
      <c r="T2624" s="18">
        <f>S2624/Explications!$C$8</f>
        <v>0.59193549390494415</v>
      </c>
    </row>
    <row r="2625" spans="7:20">
      <c r="G2625" s="7" t="s">
        <v>56</v>
      </c>
      <c r="H2625" s="7" t="s">
        <v>60</v>
      </c>
      <c r="I2625" s="7">
        <v>46.866700000000002</v>
      </c>
      <c r="J2625" s="7">
        <v>-71.215900000000005</v>
      </c>
      <c r="K2625" s="7">
        <v>46.802900000000001</v>
      </c>
      <c r="L2625" s="7">
        <v>-71.228899999999996</v>
      </c>
      <c r="M2625" s="10" t="str">
        <f t="shared" si="245"/>
        <v>C40</v>
      </c>
      <c r="N2625" s="10" t="str">
        <f t="shared" si="246"/>
        <v>C44</v>
      </c>
      <c r="O2625" s="5">
        <f t="shared" si="247"/>
        <v>7.162827912313797</v>
      </c>
      <c r="P2625" s="22">
        <f>O2625/Explications!$C$8</f>
        <v>0.2387609304104599</v>
      </c>
      <c r="Q2625" s="7" t="str">
        <f t="shared" si="248"/>
        <v>C44</v>
      </c>
      <c r="R2625" s="7" t="str">
        <f t="shared" si="249"/>
        <v>C40</v>
      </c>
      <c r="S2625" s="18">
        <f t="shared" si="250"/>
        <v>7.162827912313797</v>
      </c>
      <c r="T2625" s="18">
        <f>S2625/Explications!$C$8</f>
        <v>0.2387609304104599</v>
      </c>
    </row>
    <row r="2626" spans="7:20">
      <c r="G2626" s="7" t="s">
        <v>56</v>
      </c>
      <c r="H2626" s="7" t="s">
        <v>61</v>
      </c>
      <c r="I2626" s="7">
        <v>46.866700000000002</v>
      </c>
      <c r="J2626" s="7">
        <v>-71.215900000000005</v>
      </c>
      <c r="K2626" s="7">
        <v>46.796900000000001</v>
      </c>
      <c r="L2626" s="7">
        <v>-71.3078</v>
      </c>
      <c r="M2626" s="10" t="str">
        <f t="shared" si="245"/>
        <v>C40</v>
      </c>
      <c r="N2626" s="10" t="str">
        <f t="shared" si="246"/>
        <v>C45</v>
      </c>
      <c r="O2626" s="5">
        <f t="shared" si="247"/>
        <v>10.445822242133508</v>
      </c>
      <c r="P2626" s="22">
        <f>O2626/Explications!$C$8</f>
        <v>0.34819407473778358</v>
      </c>
      <c r="Q2626" s="7" t="str">
        <f t="shared" si="248"/>
        <v>C45</v>
      </c>
      <c r="R2626" s="7" t="str">
        <f t="shared" si="249"/>
        <v>C40</v>
      </c>
      <c r="S2626" s="18">
        <f t="shared" si="250"/>
        <v>10.445822242133508</v>
      </c>
      <c r="T2626" s="18">
        <f>S2626/Explications!$C$8</f>
        <v>0.34819407473778358</v>
      </c>
    </row>
    <row r="2627" spans="7:20">
      <c r="G2627" s="7" t="s">
        <v>56</v>
      </c>
      <c r="H2627" s="7" t="s">
        <v>62</v>
      </c>
      <c r="I2627" s="7">
        <v>46.866700000000002</v>
      </c>
      <c r="J2627" s="7">
        <v>-71.215900000000005</v>
      </c>
      <c r="K2627" s="7">
        <v>46.803600000000003</v>
      </c>
      <c r="L2627" s="7">
        <v>-71.231099999999998</v>
      </c>
      <c r="M2627" s="10" t="str">
        <f t="shared" si="245"/>
        <v>C40</v>
      </c>
      <c r="N2627" s="10" t="str">
        <f t="shared" si="246"/>
        <v>C46</v>
      </c>
      <c r="O2627" s="5">
        <f t="shared" si="247"/>
        <v>7.1110306972978163</v>
      </c>
      <c r="P2627" s="22">
        <f>O2627/Explications!$C$8</f>
        <v>0.23703435657659389</v>
      </c>
      <c r="Q2627" s="7" t="str">
        <f t="shared" si="248"/>
        <v>C46</v>
      </c>
      <c r="R2627" s="7" t="str">
        <f t="shared" si="249"/>
        <v>C40</v>
      </c>
      <c r="S2627" s="18">
        <f t="shared" si="250"/>
        <v>7.1110306972978163</v>
      </c>
      <c r="T2627" s="18">
        <f>S2627/Explications!$C$8</f>
        <v>0.23703435657659389</v>
      </c>
    </row>
    <row r="2628" spans="7:20">
      <c r="G2628" s="7" t="s">
        <v>56</v>
      </c>
      <c r="H2628" s="7" t="s">
        <v>63</v>
      </c>
      <c r="I2628" s="7">
        <v>46.866700000000002</v>
      </c>
      <c r="J2628" s="7">
        <v>-71.215900000000005</v>
      </c>
      <c r="K2628" s="7">
        <v>46.802399999999999</v>
      </c>
      <c r="L2628" s="7">
        <v>-71.269800000000004</v>
      </c>
      <c r="M2628" s="10" t="str">
        <f t="shared" ref="M2628:M2691" si="251">G2628</f>
        <v>C40</v>
      </c>
      <c r="N2628" s="10" t="str">
        <f t="shared" ref="N2628:N2691" si="252">H2628</f>
        <v>C47</v>
      </c>
      <c r="O2628" s="5">
        <f t="shared" ref="O2628:O2691" si="253">ACOS(SIN(RADIANS(I2628))*SIN(RADIANS(K2628))+COS(RADIANS(I2628))*COS(RADIANS(K2628))*COS(RADIANS(J2628-L2628)))*6371</f>
        <v>8.2420393021564404</v>
      </c>
      <c r="P2628" s="22">
        <f>O2628/Explications!$C$8</f>
        <v>0.2747346434052147</v>
      </c>
      <c r="Q2628" s="7" t="str">
        <f t="shared" ref="Q2628:Q2691" si="254">N2628</f>
        <v>C47</v>
      </c>
      <c r="R2628" s="7" t="str">
        <f t="shared" ref="R2628:R2691" si="255">M2628</f>
        <v>C40</v>
      </c>
      <c r="S2628" s="18">
        <f t="shared" ref="S2628:S2691" si="256">O2628</f>
        <v>8.2420393021564404</v>
      </c>
      <c r="T2628" s="18">
        <f>S2628/Explications!$C$8</f>
        <v>0.2747346434052147</v>
      </c>
    </row>
    <row r="2629" spans="7:20">
      <c r="G2629" s="7" t="s">
        <v>56</v>
      </c>
      <c r="H2629" s="7" t="s">
        <v>64</v>
      </c>
      <c r="I2629" s="7">
        <v>46.866700000000002</v>
      </c>
      <c r="J2629" s="7">
        <v>-71.215900000000005</v>
      </c>
      <c r="K2629" s="7">
        <v>46.826799999999999</v>
      </c>
      <c r="L2629" s="7">
        <v>-71.224199999999996</v>
      </c>
      <c r="M2629" s="10" t="str">
        <f t="shared" si="251"/>
        <v>C40</v>
      </c>
      <c r="N2629" s="10" t="str">
        <f t="shared" si="252"/>
        <v>C48</v>
      </c>
      <c r="O2629" s="5">
        <f t="shared" si="253"/>
        <v>4.4813570665859341</v>
      </c>
      <c r="P2629" s="22">
        <f>O2629/Explications!$C$8</f>
        <v>0.1493785688861978</v>
      </c>
      <c r="Q2629" s="7" t="str">
        <f t="shared" si="254"/>
        <v>C48</v>
      </c>
      <c r="R2629" s="7" t="str">
        <f t="shared" si="255"/>
        <v>C40</v>
      </c>
      <c r="S2629" s="18">
        <f t="shared" si="256"/>
        <v>4.4813570665859341</v>
      </c>
      <c r="T2629" s="18">
        <f>S2629/Explications!$C$8</f>
        <v>0.1493785688861978</v>
      </c>
    </row>
    <row r="2630" spans="7:20">
      <c r="G2630" s="7" t="s">
        <v>56</v>
      </c>
      <c r="H2630" s="7" t="s">
        <v>65</v>
      </c>
      <c r="I2630" s="7">
        <v>46.866700000000002</v>
      </c>
      <c r="J2630" s="7">
        <v>-71.215900000000005</v>
      </c>
      <c r="K2630" s="7">
        <v>46.864100000000001</v>
      </c>
      <c r="L2630" s="7">
        <v>-71.255499999999998</v>
      </c>
      <c r="M2630" s="10" t="str">
        <f t="shared" si="251"/>
        <v>C40</v>
      </c>
      <c r="N2630" s="10" t="str">
        <f t="shared" si="252"/>
        <v>C49</v>
      </c>
      <c r="O2630" s="5">
        <f t="shared" si="253"/>
        <v>3.0244629355369406</v>
      </c>
      <c r="P2630" s="22">
        <f>O2630/Explications!$C$8</f>
        <v>0.10081543118456468</v>
      </c>
      <c r="Q2630" s="7" t="str">
        <f t="shared" si="254"/>
        <v>C49</v>
      </c>
      <c r="R2630" s="7" t="str">
        <f t="shared" si="255"/>
        <v>C40</v>
      </c>
      <c r="S2630" s="18">
        <f t="shared" si="256"/>
        <v>3.0244629355369406</v>
      </c>
      <c r="T2630" s="18">
        <f>S2630/Explications!$C$8</f>
        <v>0.10081543118456468</v>
      </c>
    </row>
    <row r="2631" spans="7:20">
      <c r="G2631" s="7" t="s">
        <v>56</v>
      </c>
      <c r="H2631" s="7" t="s">
        <v>66</v>
      </c>
      <c r="I2631" s="7">
        <v>46.866700000000002</v>
      </c>
      <c r="J2631" s="7">
        <v>-71.215900000000005</v>
      </c>
      <c r="K2631" s="7">
        <v>46.843800000000002</v>
      </c>
      <c r="L2631" s="7">
        <v>-71.247299999999996</v>
      </c>
      <c r="M2631" s="10" t="str">
        <f t="shared" si="251"/>
        <v>C40</v>
      </c>
      <c r="N2631" s="10" t="str">
        <f t="shared" si="252"/>
        <v>C50</v>
      </c>
      <c r="O2631" s="5">
        <f t="shared" si="253"/>
        <v>3.4906825171800948</v>
      </c>
      <c r="P2631" s="22">
        <f>O2631/Explications!$C$8</f>
        <v>0.11635608390600316</v>
      </c>
      <c r="Q2631" s="7" t="str">
        <f t="shared" si="254"/>
        <v>C50</v>
      </c>
      <c r="R2631" s="7" t="str">
        <f t="shared" si="255"/>
        <v>C40</v>
      </c>
      <c r="S2631" s="18">
        <f t="shared" si="256"/>
        <v>3.4906825171800948</v>
      </c>
      <c r="T2631" s="18">
        <f>S2631/Explications!$C$8</f>
        <v>0.11635608390600316</v>
      </c>
    </row>
    <row r="2632" spans="7:20">
      <c r="G2632" s="7" t="s">
        <v>56</v>
      </c>
      <c r="H2632" s="7" t="s">
        <v>67</v>
      </c>
      <c r="I2632" s="7">
        <v>46.866700000000002</v>
      </c>
      <c r="J2632" s="7">
        <v>-71.215900000000005</v>
      </c>
      <c r="K2632" s="7">
        <v>46.765599999999999</v>
      </c>
      <c r="L2632" s="7">
        <v>-71.312100000000001</v>
      </c>
      <c r="M2632" s="10" t="str">
        <f t="shared" si="251"/>
        <v>C40</v>
      </c>
      <c r="N2632" s="10" t="str">
        <f t="shared" si="252"/>
        <v>C51</v>
      </c>
      <c r="O2632" s="5">
        <f t="shared" si="253"/>
        <v>13.415139376977313</v>
      </c>
      <c r="P2632" s="22">
        <f>O2632/Explications!$C$8</f>
        <v>0.44717131256591042</v>
      </c>
      <c r="Q2632" s="7" t="str">
        <f t="shared" si="254"/>
        <v>C51</v>
      </c>
      <c r="R2632" s="7" t="str">
        <f t="shared" si="255"/>
        <v>C40</v>
      </c>
      <c r="S2632" s="18">
        <f t="shared" si="256"/>
        <v>13.415139376977313</v>
      </c>
      <c r="T2632" s="18">
        <f>S2632/Explications!$C$8</f>
        <v>0.44717131256591042</v>
      </c>
    </row>
    <row r="2633" spans="7:20">
      <c r="G2633" s="7" t="s">
        <v>56</v>
      </c>
      <c r="H2633" s="7" t="s">
        <v>68</v>
      </c>
      <c r="I2633" s="7">
        <v>46.866700000000002</v>
      </c>
      <c r="J2633" s="7">
        <v>-71.215900000000005</v>
      </c>
      <c r="K2633" s="7">
        <v>46.787599999999998</v>
      </c>
      <c r="L2633" s="7">
        <v>-71.288600000000002</v>
      </c>
      <c r="M2633" s="10" t="str">
        <f t="shared" si="251"/>
        <v>C40</v>
      </c>
      <c r="N2633" s="10" t="str">
        <f t="shared" si="252"/>
        <v>C52</v>
      </c>
      <c r="O2633" s="5">
        <f t="shared" si="253"/>
        <v>10.390046200831559</v>
      </c>
      <c r="P2633" s="22">
        <f>O2633/Explications!$C$8</f>
        <v>0.34633487336105195</v>
      </c>
      <c r="Q2633" s="7" t="str">
        <f t="shared" si="254"/>
        <v>C52</v>
      </c>
      <c r="R2633" s="7" t="str">
        <f t="shared" si="255"/>
        <v>C40</v>
      </c>
      <c r="S2633" s="18">
        <f t="shared" si="256"/>
        <v>10.390046200831559</v>
      </c>
      <c r="T2633" s="18">
        <f>S2633/Explications!$C$8</f>
        <v>0.34633487336105195</v>
      </c>
    </row>
    <row r="2634" spans="7:20">
      <c r="G2634" s="7" t="s">
        <v>56</v>
      </c>
      <c r="H2634" s="7" t="s">
        <v>69</v>
      </c>
      <c r="I2634" s="7">
        <v>46.866700000000002</v>
      </c>
      <c r="J2634" s="7">
        <v>-71.215900000000005</v>
      </c>
      <c r="K2634" s="7">
        <v>46.764600000000002</v>
      </c>
      <c r="L2634" s="7">
        <v>-71.308300000000003</v>
      </c>
      <c r="M2634" s="10" t="str">
        <f t="shared" si="251"/>
        <v>C40</v>
      </c>
      <c r="N2634" s="10" t="str">
        <f t="shared" si="252"/>
        <v>C53</v>
      </c>
      <c r="O2634" s="5">
        <f t="shared" si="253"/>
        <v>13.354002520724439</v>
      </c>
      <c r="P2634" s="22">
        <f>O2634/Explications!$C$8</f>
        <v>0.4451334173574813</v>
      </c>
      <c r="Q2634" s="7" t="str">
        <f t="shared" si="254"/>
        <v>C53</v>
      </c>
      <c r="R2634" s="7" t="str">
        <f t="shared" si="255"/>
        <v>C40</v>
      </c>
      <c r="S2634" s="18">
        <f t="shared" si="256"/>
        <v>13.354002520724439</v>
      </c>
      <c r="T2634" s="18">
        <f>S2634/Explications!$C$8</f>
        <v>0.4451334173574813</v>
      </c>
    </row>
    <row r="2635" spans="7:20">
      <c r="G2635" s="7" t="s">
        <v>56</v>
      </c>
      <c r="H2635" s="7" t="s">
        <v>70</v>
      </c>
      <c r="I2635" s="7">
        <v>46.866700000000002</v>
      </c>
      <c r="J2635" s="7">
        <v>-71.215900000000005</v>
      </c>
      <c r="K2635" s="7">
        <v>46.849699999999999</v>
      </c>
      <c r="L2635" s="7">
        <v>-71.097399999999993</v>
      </c>
      <c r="M2635" s="10" t="str">
        <f t="shared" si="251"/>
        <v>C40</v>
      </c>
      <c r="N2635" s="10" t="str">
        <f t="shared" si="252"/>
        <v>C54</v>
      </c>
      <c r="O2635" s="5">
        <f t="shared" si="253"/>
        <v>9.2063951235647785</v>
      </c>
      <c r="P2635" s="22">
        <f>O2635/Explications!$C$8</f>
        <v>0.3068798374521593</v>
      </c>
      <c r="Q2635" s="7" t="str">
        <f t="shared" si="254"/>
        <v>C54</v>
      </c>
      <c r="R2635" s="7" t="str">
        <f t="shared" si="255"/>
        <v>C40</v>
      </c>
      <c r="S2635" s="18">
        <f t="shared" si="256"/>
        <v>9.2063951235647785</v>
      </c>
      <c r="T2635" s="18">
        <f>S2635/Explications!$C$8</f>
        <v>0.3068798374521593</v>
      </c>
    </row>
    <row r="2636" spans="7:20">
      <c r="G2636" s="7" t="s">
        <v>56</v>
      </c>
      <c r="H2636" s="7" t="s">
        <v>71</v>
      </c>
      <c r="I2636" s="7">
        <v>46.866700000000002</v>
      </c>
      <c r="J2636" s="7">
        <v>-71.215900000000005</v>
      </c>
      <c r="K2636" s="7">
        <v>46.788899999999998</v>
      </c>
      <c r="L2636" s="7">
        <v>-71.321399999999997</v>
      </c>
      <c r="M2636" s="10" t="str">
        <f t="shared" si="251"/>
        <v>C40</v>
      </c>
      <c r="N2636" s="10" t="str">
        <f t="shared" si="252"/>
        <v>C55</v>
      </c>
      <c r="O2636" s="5">
        <f t="shared" si="253"/>
        <v>11.800885546235147</v>
      </c>
      <c r="P2636" s="22">
        <f>O2636/Explications!$C$8</f>
        <v>0.39336285154117157</v>
      </c>
      <c r="Q2636" s="7" t="str">
        <f t="shared" si="254"/>
        <v>C55</v>
      </c>
      <c r="R2636" s="7" t="str">
        <f t="shared" si="255"/>
        <v>C40</v>
      </c>
      <c r="S2636" s="18">
        <f t="shared" si="256"/>
        <v>11.800885546235147</v>
      </c>
      <c r="T2636" s="18">
        <f>S2636/Explications!$C$8</f>
        <v>0.39336285154117157</v>
      </c>
    </row>
    <row r="2637" spans="7:20">
      <c r="G2637" s="7" t="s">
        <v>56</v>
      </c>
      <c r="H2637" s="7" t="s">
        <v>72</v>
      </c>
      <c r="I2637" s="7">
        <v>46.866700000000002</v>
      </c>
      <c r="J2637" s="7">
        <v>-71.215900000000005</v>
      </c>
      <c r="K2637" s="7">
        <v>46.795400000000001</v>
      </c>
      <c r="L2637" s="7">
        <v>-71.232600000000005</v>
      </c>
      <c r="M2637" s="10" t="str">
        <f t="shared" si="251"/>
        <v>C40</v>
      </c>
      <c r="N2637" s="10" t="str">
        <f t="shared" si="252"/>
        <v>C56</v>
      </c>
      <c r="O2637" s="5">
        <f t="shared" si="253"/>
        <v>8.0293426656628508</v>
      </c>
      <c r="P2637" s="22">
        <f>O2637/Explications!$C$8</f>
        <v>0.26764475552209505</v>
      </c>
      <c r="Q2637" s="7" t="str">
        <f t="shared" si="254"/>
        <v>C56</v>
      </c>
      <c r="R2637" s="7" t="str">
        <f t="shared" si="255"/>
        <v>C40</v>
      </c>
      <c r="S2637" s="18">
        <f t="shared" si="256"/>
        <v>8.0293426656628508</v>
      </c>
      <c r="T2637" s="18">
        <f>S2637/Explications!$C$8</f>
        <v>0.26764475552209505</v>
      </c>
    </row>
    <row r="2638" spans="7:20">
      <c r="G2638" s="7" t="s">
        <v>56</v>
      </c>
      <c r="H2638" s="7" t="s">
        <v>73</v>
      </c>
      <c r="I2638" s="7">
        <v>46.866700000000002</v>
      </c>
      <c r="J2638" s="7">
        <v>-71.215900000000005</v>
      </c>
      <c r="K2638" s="7">
        <v>46.801200000000001</v>
      </c>
      <c r="L2638" s="7">
        <v>-71.224999999999994</v>
      </c>
      <c r="M2638" s="10" t="str">
        <f t="shared" si="251"/>
        <v>C40</v>
      </c>
      <c r="N2638" s="10" t="str">
        <f t="shared" si="252"/>
        <v>C57</v>
      </c>
      <c r="O2638" s="5">
        <f t="shared" si="253"/>
        <v>7.3160906011233475</v>
      </c>
      <c r="P2638" s="22">
        <f>O2638/Explications!$C$8</f>
        <v>0.24386968670411158</v>
      </c>
      <c r="Q2638" s="7" t="str">
        <f t="shared" si="254"/>
        <v>C57</v>
      </c>
      <c r="R2638" s="7" t="str">
        <f t="shared" si="255"/>
        <v>C40</v>
      </c>
      <c r="S2638" s="18">
        <f t="shared" si="256"/>
        <v>7.3160906011233475</v>
      </c>
      <c r="T2638" s="18">
        <f>S2638/Explications!$C$8</f>
        <v>0.24386968670411158</v>
      </c>
    </row>
    <row r="2639" spans="7:20">
      <c r="G2639" s="7" t="s">
        <v>56</v>
      </c>
      <c r="H2639" s="7" t="s">
        <v>74</v>
      </c>
      <c r="I2639" s="7">
        <v>46.866700000000002</v>
      </c>
      <c r="J2639" s="7">
        <v>-71.215900000000005</v>
      </c>
      <c r="K2639" s="7">
        <v>46.773200000000003</v>
      </c>
      <c r="L2639" s="7">
        <v>-71.275899999999993</v>
      </c>
      <c r="M2639" s="10" t="str">
        <f t="shared" si="251"/>
        <v>C40</v>
      </c>
      <c r="N2639" s="10" t="str">
        <f t="shared" si="252"/>
        <v>C58</v>
      </c>
      <c r="O2639" s="5">
        <f t="shared" si="253"/>
        <v>11.35494276751462</v>
      </c>
      <c r="P2639" s="22">
        <f>O2639/Explications!$C$8</f>
        <v>0.37849809225048736</v>
      </c>
      <c r="Q2639" s="7" t="str">
        <f t="shared" si="254"/>
        <v>C58</v>
      </c>
      <c r="R2639" s="7" t="str">
        <f t="shared" si="255"/>
        <v>C40</v>
      </c>
      <c r="S2639" s="18">
        <f t="shared" si="256"/>
        <v>11.35494276751462</v>
      </c>
      <c r="T2639" s="18">
        <f>S2639/Explications!$C$8</f>
        <v>0.37849809225048736</v>
      </c>
    </row>
    <row r="2640" spans="7:20">
      <c r="G2640" s="7" t="s">
        <v>56</v>
      </c>
      <c r="H2640" s="7" t="s">
        <v>75</v>
      </c>
      <c r="I2640" s="7">
        <v>46.866700000000002</v>
      </c>
      <c r="J2640" s="7">
        <v>-71.215900000000005</v>
      </c>
      <c r="K2640" s="7">
        <v>46.814399999999999</v>
      </c>
      <c r="L2640" s="7">
        <v>-71.225700000000003</v>
      </c>
      <c r="M2640" s="10" t="str">
        <f t="shared" si="251"/>
        <v>C40</v>
      </c>
      <c r="N2640" s="10" t="str">
        <f t="shared" si="252"/>
        <v>C59</v>
      </c>
      <c r="O2640" s="5">
        <f t="shared" si="253"/>
        <v>5.863070241525314</v>
      </c>
      <c r="P2640" s="22">
        <f>O2640/Explications!$C$8</f>
        <v>0.19543567471751047</v>
      </c>
      <c r="Q2640" s="7" t="str">
        <f t="shared" si="254"/>
        <v>C59</v>
      </c>
      <c r="R2640" s="7" t="str">
        <f t="shared" si="255"/>
        <v>C40</v>
      </c>
      <c r="S2640" s="18">
        <f t="shared" si="256"/>
        <v>5.863070241525314</v>
      </c>
      <c r="T2640" s="18">
        <f>S2640/Explications!$C$8</f>
        <v>0.19543567471751047</v>
      </c>
    </row>
    <row r="2641" spans="7:20">
      <c r="G2641" s="7" t="s">
        <v>56</v>
      </c>
      <c r="H2641" s="7" t="s">
        <v>76</v>
      </c>
      <c r="I2641" s="7">
        <v>46.866700000000002</v>
      </c>
      <c r="J2641" s="7">
        <v>-71.215900000000005</v>
      </c>
      <c r="K2641" s="7">
        <v>46.772500000000001</v>
      </c>
      <c r="L2641" s="7">
        <v>-71.276300000000006</v>
      </c>
      <c r="M2641" s="10" t="str">
        <f t="shared" si="251"/>
        <v>C40</v>
      </c>
      <c r="N2641" s="10" t="str">
        <f t="shared" si="252"/>
        <v>C60</v>
      </c>
      <c r="O2641" s="5">
        <f t="shared" si="253"/>
        <v>11.438460449808018</v>
      </c>
      <c r="P2641" s="22">
        <f>O2641/Explications!$C$8</f>
        <v>0.38128201499360059</v>
      </c>
      <c r="Q2641" s="7" t="str">
        <f t="shared" si="254"/>
        <v>C60</v>
      </c>
      <c r="R2641" s="7" t="str">
        <f t="shared" si="255"/>
        <v>C40</v>
      </c>
      <c r="S2641" s="18">
        <f t="shared" si="256"/>
        <v>11.438460449808018</v>
      </c>
      <c r="T2641" s="18">
        <f>S2641/Explications!$C$8</f>
        <v>0.38128201499360059</v>
      </c>
    </row>
    <row r="2642" spans="7:20">
      <c r="G2642" s="7" t="s">
        <v>56</v>
      </c>
      <c r="H2642" s="7" t="s">
        <v>77</v>
      </c>
      <c r="I2642" s="7">
        <v>46.866700000000002</v>
      </c>
      <c r="J2642" s="7">
        <v>-71.215900000000005</v>
      </c>
      <c r="K2642" s="7">
        <v>46.810899999999997</v>
      </c>
      <c r="L2642" s="7">
        <v>-71.215599999999995</v>
      </c>
      <c r="M2642" s="10" t="str">
        <f t="shared" si="251"/>
        <v>C40</v>
      </c>
      <c r="N2642" s="10" t="str">
        <f t="shared" si="252"/>
        <v>C61</v>
      </c>
      <c r="O2642" s="5">
        <f t="shared" si="253"/>
        <v>6.2047188672732849</v>
      </c>
      <c r="P2642" s="22">
        <f>O2642/Explications!$C$8</f>
        <v>0.20682396224244284</v>
      </c>
      <c r="Q2642" s="7" t="str">
        <f t="shared" si="254"/>
        <v>C61</v>
      </c>
      <c r="R2642" s="7" t="str">
        <f t="shared" si="255"/>
        <v>C40</v>
      </c>
      <c r="S2642" s="18">
        <f t="shared" si="256"/>
        <v>6.2047188672732849</v>
      </c>
      <c r="T2642" s="18">
        <f>S2642/Explications!$C$8</f>
        <v>0.20682396224244284</v>
      </c>
    </row>
    <row r="2643" spans="7:20">
      <c r="G2643" s="7" t="s">
        <v>56</v>
      </c>
      <c r="H2643" s="7" t="s">
        <v>78</v>
      </c>
      <c r="I2643" s="7">
        <v>46.866700000000002</v>
      </c>
      <c r="J2643" s="7">
        <v>-71.215900000000005</v>
      </c>
      <c r="K2643" s="7">
        <v>46.795200000000001</v>
      </c>
      <c r="L2643" s="7">
        <v>-71.245099999999994</v>
      </c>
      <c r="M2643" s="10" t="str">
        <f t="shared" si="251"/>
        <v>C40</v>
      </c>
      <c r="N2643" s="10" t="str">
        <f t="shared" si="252"/>
        <v>C62</v>
      </c>
      <c r="O2643" s="5">
        <f t="shared" si="253"/>
        <v>8.254934358613145</v>
      </c>
      <c r="P2643" s="22">
        <f>O2643/Explications!$C$8</f>
        <v>0.27516447862043819</v>
      </c>
      <c r="Q2643" s="7" t="str">
        <f t="shared" si="254"/>
        <v>C62</v>
      </c>
      <c r="R2643" s="7" t="str">
        <f t="shared" si="255"/>
        <v>C40</v>
      </c>
      <c r="S2643" s="18">
        <f t="shared" si="256"/>
        <v>8.254934358613145</v>
      </c>
      <c r="T2643" s="18">
        <f>S2643/Explications!$C$8</f>
        <v>0.27516447862043819</v>
      </c>
    </row>
    <row r="2644" spans="7:20">
      <c r="G2644" s="7" t="s">
        <v>56</v>
      </c>
      <c r="H2644" s="7" t="s">
        <v>79</v>
      </c>
      <c r="I2644" s="7">
        <v>46.866700000000002</v>
      </c>
      <c r="J2644" s="7">
        <v>-71.215900000000005</v>
      </c>
      <c r="K2644" s="7">
        <v>46.822000000000003</v>
      </c>
      <c r="L2644" s="7">
        <v>-71.345699999999994</v>
      </c>
      <c r="M2644" s="10" t="str">
        <f t="shared" si="251"/>
        <v>C40</v>
      </c>
      <c r="N2644" s="10" t="str">
        <f t="shared" si="252"/>
        <v>C63</v>
      </c>
      <c r="O2644" s="5">
        <f t="shared" si="253"/>
        <v>11.052654297893998</v>
      </c>
      <c r="P2644" s="22">
        <f>O2644/Explications!$C$8</f>
        <v>0.36842180992979995</v>
      </c>
      <c r="Q2644" s="7" t="str">
        <f t="shared" si="254"/>
        <v>C63</v>
      </c>
      <c r="R2644" s="7" t="str">
        <f t="shared" si="255"/>
        <v>C40</v>
      </c>
      <c r="S2644" s="18">
        <f t="shared" si="256"/>
        <v>11.052654297893998</v>
      </c>
      <c r="T2644" s="18">
        <f>S2644/Explications!$C$8</f>
        <v>0.36842180992979995</v>
      </c>
    </row>
    <row r="2645" spans="7:20">
      <c r="G2645" s="7" t="s">
        <v>56</v>
      </c>
      <c r="H2645" s="7" t="s">
        <v>80</v>
      </c>
      <c r="I2645" s="7">
        <v>46.866700000000002</v>
      </c>
      <c r="J2645" s="7">
        <v>-71.215900000000005</v>
      </c>
      <c r="K2645" s="7">
        <v>46.779400000000003</v>
      </c>
      <c r="L2645" s="7">
        <v>-71.350399999999993</v>
      </c>
      <c r="M2645" s="10" t="str">
        <f t="shared" si="251"/>
        <v>C40</v>
      </c>
      <c r="N2645" s="10" t="str">
        <f t="shared" si="252"/>
        <v>C64</v>
      </c>
      <c r="O2645" s="5">
        <f t="shared" si="253"/>
        <v>14.10519565038795</v>
      </c>
      <c r="P2645" s="22">
        <f>O2645/Explications!$C$8</f>
        <v>0.47017318834626498</v>
      </c>
      <c r="Q2645" s="7" t="str">
        <f t="shared" si="254"/>
        <v>C64</v>
      </c>
      <c r="R2645" s="7" t="str">
        <f t="shared" si="255"/>
        <v>C40</v>
      </c>
      <c r="S2645" s="18">
        <f t="shared" si="256"/>
        <v>14.10519565038795</v>
      </c>
      <c r="T2645" s="18">
        <f>S2645/Explications!$C$8</f>
        <v>0.47017318834626498</v>
      </c>
    </row>
    <row r="2646" spans="7:20">
      <c r="G2646" s="7" t="s">
        <v>56</v>
      </c>
      <c r="H2646" s="7" t="s">
        <v>81</v>
      </c>
      <c r="I2646" s="7">
        <v>46.866700000000002</v>
      </c>
      <c r="J2646" s="7">
        <v>-71.215900000000005</v>
      </c>
      <c r="K2646" s="7">
        <v>46.772300000000001</v>
      </c>
      <c r="L2646" s="7">
        <v>-71.279799999999994</v>
      </c>
      <c r="M2646" s="10" t="str">
        <f t="shared" si="251"/>
        <v>C40</v>
      </c>
      <c r="N2646" s="10" t="str">
        <f t="shared" si="252"/>
        <v>C65</v>
      </c>
      <c r="O2646" s="5">
        <f t="shared" si="253"/>
        <v>11.568218393638302</v>
      </c>
      <c r="P2646" s="22">
        <f>O2646/Explications!$C$8</f>
        <v>0.3856072797879434</v>
      </c>
      <c r="Q2646" s="7" t="str">
        <f t="shared" si="254"/>
        <v>C65</v>
      </c>
      <c r="R2646" s="7" t="str">
        <f t="shared" si="255"/>
        <v>C40</v>
      </c>
      <c r="S2646" s="18">
        <f t="shared" si="256"/>
        <v>11.568218393638302</v>
      </c>
      <c r="T2646" s="18">
        <f>S2646/Explications!$C$8</f>
        <v>0.3856072797879434</v>
      </c>
    </row>
    <row r="2647" spans="7:20">
      <c r="G2647" s="7" t="s">
        <v>56</v>
      </c>
      <c r="H2647" s="7" t="s">
        <v>82</v>
      </c>
      <c r="I2647" s="7">
        <v>46.866700000000002</v>
      </c>
      <c r="J2647" s="7">
        <v>-71.215900000000005</v>
      </c>
      <c r="K2647" s="7">
        <v>46.814900000000002</v>
      </c>
      <c r="L2647" s="7">
        <v>-71.225200000000001</v>
      </c>
      <c r="M2647" s="10" t="str">
        <f t="shared" si="251"/>
        <v>C40</v>
      </c>
      <c r="N2647" s="10" t="str">
        <f t="shared" si="252"/>
        <v>C66</v>
      </c>
      <c r="O2647" s="5">
        <f t="shared" si="253"/>
        <v>5.8031695248982107</v>
      </c>
      <c r="P2647" s="22">
        <f>O2647/Explications!$C$8</f>
        <v>0.19343898416327368</v>
      </c>
      <c r="Q2647" s="7" t="str">
        <f t="shared" si="254"/>
        <v>C66</v>
      </c>
      <c r="R2647" s="7" t="str">
        <f t="shared" si="255"/>
        <v>C40</v>
      </c>
      <c r="S2647" s="18">
        <f t="shared" si="256"/>
        <v>5.8031695248982107</v>
      </c>
      <c r="T2647" s="18">
        <f>S2647/Explications!$C$8</f>
        <v>0.19343898416327368</v>
      </c>
    </row>
    <row r="2648" spans="7:20">
      <c r="G2648" s="7" t="s">
        <v>56</v>
      </c>
      <c r="H2648" s="7" t="s">
        <v>83</v>
      </c>
      <c r="I2648" s="7">
        <v>46.866700000000002</v>
      </c>
      <c r="J2648" s="7">
        <v>-71.215900000000005</v>
      </c>
      <c r="K2648" s="7">
        <v>46.814700000000002</v>
      </c>
      <c r="L2648" s="7">
        <v>-71.207300000000004</v>
      </c>
      <c r="M2648" s="10" t="str">
        <f t="shared" si="251"/>
        <v>C40</v>
      </c>
      <c r="N2648" s="10" t="str">
        <f t="shared" si="252"/>
        <v>C67</v>
      </c>
      <c r="O2648" s="5">
        <f t="shared" si="253"/>
        <v>5.8190182036871327</v>
      </c>
      <c r="P2648" s="22">
        <f>O2648/Explications!$C$8</f>
        <v>0.19396727345623777</v>
      </c>
      <c r="Q2648" s="7" t="str">
        <f t="shared" si="254"/>
        <v>C67</v>
      </c>
      <c r="R2648" s="7" t="str">
        <f t="shared" si="255"/>
        <v>C40</v>
      </c>
      <c r="S2648" s="18">
        <f t="shared" si="256"/>
        <v>5.8190182036871327</v>
      </c>
      <c r="T2648" s="18">
        <f>S2648/Explications!$C$8</f>
        <v>0.19396727345623777</v>
      </c>
    </row>
    <row r="2649" spans="7:20">
      <c r="G2649" s="7" t="s">
        <v>56</v>
      </c>
      <c r="H2649" s="7" t="s">
        <v>84</v>
      </c>
      <c r="I2649" s="7">
        <v>46.866700000000002</v>
      </c>
      <c r="J2649" s="7">
        <v>-71.215900000000005</v>
      </c>
      <c r="K2649" s="7">
        <v>46.815600000000003</v>
      </c>
      <c r="L2649" s="7">
        <v>-71.2029</v>
      </c>
      <c r="M2649" s="10" t="str">
        <f t="shared" si="251"/>
        <v>C40</v>
      </c>
      <c r="N2649" s="10" t="str">
        <f t="shared" si="252"/>
        <v>C68</v>
      </c>
      <c r="O2649" s="5">
        <f t="shared" si="253"/>
        <v>5.7674516186568177</v>
      </c>
      <c r="P2649" s="22">
        <f>O2649/Explications!$C$8</f>
        <v>0.19224838728856058</v>
      </c>
      <c r="Q2649" s="7" t="str">
        <f t="shared" si="254"/>
        <v>C68</v>
      </c>
      <c r="R2649" s="7" t="str">
        <f t="shared" si="255"/>
        <v>C40</v>
      </c>
      <c r="S2649" s="18">
        <f t="shared" si="256"/>
        <v>5.7674516186568177</v>
      </c>
      <c r="T2649" s="18">
        <f>S2649/Explications!$C$8</f>
        <v>0.19224838728856058</v>
      </c>
    </row>
    <row r="2650" spans="7:20">
      <c r="G2650" s="7" t="s">
        <v>56</v>
      </c>
      <c r="H2650" s="7" t="s">
        <v>85</v>
      </c>
      <c r="I2650" s="7">
        <v>46.866700000000002</v>
      </c>
      <c r="J2650" s="7">
        <v>-71.215900000000005</v>
      </c>
      <c r="K2650" s="7">
        <v>46.821899999999999</v>
      </c>
      <c r="L2650" s="7">
        <v>-71.249899999999997</v>
      </c>
      <c r="M2650" s="10" t="str">
        <f t="shared" si="251"/>
        <v>C40</v>
      </c>
      <c r="N2650" s="10" t="str">
        <f t="shared" si="252"/>
        <v>C69</v>
      </c>
      <c r="O2650" s="5">
        <f t="shared" si="253"/>
        <v>5.6127063812242639</v>
      </c>
      <c r="P2650" s="22">
        <f>O2650/Explications!$C$8</f>
        <v>0.18709021270747547</v>
      </c>
      <c r="Q2650" s="7" t="str">
        <f t="shared" si="254"/>
        <v>C69</v>
      </c>
      <c r="R2650" s="7" t="str">
        <f t="shared" si="255"/>
        <v>C40</v>
      </c>
      <c r="S2650" s="18">
        <f t="shared" si="256"/>
        <v>5.6127063812242639</v>
      </c>
      <c r="T2650" s="18">
        <f>S2650/Explications!$C$8</f>
        <v>0.18709021270747547</v>
      </c>
    </row>
    <row r="2651" spans="7:20">
      <c r="G2651" s="7" t="s">
        <v>56</v>
      </c>
      <c r="H2651" s="7" t="s">
        <v>86</v>
      </c>
      <c r="I2651" s="7">
        <v>46.866700000000002</v>
      </c>
      <c r="J2651" s="7">
        <v>-71.215900000000005</v>
      </c>
      <c r="K2651" s="7">
        <v>46.8872</v>
      </c>
      <c r="L2651" s="7">
        <v>-71.27</v>
      </c>
      <c r="M2651" s="10" t="str">
        <f t="shared" si="251"/>
        <v>C40</v>
      </c>
      <c r="N2651" s="10" t="str">
        <f t="shared" si="252"/>
        <v>C70</v>
      </c>
      <c r="O2651" s="5">
        <f t="shared" si="253"/>
        <v>4.7016447325344348</v>
      </c>
      <c r="P2651" s="22">
        <f>O2651/Explications!$C$8</f>
        <v>0.15672149108448116</v>
      </c>
      <c r="Q2651" s="7" t="str">
        <f t="shared" si="254"/>
        <v>C70</v>
      </c>
      <c r="R2651" s="7" t="str">
        <f t="shared" si="255"/>
        <v>C40</v>
      </c>
      <c r="S2651" s="18">
        <f t="shared" si="256"/>
        <v>4.7016447325344348</v>
      </c>
      <c r="T2651" s="18">
        <f>S2651/Explications!$C$8</f>
        <v>0.15672149108448116</v>
      </c>
    </row>
    <row r="2652" spans="7:20">
      <c r="G2652" s="7" t="s">
        <v>56</v>
      </c>
      <c r="H2652" s="7" t="s">
        <v>87</v>
      </c>
      <c r="I2652" s="7">
        <v>46.866700000000002</v>
      </c>
      <c r="J2652" s="7">
        <v>-71.215900000000005</v>
      </c>
      <c r="K2652" s="7">
        <v>46.816299999999998</v>
      </c>
      <c r="L2652" s="7">
        <v>-71.210300000000004</v>
      </c>
      <c r="M2652" s="10" t="str">
        <f t="shared" si="251"/>
        <v>C40</v>
      </c>
      <c r="N2652" s="10" t="str">
        <f t="shared" si="252"/>
        <v>C71</v>
      </c>
      <c r="O2652" s="5">
        <f t="shared" si="253"/>
        <v>5.620386887526668</v>
      </c>
      <c r="P2652" s="22">
        <f>O2652/Explications!$C$8</f>
        <v>0.18734622958422226</v>
      </c>
      <c r="Q2652" s="7" t="str">
        <f t="shared" si="254"/>
        <v>C71</v>
      </c>
      <c r="R2652" s="7" t="str">
        <f t="shared" si="255"/>
        <v>C40</v>
      </c>
      <c r="S2652" s="18">
        <f t="shared" si="256"/>
        <v>5.620386887526668</v>
      </c>
      <c r="T2652" s="18">
        <f>S2652/Explications!$C$8</f>
        <v>0.18734622958422226</v>
      </c>
    </row>
    <row r="2653" spans="7:20">
      <c r="G2653" s="7" t="s">
        <v>56</v>
      </c>
      <c r="H2653" s="7" t="s">
        <v>88</v>
      </c>
      <c r="I2653" s="7">
        <v>46.866700000000002</v>
      </c>
      <c r="J2653" s="7">
        <v>-71.215900000000005</v>
      </c>
      <c r="K2653" s="7">
        <v>46.807000000000002</v>
      </c>
      <c r="L2653" s="7">
        <v>-71.3566</v>
      </c>
      <c r="M2653" s="10" t="str">
        <f t="shared" si="251"/>
        <v>C40</v>
      </c>
      <c r="N2653" s="10" t="str">
        <f t="shared" si="252"/>
        <v>C72</v>
      </c>
      <c r="O2653" s="5">
        <f t="shared" si="253"/>
        <v>12.594074216641886</v>
      </c>
      <c r="P2653" s="22">
        <f>O2653/Explications!$C$8</f>
        <v>0.41980247388806285</v>
      </c>
      <c r="Q2653" s="7" t="str">
        <f t="shared" si="254"/>
        <v>C72</v>
      </c>
      <c r="R2653" s="7" t="str">
        <f t="shared" si="255"/>
        <v>C40</v>
      </c>
      <c r="S2653" s="18">
        <f t="shared" si="256"/>
        <v>12.594074216641886</v>
      </c>
      <c r="T2653" s="18">
        <f>S2653/Explications!$C$8</f>
        <v>0.41980247388806285</v>
      </c>
    </row>
    <row r="2654" spans="7:20">
      <c r="G2654" s="7" t="s">
        <v>56</v>
      </c>
      <c r="H2654" s="7" t="s">
        <v>89</v>
      </c>
      <c r="I2654" s="7">
        <v>46.866700000000002</v>
      </c>
      <c r="J2654" s="7">
        <v>-71.215900000000005</v>
      </c>
      <c r="K2654" s="7">
        <v>46.822899999999997</v>
      </c>
      <c r="L2654" s="7">
        <v>-71.341899999999995</v>
      </c>
      <c r="M2654" s="10" t="str">
        <f t="shared" si="251"/>
        <v>C40</v>
      </c>
      <c r="N2654" s="10" t="str">
        <f t="shared" si="252"/>
        <v>C73</v>
      </c>
      <c r="O2654" s="5">
        <f t="shared" si="253"/>
        <v>10.749517401374925</v>
      </c>
      <c r="P2654" s="22">
        <f>O2654/Explications!$C$8</f>
        <v>0.35831724671249748</v>
      </c>
      <c r="Q2654" s="7" t="str">
        <f t="shared" si="254"/>
        <v>C73</v>
      </c>
      <c r="R2654" s="7" t="str">
        <f t="shared" si="255"/>
        <v>C40</v>
      </c>
      <c r="S2654" s="18">
        <f t="shared" si="256"/>
        <v>10.749517401374925</v>
      </c>
      <c r="T2654" s="18">
        <f>S2654/Explications!$C$8</f>
        <v>0.35831724671249748</v>
      </c>
    </row>
    <row r="2655" spans="7:20">
      <c r="G2655" s="7" t="s">
        <v>56</v>
      </c>
      <c r="H2655" s="7" t="s">
        <v>90</v>
      </c>
      <c r="I2655" s="7">
        <v>46.866700000000002</v>
      </c>
      <c r="J2655" s="7">
        <v>-71.215900000000005</v>
      </c>
      <c r="K2655" s="7">
        <v>46.730699999999999</v>
      </c>
      <c r="L2655" s="7">
        <v>-71.261099999999999</v>
      </c>
      <c r="M2655" s="10" t="str">
        <f t="shared" si="251"/>
        <v>C40</v>
      </c>
      <c r="N2655" s="10" t="str">
        <f t="shared" si="252"/>
        <v>C74</v>
      </c>
      <c r="O2655" s="5">
        <f t="shared" si="253"/>
        <v>15.508970935737356</v>
      </c>
      <c r="P2655" s="22">
        <f>O2655/Explications!$C$8</f>
        <v>0.51696569785791191</v>
      </c>
      <c r="Q2655" s="7" t="str">
        <f t="shared" si="254"/>
        <v>C74</v>
      </c>
      <c r="R2655" s="7" t="str">
        <f t="shared" si="255"/>
        <v>C40</v>
      </c>
      <c r="S2655" s="18">
        <f t="shared" si="256"/>
        <v>15.508970935737356</v>
      </c>
      <c r="T2655" s="18">
        <f>S2655/Explications!$C$8</f>
        <v>0.51696569785791191</v>
      </c>
    </row>
    <row r="2656" spans="7:20">
      <c r="G2656" s="7" t="s">
        <v>56</v>
      </c>
      <c r="H2656" s="7" t="s">
        <v>91</v>
      </c>
      <c r="I2656" s="7">
        <v>46.866700000000002</v>
      </c>
      <c r="J2656" s="7">
        <v>-71.215900000000005</v>
      </c>
      <c r="K2656" s="7">
        <v>46.840600000000002</v>
      </c>
      <c r="L2656" s="7">
        <v>-71.289100000000005</v>
      </c>
      <c r="M2656" s="10" t="str">
        <f t="shared" si="251"/>
        <v>C40</v>
      </c>
      <c r="N2656" s="10" t="str">
        <f t="shared" si="252"/>
        <v>C75</v>
      </c>
      <c r="O2656" s="5">
        <f t="shared" si="253"/>
        <v>6.2774427872056364</v>
      </c>
      <c r="P2656" s="22">
        <f>O2656/Explications!$C$8</f>
        <v>0.20924809290685456</v>
      </c>
      <c r="Q2656" s="7" t="str">
        <f t="shared" si="254"/>
        <v>C75</v>
      </c>
      <c r="R2656" s="7" t="str">
        <f t="shared" si="255"/>
        <v>C40</v>
      </c>
      <c r="S2656" s="18">
        <f t="shared" si="256"/>
        <v>6.2774427872056364</v>
      </c>
      <c r="T2656" s="18">
        <f>S2656/Explications!$C$8</f>
        <v>0.20924809290685456</v>
      </c>
    </row>
    <row r="2657" spans="7:20">
      <c r="G2657" s="7" t="s">
        <v>56</v>
      </c>
      <c r="H2657" s="7" t="s">
        <v>92</v>
      </c>
      <c r="I2657" s="7">
        <v>46.866700000000002</v>
      </c>
      <c r="J2657" s="7">
        <v>-71.215900000000005</v>
      </c>
      <c r="K2657" s="7">
        <v>46.840600000000002</v>
      </c>
      <c r="L2657" s="7">
        <v>-71.281599999999997</v>
      </c>
      <c r="M2657" s="10" t="str">
        <f t="shared" si="251"/>
        <v>C40</v>
      </c>
      <c r="N2657" s="10" t="str">
        <f t="shared" si="252"/>
        <v>C76</v>
      </c>
      <c r="O2657" s="5">
        <f t="shared" si="253"/>
        <v>5.777754932997115</v>
      </c>
      <c r="P2657" s="22">
        <f>O2657/Explications!$C$8</f>
        <v>0.19259183109990383</v>
      </c>
      <c r="Q2657" s="7" t="str">
        <f t="shared" si="254"/>
        <v>C76</v>
      </c>
      <c r="R2657" s="7" t="str">
        <f t="shared" si="255"/>
        <v>C40</v>
      </c>
      <c r="S2657" s="18">
        <f t="shared" si="256"/>
        <v>5.777754932997115</v>
      </c>
      <c r="T2657" s="18">
        <f>S2657/Explications!$C$8</f>
        <v>0.19259183109990383</v>
      </c>
    </row>
    <row r="2658" spans="7:20">
      <c r="G2658" s="7" t="s">
        <v>56</v>
      </c>
      <c r="H2658" s="7" t="s">
        <v>93</v>
      </c>
      <c r="I2658" s="7">
        <v>46.866700000000002</v>
      </c>
      <c r="J2658" s="7">
        <v>-71.215900000000005</v>
      </c>
      <c r="K2658" s="7">
        <v>46.839399999999998</v>
      </c>
      <c r="L2658" s="7">
        <v>-71.282600000000002</v>
      </c>
      <c r="M2658" s="10" t="str">
        <f t="shared" si="251"/>
        <v>C40</v>
      </c>
      <c r="N2658" s="10" t="str">
        <f t="shared" si="252"/>
        <v>C77</v>
      </c>
      <c r="O2658" s="5">
        <f t="shared" si="253"/>
        <v>5.9110848586701117</v>
      </c>
      <c r="P2658" s="22">
        <f>O2658/Explications!$C$8</f>
        <v>0.19703616195567039</v>
      </c>
      <c r="Q2658" s="7" t="str">
        <f t="shared" si="254"/>
        <v>C77</v>
      </c>
      <c r="R2658" s="7" t="str">
        <f t="shared" si="255"/>
        <v>C40</v>
      </c>
      <c r="S2658" s="18">
        <f t="shared" si="256"/>
        <v>5.9110848586701117</v>
      </c>
      <c r="T2658" s="18">
        <f>S2658/Explications!$C$8</f>
        <v>0.19703616195567039</v>
      </c>
    </row>
    <row r="2659" spans="7:20">
      <c r="G2659" s="7" t="s">
        <v>56</v>
      </c>
      <c r="H2659" s="7" t="s">
        <v>94</v>
      </c>
      <c r="I2659" s="7">
        <v>46.866700000000002</v>
      </c>
      <c r="J2659" s="7">
        <v>-71.215900000000005</v>
      </c>
      <c r="K2659" s="7">
        <v>46.788499999999999</v>
      </c>
      <c r="L2659" s="7">
        <v>-71.282399999999996</v>
      </c>
      <c r="M2659" s="10" t="str">
        <f t="shared" si="251"/>
        <v>C40</v>
      </c>
      <c r="N2659" s="10" t="str">
        <f t="shared" si="252"/>
        <v>C78</v>
      </c>
      <c r="O2659" s="5">
        <f t="shared" si="253"/>
        <v>10.060160760869724</v>
      </c>
      <c r="P2659" s="22">
        <f>O2659/Explications!$C$8</f>
        <v>0.3353386920289908</v>
      </c>
      <c r="Q2659" s="7" t="str">
        <f t="shared" si="254"/>
        <v>C78</v>
      </c>
      <c r="R2659" s="7" t="str">
        <f t="shared" si="255"/>
        <v>C40</v>
      </c>
      <c r="S2659" s="18">
        <f t="shared" si="256"/>
        <v>10.060160760869724</v>
      </c>
      <c r="T2659" s="18">
        <f>S2659/Explications!$C$8</f>
        <v>0.3353386920289908</v>
      </c>
    </row>
    <row r="2660" spans="7:20">
      <c r="G2660" s="7" t="s">
        <v>56</v>
      </c>
      <c r="H2660" s="7" t="s">
        <v>95</v>
      </c>
      <c r="I2660" s="7">
        <v>46.866700000000002</v>
      </c>
      <c r="J2660" s="7">
        <v>-71.215900000000005</v>
      </c>
      <c r="K2660" s="7">
        <v>46.840699999999998</v>
      </c>
      <c r="L2660" s="7">
        <v>-71.325400000000002</v>
      </c>
      <c r="M2660" s="10" t="str">
        <f t="shared" si="251"/>
        <v>C40</v>
      </c>
      <c r="N2660" s="10" t="str">
        <f t="shared" si="252"/>
        <v>C79</v>
      </c>
      <c r="O2660" s="5">
        <f t="shared" si="253"/>
        <v>8.814238658264248</v>
      </c>
      <c r="P2660" s="22">
        <f>O2660/Explications!$C$8</f>
        <v>0.29380795527547493</v>
      </c>
      <c r="Q2660" s="7" t="str">
        <f t="shared" si="254"/>
        <v>C79</v>
      </c>
      <c r="R2660" s="7" t="str">
        <f t="shared" si="255"/>
        <v>C40</v>
      </c>
      <c r="S2660" s="18">
        <f t="shared" si="256"/>
        <v>8.814238658264248</v>
      </c>
      <c r="T2660" s="18">
        <f>S2660/Explications!$C$8</f>
        <v>0.29380795527547493</v>
      </c>
    </row>
    <row r="2661" spans="7:20">
      <c r="G2661" s="7" t="s">
        <v>56</v>
      </c>
      <c r="H2661" s="7" t="s">
        <v>96</v>
      </c>
      <c r="I2661" s="7">
        <v>46.866700000000002</v>
      </c>
      <c r="J2661" s="7">
        <v>-71.215900000000005</v>
      </c>
      <c r="K2661" s="7">
        <v>46.798400000000001</v>
      </c>
      <c r="L2661" s="7">
        <v>-71.183199999999999</v>
      </c>
      <c r="M2661" s="10" t="str">
        <f t="shared" si="251"/>
        <v>C40</v>
      </c>
      <c r="N2661" s="10" t="str">
        <f t="shared" si="252"/>
        <v>C80</v>
      </c>
      <c r="O2661" s="5">
        <f t="shared" si="253"/>
        <v>7.9916265245222737</v>
      </c>
      <c r="P2661" s="22">
        <f>O2661/Explications!$C$8</f>
        <v>0.26638755081740911</v>
      </c>
      <c r="Q2661" s="7" t="str">
        <f t="shared" si="254"/>
        <v>C80</v>
      </c>
      <c r="R2661" s="7" t="str">
        <f t="shared" si="255"/>
        <v>C40</v>
      </c>
      <c r="S2661" s="18">
        <f t="shared" si="256"/>
        <v>7.9916265245222737</v>
      </c>
      <c r="T2661" s="18">
        <f>S2661/Explications!$C$8</f>
        <v>0.26638755081740911</v>
      </c>
    </row>
    <row r="2662" spans="7:20">
      <c r="G2662" s="7" t="s">
        <v>56</v>
      </c>
      <c r="H2662" s="7" t="s">
        <v>97</v>
      </c>
      <c r="I2662" s="7">
        <v>46.866700000000002</v>
      </c>
      <c r="J2662" s="7">
        <v>-71.215900000000005</v>
      </c>
      <c r="K2662" s="7">
        <v>46.724800000000002</v>
      </c>
      <c r="L2662" s="7">
        <v>-71.2988</v>
      </c>
      <c r="M2662" s="10" t="str">
        <f t="shared" si="251"/>
        <v>C40</v>
      </c>
      <c r="N2662" s="10" t="str">
        <f t="shared" si="252"/>
        <v>C81</v>
      </c>
      <c r="O2662" s="5">
        <f t="shared" si="253"/>
        <v>16.993755561811223</v>
      </c>
      <c r="P2662" s="22">
        <f>O2662/Explications!$C$8</f>
        <v>0.56645851872704078</v>
      </c>
      <c r="Q2662" s="7" t="str">
        <f t="shared" si="254"/>
        <v>C81</v>
      </c>
      <c r="R2662" s="7" t="str">
        <f t="shared" si="255"/>
        <v>C40</v>
      </c>
      <c r="S2662" s="18">
        <f t="shared" si="256"/>
        <v>16.993755561811223</v>
      </c>
      <c r="T2662" s="18">
        <f>S2662/Explications!$C$8</f>
        <v>0.56645851872704078</v>
      </c>
    </row>
    <row r="2663" spans="7:20">
      <c r="G2663" s="7" t="s">
        <v>56</v>
      </c>
      <c r="H2663" s="7" t="s">
        <v>98</v>
      </c>
      <c r="I2663" s="7">
        <v>46.866700000000002</v>
      </c>
      <c r="J2663" s="7">
        <v>-71.215900000000005</v>
      </c>
      <c r="K2663" s="7">
        <v>46.795499999999997</v>
      </c>
      <c r="L2663" s="7">
        <v>-71.242900000000006</v>
      </c>
      <c r="M2663" s="10" t="str">
        <f t="shared" si="251"/>
        <v>C40</v>
      </c>
      <c r="N2663" s="10" t="str">
        <f t="shared" si="252"/>
        <v>C82</v>
      </c>
      <c r="O2663" s="5">
        <f t="shared" si="253"/>
        <v>8.1791844962634439</v>
      </c>
      <c r="P2663" s="22">
        <f>O2663/Explications!$C$8</f>
        <v>0.27263948320878145</v>
      </c>
      <c r="Q2663" s="7" t="str">
        <f t="shared" si="254"/>
        <v>C82</v>
      </c>
      <c r="R2663" s="7" t="str">
        <f t="shared" si="255"/>
        <v>C40</v>
      </c>
      <c r="S2663" s="18">
        <f t="shared" si="256"/>
        <v>8.1791844962634439</v>
      </c>
      <c r="T2663" s="18">
        <f>S2663/Explications!$C$8</f>
        <v>0.27263948320878145</v>
      </c>
    </row>
    <row r="2664" spans="7:20">
      <c r="G2664" s="7" t="s">
        <v>56</v>
      </c>
      <c r="H2664" s="7" t="s">
        <v>99</v>
      </c>
      <c r="I2664" s="7">
        <v>46.866700000000002</v>
      </c>
      <c r="J2664" s="7">
        <v>-71.215900000000005</v>
      </c>
      <c r="K2664" s="7">
        <v>46.8157</v>
      </c>
      <c r="L2664" s="7">
        <v>-71.201899999999995</v>
      </c>
      <c r="M2664" s="10" t="str">
        <f t="shared" si="251"/>
        <v>C40</v>
      </c>
      <c r="N2664" s="10" t="str">
        <f t="shared" si="252"/>
        <v>C83</v>
      </c>
      <c r="O2664" s="5">
        <f t="shared" si="253"/>
        <v>5.7700480461223913</v>
      </c>
      <c r="P2664" s="22">
        <f>O2664/Explications!$C$8</f>
        <v>0.19233493487074638</v>
      </c>
      <c r="Q2664" s="7" t="str">
        <f t="shared" si="254"/>
        <v>C83</v>
      </c>
      <c r="R2664" s="7" t="str">
        <f t="shared" si="255"/>
        <v>C40</v>
      </c>
      <c r="S2664" s="18">
        <f t="shared" si="256"/>
        <v>5.7700480461223913</v>
      </c>
      <c r="T2664" s="18">
        <f>S2664/Explications!$C$8</f>
        <v>0.19233493487074638</v>
      </c>
    </row>
    <row r="2665" spans="7:20">
      <c r="G2665" s="7" t="s">
        <v>56</v>
      </c>
      <c r="H2665" s="7" t="s">
        <v>100</v>
      </c>
      <c r="I2665" s="7">
        <v>46.866700000000002</v>
      </c>
      <c r="J2665" s="7">
        <v>-71.215900000000005</v>
      </c>
      <c r="K2665" s="7">
        <v>46.837600000000002</v>
      </c>
      <c r="L2665" s="7">
        <v>-71.196299999999994</v>
      </c>
      <c r="M2665" s="10" t="str">
        <f t="shared" si="251"/>
        <v>C40</v>
      </c>
      <c r="N2665" s="10" t="str">
        <f t="shared" si="252"/>
        <v>C84</v>
      </c>
      <c r="O2665" s="5">
        <f t="shared" si="253"/>
        <v>3.5625442489787615</v>
      </c>
      <c r="P2665" s="22">
        <f>O2665/Explications!$C$8</f>
        <v>0.11875147496595871</v>
      </c>
      <c r="Q2665" s="7" t="str">
        <f t="shared" si="254"/>
        <v>C84</v>
      </c>
      <c r="R2665" s="7" t="str">
        <f t="shared" si="255"/>
        <v>C40</v>
      </c>
      <c r="S2665" s="18">
        <f t="shared" si="256"/>
        <v>3.5625442489787615</v>
      </c>
      <c r="T2665" s="18">
        <f>S2665/Explications!$C$8</f>
        <v>0.11875147496595871</v>
      </c>
    </row>
    <row r="2666" spans="7:20">
      <c r="G2666" s="7" t="s">
        <v>56</v>
      </c>
      <c r="H2666" s="7" t="s">
        <v>101</v>
      </c>
      <c r="I2666" s="7">
        <v>46.866700000000002</v>
      </c>
      <c r="J2666" s="7">
        <v>-71.215900000000005</v>
      </c>
      <c r="K2666" s="7">
        <v>46.7988</v>
      </c>
      <c r="L2666" s="7">
        <v>-71.318200000000004</v>
      </c>
      <c r="M2666" s="10" t="str">
        <f t="shared" si="251"/>
        <v>C40</v>
      </c>
      <c r="N2666" s="10" t="str">
        <f t="shared" si="252"/>
        <v>C85</v>
      </c>
      <c r="O2666" s="5">
        <f t="shared" si="253"/>
        <v>10.842800486195213</v>
      </c>
      <c r="P2666" s="22">
        <f>O2666/Explications!$C$8</f>
        <v>0.36142668287317375</v>
      </c>
      <c r="Q2666" s="7" t="str">
        <f t="shared" si="254"/>
        <v>C85</v>
      </c>
      <c r="R2666" s="7" t="str">
        <f t="shared" si="255"/>
        <v>C40</v>
      </c>
      <c r="S2666" s="18">
        <f t="shared" si="256"/>
        <v>10.842800486195213</v>
      </c>
      <c r="T2666" s="18">
        <f>S2666/Explications!$C$8</f>
        <v>0.36142668287317375</v>
      </c>
    </row>
    <row r="2667" spans="7:20">
      <c r="G2667" s="7" t="s">
        <v>57</v>
      </c>
      <c r="H2667" s="7" t="s">
        <v>58</v>
      </c>
      <c r="I2667" s="7">
        <v>46.762099999999997</v>
      </c>
      <c r="J2667" s="7">
        <v>-71.235399999999998</v>
      </c>
      <c r="K2667" s="7">
        <v>46.8157</v>
      </c>
      <c r="L2667" s="7">
        <v>-71.2042</v>
      </c>
      <c r="M2667" s="10" t="str">
        <f t="shared" si="251"/>
        <v>C41</v>
      </c>
      <c r="N2667" s="10" t="str">
        <f t="shared" si="252"/>
        <v>C42</v>
      </c>
      <c r="O2667" s="5">
        <f t="shared" si="253"/>
        <v>6.4159633221240462</v>
      </c>
      <c r="P2667" s="22">
        <f>O2667/Explications!$C$8</f>
        <v>0.21386544407080155</v>
      </c>
      <c r="Q2667" s="7" t="str">
        <f t="shared" si="254"/>
        <v>C42</v>
      </c>
      <c r="R2667" s="7" t="str">
        <f t="shared" si="255"/>
        <v>C41</v>
      </c>
      <c r="S2667" s="18">
        <f t="shared" si="256"/>
        <v>6.4159633221240462</v>
      </c>
      <c r="T2667" s="18">
        <f>S2667/Explications!$C$8</f>
        <v>0.21386544407080155</v>
      </c>
    </row>
    <row r="2668" spans="7:20">
      <c r="G2668" s="7" t="s">
        <v>57</v>
      </c>
      <c r="H2668" s="7" t="s">
        <v>59</v>
      </c>
      <c r="I2668" s="7">
        <v>46.762099999999997</v>
      </c>
      <c r="J2668" s="7">
        <v>-71.235399999999998</v>
      </c>
      <c r="K2668" s="7">
        <v>46.707000000000001</v>
      </c>
      <c r="L2668" s="7">
        <v>-71.217100000000002</v>
      </c>
      <c r="M2668" s="10" t="str">
        <f t="shared" si="251"/>
        <v>C41</v>
      </c>
      <c r="N2668" s="10" t="str">
        <f t="shared" si="252"/>
        <v>C43</v>
      </c>
      <c r="O2668" s="5">
        <f t="shared" si="253"/>
        <v>6.283568940349312</v>
      </c>
      <c r="P2668" s="22">
        <f>O2668/Explications!$C$8</f>
        <v>0.20945229801164372</v>
      </c>
      <c r="Q2668" s="7" t="str">
        <f t="shared" si="254"/>
        <v>C43</v>
      </c>
      <c r="R2668" s="7" t="str">
        <f t="shared" si="255"/>
        <v>C41</v>
      </c>
      <c r="S2668" s="18">
        <f t="shared" si="256"/>
        <v>6.283568940349312</v>
      </c>
      <c r="T2668" s="18">
        <f>S2668/Explications!$C$8</f>
        <v>0.20945229801164372</v>
      </c>
    </row>
    <row r="2669" spans="7:20">
      <c r="G2669" s="7" t="s">
        <v>57</v>
      </c>
      <c r="H2669" s="7" t="s">
        <v>60</v>
      </c>
      <c r="I2669" s="7">
        <v>46.762099999999997</v>
      </c>
      <c r="J2669" s="7">
        <v>-71.235399999999998</v>
      </c>
      <c r="K2669" s="7">
        <v>46.802900000000001</v>
      </c>
      <c r="L2669" s="7">
        <v>-71.228899999999996</v>
      </c>
      <c r="M2669" s="10" t="str">
        <f t="shared" si="251"/>
        <v>C41</v>
      </c>
      <c r="N2669" s="10" t="str">
        <f t="shared" si="252"/>
        <v>C44</v>
      </c>
      <c r="O2669" s="5">
        <f t="shared" si="253"/>
        <v>4.5636698495273578</v>
      </c>
      <c r="P2669" s="22">
        <f>O2669/Explications!$C$8</f>
        <v>0.1521223283175786</v>
      </c>
      <c r="Q2669" s="7" t="str">
        <f t="shared" si="254"/>
        <v>C44</v>
      </c>
      <c r="R2669" s="7" t="str">
        <f t="shared" si="255"/>
        <v>C41</v>
      </c>
      <c r="S2669" s="18">
        <f t="shared" si="256"/>
        <v>4.5636698495273578</v>
      </c>
      <c r="T2669" s="18">
        <f>S2669/Explications!$C$8</f>
        <v>0.1521223283175786</v>
      </c>
    </row>
    <row r="2670" spans="7:20">
      <c r="G2670" s="7" t="s">
        <v>57</v>
      </c>
      <c r="H2670" s="7" t="s">
        <v>61</v>
      </c>
      <c r="I2670" s="7">
        <v>46.762099999999997</v>
      </c>
      <c r="J2670" s="7">
        <v>-71.235399999999998</v>
      </c>
      <c r="K2670" s="7">
        <v>46.796900000000001</v>
      </c>
      <c r="L2670" s="7">
        <v>-71.3078</v>
      </c>
      <c r="M2670" s="10" t="str">
        <f t="shared" si="251"/>
        <v>C41</v>
      </c>
      <c r="N2670" s="10" t="str">
        <f t="shared" si="252"/>
        <v>C45</v>
      </c>
      <c r="O2670" s="5">
        <f t="shared" si="253"/>
        <v>6.7355356263381498</v>
      </c>
      <c r="P2670" s="22">
        <f>O2670/Explications!$C$8</f>
        <v>0.22451785421127166</v>
      </c>
      <c r="Q2670" s="7" t="str">
        <f t="shared" si="254"/>
        <v>C45</v>
      </c>
      <c r="R2670" s="7" t="str">
        <f t="shared" si="255"/>
        <v>C41</v>
      </c>
      <c r="S2670" s="18">
        <f t="shared" si="256"/>
        <v>6.7355356263381498</v>
      </c>
      <c r="T2670" s="18">
        <f>S2670/Explications!$C$8</f>
        <v>0.22451785421127166</v>
      </c>
    </row>
    <row r="2671" spans="7:20">
      <c r="G2671" s="7" t="s">
        <v>57</v>
      </c>
      <c r="H2671" s="7" t="s">
        <v>62</v>
      </c>
      <c r="I2671" s="7">
        <v>46.762099999999997</v>
      </c>
      <c r="J2671" s="7">
        <v>-71.235399999999998</v>
      </c>
      <c r="K2671" s="7">
        <v>46.803600000000003</v>
      </c>
      <c r="L2671" s="7">
        <v>-71.231099999999998</v>
      </c>
      <c r="M2671" s="10" t="str">
        <f t="shared" si="251"/>
        <v>C41</v>
      </c>
      <c r="N2671" s="10" t="str">
        <f t="shared" si="252"/>
        <v>C46</v>
      </c>
      <c r="O2671" s="5">
        <f t="shared" si="253"/>
        <v>4.6261900869196149</v>
      </c>
      <c r="P2671" s="22">
        <f>O2671/Explications!$C$8</f>
        <v>0.15420633623065383</v>
      </c>
      <c r="Q2671" s="7" t="str">
        <f t="shared" si="254"/>
        <v>C46</v>
      </c>
      <c r="R2671" s="7" t="str">
        <f t="shared" si="255"/>
        <v>C41</v>
      </c>
      <c r="S2671" s="18">
        <f t="shared" si="256"/>
        <v>4.6261900869196149</v>
      </c>
      <c r="T2671" s="18">
        <f>S2671/Explications!$C$8</f>
        <v>0.15420633623065383</v>
      </c>
    </row>
    <row r="2672" spans="7:20">
      <c r="G2672" s="7" t="s">
        <v>57</v>
      </c>
      <c r="H2672" s="7" t="s">
        <v>63</v>
      </c>
      <c r="I2672" s="7">
        <v>46.762099999999997</v>
      </c>
      <c r="J2672" s="7">
        <v>-71.235399999999998</v>
      </c>
      <c r="K2672" s="7">
        <v>46.802399999999999</v>
      </c>
      <c r="L2672" s="7">
        <v>-71.269800000000004</v>
      </c>
      <c r="M2672" s="10" t="str">
        <f t="shared" si="251"/>
        <v>C41</v>
      </c>
      <c r="N2672" s="10" t="str">
        <f t="shared" si="252"/>
        <v>C47</v>
      </c>
      <c r="O2672" s="5">
        <f t="shared" si="253"/>
        <v>5.1905332958102566</v>
      </c>
      <c r="P2672" s="22">
        <f>O2672/Explications!$C$8</f>
        <v>0.17301777652700856</v>
      </c>
      <c r="Q2672" s="7" t="str">
        <f t="shared" si="254"/>
        <v>C47</v>
      </c>
      <c r="R2672" s="7" t="str">
        <f t="shared" si="255"/>
        <v>C41</v>
      </c>
      <c r="S2672" s="18">
        <f t="shared" si="256"/>
        <v>5.1905332958102566</v>
      </c>
      <c r="T2672" s="18">
        <f>S2672/Explications!$C$8</f>
        <v>0.17301777652700856</v>
      </c>
    </row>
    <row r="2673" spans="7:20">
      <c r="G2673" s="7" t="s">
        <v>57</v>
      </c>
      <c r="H2673" s="7" t="s">
        <v>64</v>
      </c>
      <c r="I2673" s="7">
        <v>46.762099999999997</v>
      </c>
      <c r="J2673" s="7">
        <v>-71.235399999999998</v>
      </c>
      <c r="K2673" s="7">
        <v>46.826799999999999</v>
      </c>
      <c r="L2673" s="7">
        <v>-71.224199999999996</v>
      </c>
      <c r="M2673" s="10" t="str">
        <f t="shared" si="251"/>
        <v>C41</v>
      </c>
      <c r="N2673" s="10" t="str">
        <f t="shared" si="252"/>
        <v>C48</v>
      </c>
      <c r="O2673" s="5">
        <f t="shared" si="253"/>
        <v>7.2446578553176186</v>
      </c>
      <c r="P2673" s="22">
        <f>O2673/Explications!$C$8</f>
        <v>0.24148859517725396</v>
      </c>
      <c r="Q2673" s="7" t="str">
        <f t="shared" si="254"/>
        <v>C48</v>
      </c>
      <c r="R2673" s="7" t="str">
        <f t="shared" si="255"/>
        <v>C41</v>
      </c>
      <c r="S2673" s="18">
        <f t="shared" si="256"/>
        <v>7.2446578553176186</v>
      </c>
      <c r="T2673" s="18">
        <f>S2673/Explications!$C$8</f>
        <v>0.24148859517725396</v>
      </c>
    </row>
    <row r="2674" spans="7:20">
      <c r="G2674" s="7" t="s">
        <v>57</v>
      </c>
      <c r="H2674" s="7" t="s">
        <v>65</v>
      </c>
      <c r="I2674" s="7">
        <v>46.762099999999997</v>
      </c>
      <c r="J2674" s="7">
        <v>-71.235399999999998</v>
      </c>
      <c r="K2674" s="7">
        <v>46.864100000000001</v>
      </c>
      <c r="L2674" s="7">
        <v>-71.255499999999998</v>
      </c>
      <c r="M2674" s="10" t="str">
        <f t="shared" si="251"/>
        <v>C41</v>
      </c>
      <c r="N2674" s="10" t="str">
        <f t="shared" si="252"/>
        <v>C49</v>
      </c>
      <c r="O2674" s="5">
        <f t="shared" si="253"/>
        <v>11.444561168317906</v>
      </c>
      <c r="P2674" s="22">
        <f>O2674/Explications!$C$8</f>
        <v>0.38148537227726353</v>
      </c>
      <c r="Q2674" s="7" t="str">
        <f t="shared" si="254"/>
        <v>C49</v>
      </c>
      <c r="R2674" s="7" t="str">
        <f t="shared" si="255"/>
        <v>C41</v>
      </c>
      <c r="S2674" s="18">
        <f t="shared" si="256"/>
        <v>11.444561168317906</v>
      </c>
      <c r="T2674" s="18">
        <f>S2674/Explications!$C$8</f>
        <v>0.38148537227726353</v>
      </c>
    </row>
    <row r="2675" spans="7:20">
      <c r="G2675" s="7" t="s">
        <v>57</v>
      </c>
      <c r="H2675" s="7" t="s">
        <v>66</v>
      </c>
      <c r="I2675" s="7">
        <v>46.762099999999997</v>
      </c>
      <c r="J2675" s="7">
        <v>-71.235399999999998</v>
      </c>
      <c r="K2675" s="7">
        <v>46.843800000000002</v>
      </c>
      <c r="L2675" s="7">
        <v>-71.247299999999996</v>
      </c>
      <c r="M2675" s="10" t="str">
        <f t="shared" si="251"/>
        <v>C41</v>
      </c>
      <c r="N2675" s="10" t="str">
        <f t="shared" si="252"/>
        <v>C50</v>
      </c>
      <c r="O2675" s="5">
        <f t="shared" si="253"/>
        <v>9.129666742124332</v>
      </c>
      <c r="P2675" s="22">
        <f>O2675/Explications!$C$8</f>
        <v>0.30432222473747772</v>
      </c>
      <c r="Q2675" s="7" t="str">
        <f t="shared" si="254"/>
        <v>C50</v>
      </c>
      <c r="R2675" s="7" t="str">
        <f t="shared" si="255"/>
        <v>C41</v>
      </c>
      <c r="S2675" s="18">
        <f t="shared" si="256"/>
        <v>9.129666742124332</v>
      </c>
      <c r="T2675" s="18">
        <f>S2675/Explications!$C$8</f>
        <v>0.30432222473747772</v>
      </c>
    </row>
    <row r="2676" spans="7:20">
      <c r="G2676" s="7" t="s">
        <v>57</v>
      </c>
      <c r="H2676" s="7" t="s">
        <v>67</v>
      </c>
      <c r="I2676" s="7">
        <v>46.762099999999997</v>
      </c>
      <c r="J2676" s="7">
        <v>-71.235399999999998</v>
      </c>
      <c r="K2676" s="7">
        <v>46.765599999999999</v>
      </c>
      <c r="L2676" s="7">
        <v>-71.312100000000001</v>
      </c>
      <c r="M2676" s="10" t="str">
        <f t="shared" si="251"/>
        <v>C41</v>
      </c>
      <c r="N2676" s="10" t="str">
        <f t="shared" si="252"/>
        <v>C51</v>
      </c>
      <c r="O2676" s="5">
        <f t="shared" si="253"/>
        <v>5.855132991806709</v>
      </c>
      <c r="P2676" s="22">
        <f>O2676/Explications!$C$8</f>
        <v>0.19517109972689031</v>
      </c>
      <c r="Q2676" s="7" t="str">
        <f t="shared" si="254"/>
        <v>C51</v>
      </c>
      <c r="R2676" s="7" t="str">
        <f t="shared" si="255"/>
        <v>C41</v>
      </c>
      <c r="S2676" s="18">
        <f t="shared" si="256"/>
        <v>5.855132991806709</v>
      </c>
      <c r="T2676" s="18">
        <f>S2676/Explications!$C$8</f>
        <v>0.19517109972689031</v>
      </c>
    </row>
    <row r="2677" spans="7:20">
      <c r="G2677" s="7" t="s">
        <v>57</v>
      </c>
      <c r="H2677" s="7" t="s">
        <v>68</v>
      </c>
      <c r="I2677" s="7">
        <v>46.762099999999997</v>
      </c>
      <c r="J2677" s="7">
        <v>-71.235399999999998</v>
      </c>
      <c r="K2677" s="7">
        <v>46.787599999999998</v>
      </c>
      <c r="L2677" s="7">
        <v>-71.288600000000002</v>
      </c>
      <c r="M2677" s="10" t="str">
        <f t="shared" si="251"/>
        <v>C41</v>
      </c>
      <c r="N2677" s="10" t="str">
        <f t="shared" si="252"/>
        <v>C52</v>
      </c>
      <c r="O2677" s="5">
        <f t="shared" si="253"/>
        <v>4.9450543601685135</v>
      </c>
      <c r="P2677" s="22">
        <f>O2677/Explications!$C$8</f>
        <v>0.16483514533895044</v>
      </c>
      <c r="Q2677" s="7" t="str">
        <f t="shared" si="254"/>
        <v>C52</v>
      </c>
      <c r="R2677" s="7" t="str">
        <f t="shared" si="255"/>
        <v>C41</v>
      </c>
      <c r="S2677" s="18">
        <f t="shared" si="256"/>
        <v>4.9450543601685135</v>
      </c>
      <c r="T2677" s="18">
        <f>S2677/Explications!$C$8</f>
        <v>0.16483514533895044</v>
      </c>
    </row>
    <row r="2678" spans="7:20">
      <c r="G2678" s="7" t="s">
        <v>57</v>
      </c>
      <c r="H2678" s="7" t="s">
        <v>69</v>
      </c>
      <c r="I2678" s="7">
        <v>46.762099999999997</v>
      </c>
      <c r="J2678" s="7">
        <v>-71.235399999999998</v>
      </c>
      <c r="K2678" s="7">
        <v>46.764600000000002</v>
      </c>
      <c r="L2678" s="7">
        <v>-71.308300000000003</v>
      </c>
      <c r="M2678" s="10" t="str">
        <f t="shared" si="251"/>
        <v>C41</v>
      </c>
      <c r="N2678" s="10" t="str">
        <f t="shared" si="252"/>
        <v>C53</v>
      </c>
      <c r="O2678" s="5">
        <f t="shared" si="253"/>
        <v>5.5597467731982686</v>
      </c>
      <c r="P2678" s="22">
        <f>O2678/Explications!$C$8</f>
        <v>0.1853248924399423</v>
      </c>
      <c r="Q2678" s="7" t="str">
        <f t="shared" si="254"/>
        <v>C53</v>
      </c>
      <c r="R2678" s="7" t="str">
        <f t="shared" si="255"/>
        <v>C41</v>
      </c>
      <c r="S2678" s="18">
        <f t="shared" si="256"/>
        <v>5.5597467731982686</v>
      </c>
      <c r="T2678" s="18">
        <f>S2678/Explications!$C$8</f>
        <v>0.1853248924399423</v>
      </c>
    </row>
    <row r="2679" spans="7:20">
      <c r="G2679" s="7" t="s">
        <v>57</v>
      </c>
      <c r="H2679" s="7" t="s">
        <v>70</v>
      </c>
      <c r="I2679" s="7">
        <v>46.762099999999997</v>
      </c>
      <c r="J2679" s="7">
        <v>-71.235399999999998</v>
      </c>
      <c r="K2679" s="7">
        <v>46.849699999999999</v>
      </c>
      <c r="L2679" s="7">
        <v>-71.097399999999993</v>
      </c>
      <c r="M2679" s="10" t="str">
        <f t="shared" si="251"/>
        <v>C41</v>
      </c>
      <c r="N2679" s="10" t="str">
        <f t="shared" si="252"/>
        <v>C54</v>
      </c>
      <c r="O2679" s="5">
        <f t="shared" si="253"/>
        <v>14.324695462084833</v>
      </c>
      <c r="P2679" s="22">
        <f>O2679/Explications!$C$8</f>
        <v>0.47748984873616107</v>
      </c>
      <c r="Q2679" s="7" t="str">
        <f t="shared" si="254"/>
        <v>C54</v>
      </c>
      <c r="R2679" s="7" t="str">
        <f t="shared" si="255"/>
        <v>C41</v>
      </c>
      <c r="S2679" s="18">
        <f t="shared" si="256"/>
        <v>14.324695462084833</v>
      </c>
      <c r="T2679" s="18">
        <f>S2679/Explications!$C$8</f>
        <v>0.47748984873616107</v>
      </c>
    </row>
    <row r="2680" spans="7:20">
      <c r="G2680" s="7" t="s">
        <v>57</v>
      </c>
      <c r="H2680" s="7" t="s">
        <v>71</v>
      </c>
      <c r="I2680" s="7">
        <v>46.762099999999997</v>
      </c>
      <c r="J2680" s="7">
        <v>-71.235399999999998</v>
      </c>
      <c r="K2680" s="7">
        <v>46.788899999999998</v>
      </c>
      <c r="L2680" s="7">
        <v>-71.321399999999997</v>
      </c>
      <c r="M2680" s="10" t="str">
        <f t="shared" si="251"/>
        <v>C41</v>
      </c>
      <c r="N2680" s="10" t="str">
        <f t="shared" si="252"/>
        <v>C55</v>
      </c>
      <c r="O2680" s="5">
        <f t="shared" si="253"/>
        <v>7.1952624763300559</v>
      </c>
      <c r="P2680" s="22">
        <f>O2680/Explications!$C$8</f>
        <v>0.2398420825443352</v>
      </c>
      <c r="Q2680" s="7" t="str">
        <f t="shared" si="254"/>
        <v>C55</v>
      </c>
      <c r="R2680" s="7" t="str">
        <f t="shared" si="255"/>
        <v>C41</v>
      </c>
      <c r="S2680" s="18">
        <f t="shared" si="256"/>
        <v>7.1952624763300559</v>
      </c>
      <c r="T2680" s="18">
        <f>S2680/Explications!$C$8</f>
        <v>0.2398420825443352</v>
      </c>
    </row>
    <row r="2681" spans="7:20">
      <c r="G2681" s="7" t="s">
        <v>57</v>
      </c>
      <c r="H2681" s="7" t="s">
        <v>72</v>
      </c>
      <c r="I2681" s="7">
        <v>46.762099999999997</v>
      </c>
      <c r="J2681" s="7">
        <v>-71.235399999999998</v>
      </c>
      <c r="K2681" s="7">
        <v>46.795400000000001</v>
      </c>
      <c r="L2681" s="7">
        <v>-71.232600000000005</v>
      </c>
      <c r="M2681" s="10" t="str">
        <f t="shared" si="251"/>
        <v>C41</v>
      </c>
      <c r="N2681" s="10" t="str">
        <f t="shared" si="252"/>
        <v>C56</v>
      </c>
      <c r="O2681" s="5">
        <f t="shared" si="253"/>
        <v>3.7089246759020407</v>
      </c>
      <c r="P2681" s="22">
        <f>O2681/Explications!$C$8</f>
        <v>0.12363082253006802</v>
      </c>
      <c r="Q2681" s="7" t="str">
        <f t="shared" si="254"/>
        <v>C56</v>
      </c>
      <c r="R2681" s="7" t="str">
        <f t="shared" si="255"/>
        <v>C41</v>
      </c>
      <c r="S2681" s="18">
        <f t="shared" si="256"/>
        <v>3.7089246759020407</v>
      </c>
      <c r="T2681" s="18">
        <f>S2681/Explications!$C$8</f>
        <v>0.12363082253006802</v>
      </c>
    </row>
    <row r="2682" spans="7:20">
      <c r="G2682" s="7" t="s">
        <v>57</v>
      </c>
      <c r="H2682" s="7" t="s">
        <v>73</v>
      </c>
      <c r="I2682" s="7">
        <v>46.762099999999997</v>
      </c>
      <c r="J2682" s="7">
        <v>-71.235399999999998</v>
      </c>
      <c r="K2682" s="7">
        <v>46.801200000000001</v>
      </c>
      <c r="L2682" s="7">
        <v>-71.224999999999994</v>
      </c>
      <c r="M2682" s="10" t="str">
        <f t="shared" si="251"/>
        <v>C41</v>
      </c>
      <c r="N2682" s="10" t="str">
        <f t="shared" si="252"/>
        <v>C57</v>
      </c>
      <c r="O2682" s="5">
        <f t="shared" si="253"/>
        <v>4.4192518689708313</v>
      </c>
      <c r="P2682" s="22">
        <f>O2682/Explications!$C$8</f>
        <v>0.14730839563236103</v>
      </c>
      <c r="Q2682" s="7" t="str">
        <f t="shared" si="254"/>
        <v>C57</v>
      </c>
      <c r="R2682" s="7" t="str">
        <f t="shared" si="255"/>
        <v>C41</v>
      </c>
      <c r="S2682" s="18">
        <f t="shared" si="256"/>
        <v>4.4192518689708313</v>
      </c>
      <c r="T2682" s="18">
        <f>S2682/Explications!$C$8</f>
        <v>0.14730839563236103</v>
      </c>
    </row>
    <row r="2683" spans="7:20">
      <c r="G2683" s="7" t="s">
        <v>57</v>
      </c>
      <c r="H2683" s="7" t="s">
        <v>74</v>
      </c>
      <c r="I2683" s="7">
        <v>46.762099999999997</v>
      </c>
      <c r="J2683" s="7">
        <v>-71.235399999999998</v>
      </c>
      <c r="K2683" s="7">
        <v>46.773200000000003</v>
      </c>
      <c r="L2683" s="7">
        <v>-71.275899999999993</v>
      </c>
      <c r="M2683" s="10" t="str">
        <f t="shared" si="251"/>
        <v>C41</v>
      </c>
      <c r="N2683" s="10" t="str">
        <f t="shared" si="252"/>
        <v>C58</v>
      </c>
      <c r="O2683" s="5">
        <f t="shared" si="253"/>
        <v>3.3224091605279722</v>
      </c>
      <c r="P2683" s="22">
        <f>O2683/Explications!$C$8</f>
        <v>0.11074697201759907</v>
      </c>
      <c r="Q2683" s="7" t="str">
        <f t="shared" si="254"/>
        <v>C58</v>
      </c>
      <c r="R2683" s="7" t="str">
        <f t="shared" si="255"/>
        <v>C41</v>
      </c>
      <c r="S2683" s="18">
        <f t="shared" si="256"/>
        <v>3.3224091605279722</v>
      </c>
      <c r="T2683" s="18">
        <f>S2683/Explications!$C$8</f>
        <v>0.11074697201759907</v>
      </c>
    </row>
    <row r="2684" spans="7:20">
      <c r="G2684" s="7" t="s">
        <v>57</v>
      </c>
      <c r="H2684" s="7" t="s">
        <v>75</v>
      </c>
      <c r="I2684" s="7">
        <v>46.762099999999997</v>
      </c>
      <c r="J2684" s="7">
        <v>-71.235399999999998</v>
      </c>
      <c r="K2684" s="7">
        <v>46.814399999999999</v>
      </c>
      <c r="L2684" s="7">
        <v>-71.225700000000003</v>
      </c>
      <c r="M2684" s="10" t="str">
        <f t="shared" si="251"/>
        <v>C41</v>
      </c>
      <c r="N2684" s="10" t="str">
        <f t="shared" si="252"/>
        <v>C59</v>
      </c>
      <c r="O2684" s="5">
        <f t="shared" si="253"/>
        <v>5.8621984981880688</v>
      </c>
      <c r="P2684" s="22">
        <f>O2684/Explications!$C$8</f>
        <v>0.19540661660626896</v>
      </c>
      <c r="Q2684" s="7" t="str">
        <f t="shared" si="254"/>
        <v>C59</v>
      </c>
      <c r="R2684" s="7" t="str">
        <f t="shared" si="255"/>
        <v>C41</v>
      </c>
      <c r="S2684" s="18">
        <f t="shared" si="256"/>
        <v>5.8621984981880688</v>
      </c>
      <c r="T2684" s="18">
        <f>S2684/Explications!$C$8</f>
        <v>0.19540661660626896</v>
      </c>
    </row>
    <row r="2685" spans="7:20">
      <c r="G2685" s="7" t="s">
        <v>57</v>
      </c>
      <c r="H2685" s="7" t="s">
        <v>76</v>
      </c>
      <c r="I2685" s="7">
        <v>46.762099999999997</v>
      </c>
      <c r="J2685" s="7">
        <v>-71.235399999999998</v>
      </c>
      <c r="K2685" s="7">
        <v>46.772500000000001</v>
      </c>
      <c r="L2685" s="7">
        <v>-71.276300000000006</v>
      </c>
      <c r="M2685" s="10" t="str">
        <f t="shared" si="251"/>
        <v>C41</v>
      </c>
      <c r="N2685" s="10" t="str">
        <f t="shared" si="252"/>
        <v>C60</v>
      </c>
      <c r="O2685" s="5">
        <f t="shared" si="253"/>
        <v>3.3228488566133167</v>
      </c>
      <c r="P2685" s="22">
        <f>O2685/Explications!$C$8</f>
        <v>0.11076162855377722</v>
      </c>
      <c r="Q2685" s="7" t="str">
        <f t="shared" si="254"/>
        <v>C60</v>
      </c>
      <c r="R2685" s="7" t="str">
        <f t="shared" si="255"/>
        <v>C41</v>
      </c>
      <c r="S2685" s="18">
        <f t="shared" si="256"/>
        <v>3.3228488566133167</v>
      </c>
      <c r="T2685" s="18">
        <f>S2685/Explications!$C$8</f>
        <v>0.11076162855377722</v>
      </c>
    </row>
    <row r="2686" spans="7:20">
      <c r="G2686" s="7" t="s">
        <v>57</v>
      </c>
      <c r="H2686" s="7" t="s">
        <v>77</v>
      </c>
      <c r="I2686" s="7">
        <v>46.762099999999997</v>
      </c>
      <c r="J2686" s="7">
        <v>-71.235399999999998</v>
      </c>
      <c r="K2686" s="7">
        <v>46.810899999999997</v>
      </c>
      <c r="L2686" s="7">
        <v>-71.215599999999995</v>
      </c>
      <c r="M2686" s="10" t="str">
        <f t="shared" si="251"/>
        <v>C41</v>
      </c>
      <c r="N2686" s="10" t="str">
        <f t="shared" si="252"/>
        <v>C61</v>
      </c>
      <c r="O2686" s="5">
        <f t="shared" si="253"/>
        <v>5.6318270327043525</v>
      </c>
      <c r="P2686" s="22">
        <f>O2686/Explications!$C$8</f>
        <v>0.18772756775681174</v>
      </c>
      <c r="Q2686" s="7" t="str">
        <f t="shared" si="254"/>
        <v>C61</v>
      </c>
      <c r="R2686" s="7" t="str">
        <f t="shared" si="255"/>
        <v>C41</v>
      </c>
      <c r="S2686" s="18">
        <f t="shared" si="256"/>
        <v>5.6318270327043525</v>
      </c>
      <c r="T2686" s="18">
        <f>S2686/Explications!$C$8</f>
        <v>0.18772756775681174</v>
      </c>
    </row>
    <row r="2687" spans="7:20">
      <c r="G2687" s="7" t="s">
        <v>57</v>
      </c>
      <c r="H2687" s="7" t="s">
        <v>78</v>
      </c>
      <c r="I2687" s="7">
        <v>46.762099999999997</v>
      </c>
      <c r="J2687" s="7">
        <v>-71.235399999999998</v>
      </c>
      <c r="K2687" s="7">
        <v>46.795200000000001</v>
      </c>
      <c r="L2687" s="7">
        <v>-71.245099999999994</v>
      </c>
      <c r="M2687" s="10" t="str">
        <f t="shared" si="251"/>
        <v>C41</v>
      </c>
      <c r="N2687" s="10" t="str">
        <f t="shared" si="252"/>
        <v>C62</v>
      </c>
      <c r="O2687" s="5">
        <f t="shared" si="253"/>
        <v>3.7539380996295399</v>
      </c>
      <c r="P2687" s="22">
        <f>O2687/Explications!$C$8</f>
        <v>0.12513126998765134</v>
      </c>
      <c r="Q2687" s="7" t="str">
        <f t="shared" si="254"/>
        <v>C62</v>
      </c>
      <c r="R2687" s="7" t="str">
        <f t="shared" si="255"/>
        <v>C41</v>
      </c>
      <c r="S2687" s="18">
        <f t="shared" si="256"/>
        <v>3.7539380996295399</v>
      </c>
      <c r="T2687" s="18">
        <f>S2687/Explications!$C$8</f>
        <v>0.12513126998765134</v>
      </c>
    </row>
    <row r="2688" spans="7:20">
      <c r="G2688" s="7" t="s">
        <v>57</v>
      </c>
      <c r="H2688" s="7" t="s">
        <v>79</v>
      </c>
      <c r="I2688" s="7">
        <v>46.762099999999997</v>
      </c>
      <c r="J2688" s="7">
        <v>-71.235399999999998</v>
      </c>
      <c r="K2688" s="7">
        <v>46.822000000000003</v>
      </c>
      <c r="L2688" s="7">
        <v>-71.345699999999994</v>
      </c>
      <c r="M2688" s="10" t="str">
        <f t="shared" si="251"/>
        <v>C41</v>
      </c>
      <c r="N2688" s="10" t="str">
        <f t="shared" si="252"/>
        <v>C63</v>
      </c>
      <c r="O2688" s="5">
        <f t="shared" si="253"/>
        <v>10.717932988770222</v>
      </c>
      <c r="P2688" s="22">
        <f>O2688/Explications!$C$8</f>
        <v>0.35726443295900739</v>
      </c>
      <c r="Q2688" s="7" t="str">
        <f t="shared" si="254"/>
        <v>C63</v>
      </c>
      <c r="R2688" s="7" t="str">
        <f t="shared" si="255"/>
        <v>C41</v>
      </c>
      <c r="S2688" s="18">
        <f t="shared" si="256"/>
        <v>10.717932988770222</v>
      </c>
      <c r="T2688" s="18">
        <f>S2688/Explications!$C$8</f>
        <v>0.35726443295900739</v>
      </c>
    </row>
    <row r="2689" spans="7:20">
      <c r="G2689" s="7" t="s">
        <v>57</v>
      </c>
      <c r="H2689" s="7" t="s">
        <v>80</v>
      </c>
      <c r="I2689" s="7">
        <v>46.762099999999997</v>
      </c>
      <c r="J2689" s="7">
        <v>-71.235399999999998</v>
      </c>
      <c r="K2689" s="7">
        <v>46.779400000000003</v>
      </c>
      <c r="L2689" s="7">
        <v>-71.350399999999993</v>
      </c>
      <c r="M2689" s="10" t="str">
        <f t="shared" si="251"/>
        <v>C41</v>
      </c>
      <c r="N2689" s="10" t="str">
        <f t="shared" si="252"/>
        <v>C64</v>
      </c>
      <c r="O2689" s="5">
        <f t="shared" si="253"/>
        <v>8.9671140477244826</v>
      </c>
      <c r="P2689" s="22">
        <f>O2689/Explications!$C$8</f>
        <v>0.29890380159081609</v>
      </c>
      <c r="Q2689" s="7" t="str">
        <f t="shared" si="254"/>
        <v>C64</v>
      </c>
      <c r="R2689" s="7" t="str">
        <f t="shared" si="255"/>
        <v>C41</v>
      </c>
      <c r="S2689" s="18">
        <f t="shared" si="256"/>
        <v>8.9671140477244826</v>
      </c>
      <c r="T2689" s="18">
        <f>S2689/Explications!$C$8</f>
        <v>0.29890380159081609</v>
      </c>
    </row>
    <row r="2690" spans="7:20">
      <c r="G2690" s="7" t="s">
        <v>57</v>
      </c>
      <c r="H2690" s="7" t="s">
        <v>81</v>
      </c>
      <c r="I2690" s="7">
        <v>46.762099999999997</v>
      </c>
      <c r="J2690" s="7">
        <v>-71.235399999999998</v>
      </c>
      <c r="K2690" s="7">
        <v>46.772300000000001</v>
      </c>
      <c r="L2690" s="7">
        <v>-71.279799999999994</v>
      </c>
      <c r="M2690" s="10" t="str">
        <f t="shared" si="251"/>
        <v>C41</v>
      </c>
      <c r="N2690" s="10" t="str">
        <f t="shared" si="252"/>
        <v>C65</v>
      </c>
      <c r="O2690" s="5">
        <f t="shared" si="253"/>
        <v>3.5668361122890282</v>
      </c>
      <c r="P2690" s="22">
        <f>O2690/Explications!$C$8</f>
        <v>0.11889453707630095</v>
      </c>
      <c r="Q2690" s="7" t="str">
        <f t="shared" si="254"/>
        <v>C65</v>
      </c>
      <c r="R2690" s="7" t="str">
        <f t="shared" si="255"/>
        <v>C41</v>
      </c>
      <c r="S2690" s="18">
        <f t="shared" si="256"/>
        <v>3.5668361122890282</v>
      </c>
      <c r="T2690" s="18">
        <f>S2690/Explications!$C$8</f>
        <v>0.11889453707630095</v>
      </c>
    </row>
    <row r="2691" spans="7:20">
      <c r="G2691" s="7" t="s">
        <v>57</v>
      </c>
      <c r="H2691" s="7" t="s">
        <v>82</v>
      </c>
      <c r="I2691" s="7">
        <v>46.762099999999997</v>
      </c>
      <c r="J2691" s="7">
        <v>-71.235399999999998</v>
      </c>
      <c r="K2691" s="7">
        <v>46.814900000000002</v>
      </c>
      <c r="L2691" s="7">
        <v>-71.225200000000001</v>
      </c>
      <c r="M2691" s="10" t="str">
        <f t="shared" si="251"/>
        <v>C41</v>
      </c>
      <c r="N2691" s="10" t="str">
        <f t="shared" si="252"/>
        <v>C66</v>
      </c>
      <c r="O2691" s="5">
        <f t="shared" si="253"/>
        <v>5.9222280790875104</v>
      </c>
      <c r="P2691" s="22">
        <f>O2691/Explications!$C$8</f>
        <v>0.19740760263625035</v>
      </c>
      <c r="Q2691" s="7" t="str">
        <f t="shared" si="254"/>
        <v>C66</v>
      </c>
      <c r="R2691" s="7" t="str">
        <f t="shared" si="255"/>
        <v>C41</v>
      </c>
      <c r="S2691" s="18">
        <f t="shared" si="256"/>
        <v>5.9222280790875104</v>
      </c>
      <c r="T2691" s="18">
        <f>S2691/Explications!$C$8</f>
        <v>0.19740760263625035</v>
      </c>
    </row>
    <row r="2692" spans="7:20">
      <c r="G2692" s="7" t="s">
        <v>57</v>
      </c>
      <c r="H2692" s="7" t="s">
        <v>83</v>
      </c>
      <c r="I2692" s="7">
        <v>46.762099999999997</v>
      </c>
      <c r="J2692" s="7">
        <v>-71.235399999999998</v>
      </c>
      <c r="K2692" s="7">
        <v>46.814700000000002</v>
      </c>
      <c r="L2692" s="7">
        <v>-71.207300000000004</v>
      </c>
      <c r="M2692" s="10" t="str">
        <f t="shared" ref="M2692:M2755" si="257">G2692</f>
        <v>C41</v>
      </c>
      <c r="N2692" s="10" t="str">
        <f t="shared" ref="N2692:N2755" si="258">H2692</f>
        <v>C67</v>
      </c>
      <c r="O2692" s="5">
        <f t="shared" ref="O2692:O2755" si="259">ACOS(SIN(RADIANS(I2692))*SIN(RADIANS(K2692))+COS(RADIANS(I2692))*COS(RADIANS(K2692))*COS(RADIANS(J2692-L2692)))*6371</f>
        <v>6.2278435265759526</v>
      </c>
      <c r="P2692" s="22">
        <f>O2692/Explications!$C$8</f>
        <v>0.20759478421919841</v>
      </c>
      <c r="Q2692" s="7" t="str">
        <f t="shared" ref="Q2692:Q2755" si="260">N2692</f>
        <v>C67</v>
      </c>
      <c r="R2692" s="7" t="str">
        <f t="shared" ref="R2692:R2755" si="261">M2692</f>
        <v>C41</v>
      </c>
      <c r="S2692" s="18">
        <f t="shared" ref="S2692:S2755" si="262">O2692</f>
        <v>6.2278435265759526</v>
      </c>
      <c r="T2692" s="18">
        <f>S2692/Explications!$C$8</f>
        <v>0.20759478421919841</v>
      </c>
    </row>
    <row r="2693" spans="7:20">
      <c r="G2693" s="7" t="s">
        <v>57</v>
      </c>
      <c r="H2693" s="7" t="s">
        <v>84</v>
      </c>
      <c r="I2693" s="7">
        <v>46.762099999999997</v>
      </c>
      <c r="J2693" s="7">
        <v>-71.235399999999998</v>
      </c>
      <c r="K2693" s="7">
        <v>46.815600000000003</v>
      </c>
      <c r="L2693" s="7">
        <v>-71.2029</v>
      </c>
      <c r="M2693" s="10" t="str">
        <f t="shared" si="257"/>
        <v>C41</v>
      </c>
      <c r="N2693" s="10" t="str">
        <f t="shared" si="258"/>
        <v>C68</v>
      </c>
      <c r="O2693" s="5">
        <f t="shared" si="259"/>
        <v>6.4429940114576443</v>
      </c>
      <c r="P2693" s="22">
        <f>O2693/Explications!$C$8</f>
        <v>0.21476646704858815</v>
      </c>
      <c r="Q2693" s="7" t="str">
        <f t="shared" si="260"/>
        <v>C68</v>
      </c>
      <c r="R2693" s="7" t="str">
        <f t="shared" si="261"/>
        <v>C41</v>
      </c>
      <c r="S2693" s="18">
        <f t="shared" si="262"/>
        <v>6.4429940114576443</v>
      </c>
      <c r="T2693" s="18">
        <f>S2693/Explications!$C$8</f>
        <v>0.21476646704858815</v>
      </c>
    </row>
    <row r="2694" spans="7:20">
      <c r="G2694" s="7" t="s">
        <v>57</v>
      </c>
      <c r="H2694" s="7" t="s">
        <v>85</v>
      </c>
      <c r="I2694" s="7">
        <v>46.762099999999997</v>
      </c>
      <c r="J2694" s="7">
        <v>-71.235399999999998</v>
      </c>
      <c r="K2694" s="7">
        <v>46.821899999999999</v>
      </c>
      <c r="L2694" s="7">
        <v>-71.249899999999997</v>
      </c>
      <c r="M2694" s="10" t="str">
        <f t="shared" si="257"/>
        <v>C41</v>
      </c>
      <c r="N2694" s="10" t="str">
        <f t="shared" si="258"/>
        <v>C69</v>
      </c>
      <c r="O2694" s="5">
        <f t="shared" si="259"/>
        <v>6.7404612814972866</v>
      </c>
      <c r="P2694" s="22">
        <f>O2694/Explications!$C$8</f>
        <v>0.22468204271657621</v>
      </c>
      <c r="Q2694" s="7" t="str">
        <f t="shared" si="260"/>
        <v>C69</v>
      </c>
      <c r="R2694" s="7" t="str">
        <f t="shared" si="261"/>
        <v>C41</v>
      </c>
      <c r="S2694" s="18">
        <f t="shared" si="262"/>
        <v>6.7404612814972866</v>
      </c>
      <c r="T2694" s="18">
        <f>S2694/Explications!$C$8</f>
        <v>0.22468204271657621</v>
      </c>
    </row>
    <row r="2695" spans="7:20">
      <c r="G2695" s="7" t="s">
        <v>57</v>
      </c>
      <c r="H2695" s="7" t="s">
        <v>86</v>
      </c>
      <c r="I2695" s="7">
        <v>46.762099999999997</v>
      </c>
      <c r="J2695" s="7">
        <v>-71.235399999999998</v>
      </c>
      <c r="K2695" s="7">
        <v>46.8872</v>
      </c>
      <c r="L2695" s="7">
        <v>-71.27</v>
      </c>
      <c r="M2695" s="10" t="str">
        <f t="shared" si="257"/>
        <v>C41</v>
      </c>
      <c r="N2695" s="10" t="str">
        <f t="shared" si="258"/>
        <v>C70</v>
      </c>
      <c r="O2695" s="5">
        <f t="shared" si="259"/>
        <v>14.157384978434871</v>
      </c>
      <c r="P2695" s="22">
        <f>O2695/Explications!$C$8</f>
        <v>0.47191283261449574</v>
      </c>
      <c r="Q2695" s="7" t="str">
        <f t="shared" si="260"/>
        <v>C70</v>
      </c>
      <c r="R2695" s="7" t="str">
        <f t="shared" si="261"/>
        <v>C41</v>
      </c>
      <c r="S2695" s="18">
        <f t="shared" si="262"/>
        <v>14.157384978434871</v>
      </c>
      <c r="T2695" s="18">
        <f>S2695/Explications!$C$8</f>
        <v>0.47191283261449574</v>
      </c>
    </row>
    <row r="2696" spans="7:20">
      <c r="G2696" s="7" t="s">
        <v>57</v>
      </c>
      <c r="H2696" s="7" t="s">
        <v>87</v>
      </c>
      <c r="I2696" s="7">
        <v>46.762099999999997</v>
      </c>
      <c r="J2696" s="7">
        <v>-71.235399999999998</v>
      </c>
      <c r="K2696" s="7">
        <v>46.816299999999998</v>
      </c>
      <c r="L2696" s="7">
        <v>-71.210300000000004</v>
      </c>
      <c r="M2696" s="10" t="str">
        <f t="shared" si="257"/>
        <v>C41</v>
      </c>
      <c r="N2696" s="10" t="str">
        <f t="shared" si="258"/>
        <v>C71</v>
      </c>
      <c r="O2696" s="5">
        <f t="shared" si="259"/>
        <v>6.3224696984385789</v>
      </c>
      <c r="P2696" s="22">
        <f>O2696/Explications!$C$8</f>
        <v>0.21074898994795263</v>
      </c>
      <c r="Q2696" s="7" t="str">
        <f t="shared" si="260"/>
        <v>C71</v>
      </c>
      <c r="R2696" s="7" t="str">
        <f t="shared" si="261"/>
        <v>C41</v>
      </c>
      <c r="S2696" s="18">
        <f t="shared" si="262"/>
        <v>6.3224696984385789</v>
      </c>
      <c r="T2696" s="18">
        <f>S2696/Explications!$C$8</f>
        <v>0.21074898994795263</v>
      </c>
    </row>
    <row r="2697" spans="7:20">
      <c r="G2697" s="7" t="s">
        <v>57</v>
      </c>
      <c r="H2697" s="7" t="s">
        <v>88</v>
      </c>
      <c r="I2697" s="7">
        <v>46.762099999999997</v>
      </c>
      <c r="J2697" s="7">
        <v>-71.235399999999998</v>
      </c>
      <c r="K2697" s="7">
        <v>46.807000000000002</v>
      </c>
      <c r="L2697" s="7">
        <v>-71.3566</v>
      </c>
      <c r="M2697" s="10" t="str">
        <f t="shared" si="257"/>
        <v>C41</v>
      </c>
      <c r="N2697" s="10" t="str">
        <f t="shared" si="258"/>
        <v>C72</v>
      </c>
      <c r="O2697" s="5">
        <f t="shared" si="259"/>
        <v>10.492171806426169</v>
      </c>
      <c r="P2697" s="22">
        <f>O2697/Explications!$C$8</f>
        <v>0.34973906021420564</v>
      </c>
      <c r="Q2697" s="7" t="str">
        <f t="shared" si="260"/>
        <v>C72</v>
      </c>
      <c r="R2697" s="7" t="str">
        <f t="shared" si="261"/>
        <v>C41</v>
      </c>
      <c r="S2697" s="18">
        <f t="shared" si="262"/>
        <v>10.492171806426169</v>
      </c>
      <c r="T2697" s="18">
        <f>S2697/Explications!$C$8</f>
        <v>0.34973906021420564</v>
      </c>
    </row>
    <row r="2698" spans="7:20">
      <c r="G2698" s="7" t="s">
        <v>57</v>
      </c>
      <c r="H2698" s="7" t="s">
        <v>89</v>
      </c>
      <c r="I2698" s="7">
        <v>46.762099999999997</v>
      </c>
      <c r="J2698" s="7">
        <v>-71.235399999999998</v>
      </c>
      <c r="K2698" s="7">
        <v>46.822899999999997</v>
      </c>
      <c r="L2698" s="7">
        <v>-71.341899999999995</v>
      </c>
      <c r="M2698" s="10" t="str">
        <f t="shared" si="257"/>
        <v>C41</v>
      </c>
      <c r="N2698" s="10" t="str">
        <f t="shared" si="258"/>
        <v>C73</v>
      </c>
      <c r="O2698" s="5">
        <f t="shared" si="259"/>
        <v>10.556581220334891</v>
      </c>
      <c r="P2698" s="22">
        <f>O2698/Explications!$C$8</f>
        <v>0.35188604067782969</v>
      </c>
      <c r="Q2698" s="7" t="str">
        <f t="shared" si="260"/>
        <v>C73</v>
      </c>
      <c r="R2698" s="7" t="str">
        <f t="shared" si="261"/>
        <v>C41</v>
      </c>
      <c r="S2698" s="18">
        <f t="shared" si="262"/>
        <v>10.556581220334891</v>
      </c>
      <c r="T2698" s="18">
        <f>S2698/Explications!$C$8</f>
        <v>0.35188604067782969</v>
      </c>
    </row>
    <row r="2699" spans="7:20">
      <c r="G2699" s="7" t="s">
        <v>57</v>
      </c>
      <c r="H2699" s="7" t="s">
        <v>90</v>
      </c>
      <c r="I2699" s="7">
        <v>46.762099999999997</v>
      </c>
      <c r="J2699" s="7">
        <v>-71.235399999999998</v>
      </c>
      <c r="K2699" s="7">
        <v>46.730699999999999</v>
      </c>
      <c r="L2699" s="7">
        <v>-71.261099999999999</v>
      </c>
      <c r="M2699" s="10" t="str">
        <f t="shared" si="257"/>
        <v>C41</v>
      </c>
      <c r="N2699" s="10" t="str">
        <f t="shared" si="258"/>
        <v>C74</v>
      </c>
      <c r="O2699" s="5">
        <f t="shared" si="259"/>
        <v>4.003149262623964</v>
      </c>
      <c r="P2699" s="22">
        <f>O2699/Explications!$C$8</f>
        <v>0.13343830875413212</v>
      </c>
      <c r="Q2699" s="7" t="str">
        <f t="shared" si="260"/>
        <v>C74</v>
      </c>
      <c r="R2699" s="7" t="str">
        <f t="shared" si="261"/>
        <v>C41</v>
      </c>
      <c r="S2699" s="18">
        <f t="shared" si="262"/>
        <v>4.003149262623964</v>
      </c>
      <c r="T2699" s="18">
        <f>S2699/Explications!$C$8</f>
        <v>0.13343830875413212</v>
      </c>
    </row>
    <row r="2700" spans="7:20">
      <c r="G2700" s="7" t="s">
        <v>57</v>
      </c>
      <c r="H2700" s="7" t="s">
        <v>91</v>
      </c>
      <c r="I2700" s="7">
        <v>46.762099999999997</v>
      </c>
      <c r="J2700" s="7">
        <v>-71.235399999999998</v>
      </c>
      <c r="K2700" s="7">
        <v>46.840600000000002</v>
      </c>
      <c r="L2700" s="7">
        <v>-71.289100000000005</v>
      </c>
      <c r="M2700" s="10" t="str">
        <f t="shared" si="257"/>
        <v>C41</v>
      </c>
      <c r="N2700" s="10" t="str">
        <f t="shared" si="258"/>
        <v>C75</v>
      </c>
      <c r="O2700" s="5">
        <f t="shared" si="259"/>
        <v>9.6384208896987627</v>
      </c>
      <c r="P2700" s="22">
        <f>O2700/Explications!$C$8</f>
        <v>0.32128069632329209</v>
      </c>
      <c r="Q2700" s="7" t="str">
        <f t="shared" si="260"/>
        <v>C75</v>
      </c>
      <c r="R2700" s="7" t="str">
        <f t="shared" si="261"/>
        <v>C41</v>
      </c>
      <c r="S2700" s="18">
        <f t="shared" si="262"/>
        <v>9.6384208896987627</v>
      </c>
      <c r="T2700" s="18">
        <f>S2700/Explications!$C$8</f>
        <v>0.32128069632329209</v>
      </c>
    </row>
    <row r="2701" spans="7:20">
      <c r="G2701" s="7" t="s">
        <v>57</v>
      </c>
      <c r="H2701" s="7" t="s">
        <v>92</v>
      </c>
      <c r="I2701" s="7">
        <v>46.762099999999997</v>
      </c>
      <c r="J2701" s="7">
        <v>-71.235399999999998</v>
      </c>
      <c r="K2701" s="7">
        <v>46.840600000000002</v>
      </c>
      <c r="L2701" s="7">
        <v>-71.281599999999997</v>
      </c>
      <c r="M2701" s="10" t="str">
        <f t="shared" si="257"/>
        <v>C41</v>
      </c>
      <c r="N2701" s="10" t="str">
        <f t="shared" si="258"/>
        <v>C76</v>
      </c>
      <c r="O2701" s="5">
        <f t="shared" si="259"/>
        <v>9.4105389081783777</v>
      </c>
      <c r="P2701" s="22">
        <f>O2701/Explications!$C$8</f>
        <v>0.31368463027261256</v>
      </c>
      <c r="Q2701" s="7" t="str">
        <f t="shared" si="260"/>
        <v>C76</v>
      </c>
      <c r="R2701" s="7" t="str">
        <f t="shared" si="261"/>
        <v>C41</v>
      </c>
      <c r="S2701" s="18">
        <f t="shared" si="262"/>
        <v>9.4105389081783777</v>
      </c>
      <c r="T2701" s="18">
        <f>S2701/Explications!$C$8</f>
        <v>0.31368463027261256</v>
      </c>
    </row>
    <row r="2702" spans="7:20">
      <c r="G2702" s="7" t="s">
        <v>57</v>
      </c>
      <c r="H2702" s="7" t="s">
        <v>93</v>
      </c>
      <c r="I2702" s="7">
        <v>46.762099999999997</v>
      </c>
      <c r="J2702" s="7">
        <v>-71.235399999999998</v>
      </c>
      <c r="K2702" s="7">
        <v>46.839399999999998</v>
      </c>
      <c r="L2702" s="7">
        <v>-71.282600000000002</v>
      </c>
      <c r="M2702" s="10" t="str">
        <f t="shared" si="257"/>
        <v>C41</v>
      </c>
      <c r="N2702" s="10" t="str">
        <f t="shared" si="258"/>
        <v>C77</v>
      </c>
      <c r="O2702" s="5">
        <f t="shared" si="259"/>
        <v>9.316009268469152</v>
      </c>
      <c r="P2702" s="22">
        <f>O2702/Explications!$C$8</f>
        <v>0.31053364228230507</v>
      </c>
      <c r="Q2702" s="7" t="str">
        <f t="shared" si="260"/>
        <v>C77</v>
      </c>
      <c r="R2702" s="7" t="str">
        <f t="shared" si="261"/>
        <v>C41</v>
      </c>
      <c r="S2702" s="18">
        <f t="shared" si="262"/>
        <v>9.316009268469152</v>
      </c>
      <c r="T2702" s="18">
        <f>S2702/Explications!$C$8</f>
        <v>0.31053364228230507</v>
      </c>
    </row>
    <row r="2703" spans="7:20">
      <c r="G2703" s="7" t="s">
        <v>57</v>
      </c>
      <c r="H2703" s="7" t="s">
        <v>94</v>
      </c>
      <c r="I2703" s="7">
        <v>46.762099999999997</v>
      </c>
      <c r="J2703" s="7">
        <v>-71.235399999999998</v>
      </c>
      <c r="K2703" s="7">
        <v>46.788499999999999</v>
      </c>
      <c r="L2703" s="7">
        <v>-71.282399999999996</v>
      </c>
      <c r="M2703" s="10" t="str">
        <f t="shared" si="257"/>
        <v>C41</v>
      </c>
      <c r="N2703" s="10" t="str">
        <f t="shared" si="258"/>
        <v>C78</v>
      </c>
      <c r="O2703" s="5">
        <f t="shared" si="259"/>
        <v>4.6290465292880913</v>
      </c>
      <c r="P2703" s="22">
        <f>O2703/Explications!$C$8</f>
        <v>0.15430155097626971</v>
      </c>
      <c r="Q2703" s="7" t="str">
        <f t="shared" si="260"/>
        <v>C78</v>
      </c>
      <c r="R2703" s="7" t="str">
        <f t="shared" si="261"/>
        <v>C41</v>
      </c>
      <c r="S2703" s="18">
        <f t="shared" si="262"/>
        <v>4.6290465292880913</v>
      </c>
      <c r="T2703" s="18">
        <f>S2703/Explications!$C$8</f>
        <v>0.15430155097626971</v>
      </c>
    </row>
    <row r="2704" spans="7:20">
      <c r="G2704" s="7" t="s">
        <v>57</v>
      </c>
      <c r="H2704" s="7" t="s">
        <v>95</v>
      </c>
      <c r="I2704" s="7">
        <v>46.762099999999997</v>
      </c>
      <c r="J2704" s="7">
        <v>-71.235399999999998</v>
      </c>
      <c r="K2704" s="7">
        <v>46.840699999999998</v>
      </c>
      <c r="L2704" s="7">
        <v>-71.325400000000002</v>
      </c>
      <c r="M2704" s="10" t="str">
        <f t="shared" si="257"/>
        <v>C41</v>
      </c>
      <c r="N2704" s="10" t="str">
        <f t="shared" si="258"/>
        <v>C79</v>
      </c>
      <c r="O2704" s="5">
        <f t="shared" si="259"/>
        <v>11.104726086840659</v>
      </c>
      <c r="P2704" s="22">
        <f>O2704/Explications!$C$8</f>
        <v>0.37015753622802194</v>
      </c>
      <c r="Q2704" s="7" t="str">
        <f t="shared" si="260"/>
        <v>C79</v>
      </c>
      <c r="R2704" s="7" t="str">
        <f t="shared" si="261"/>
        <v>C41</v>
      </c>
      <c r="S2704" s="18">
        <f t="shared" si="262"/>
        <v>11.104726086840659</v>
      </c>
      <c r="T2704" s="18">
        <f>S2704/Explications!$C$8</f>
        <v>0.37015753622802194</v>
      </c>
    </row>
    <row r="2705" spans="7:20">
      <c r="G2705" s="7" t="s">
        <v>57</v>
      </c>
      <c r="H2705" s="7" t="s">
        <v>96</v>
      </c>
      <c r="I2705" s="7">
        <v>46.762099999999997</v>
      </c>
      <c r="J2705" s="7">
        <v>-71.235399999999998</v>
      </c>
      <c r="K2705" s="7">
        <v>46.798400000000001</v>
      </c>
      <c r="L2705" s="7">
        <v>-71.183199999999999</v>
      </c>
      <c r="M2705" s="10" t="str">
        <f t="shared" si="257"/>
        <v>C41</v>
      </c>
      <c r="N2705" s="10" t="str">
        <f t="shared" si="258"/>
        <v>C80</v>
      </c>
      <c r="O2705" s="5">
        <f t="shared" si="259"/>
        <v>5.6649424243665969</v>
      </c>
      <c r="P2705" s="22">
        <f>O2705/Explications!$C$8</f>
        <v>0.18883141414555324</v>
      </c>
      <c r="Q2705" s="7" t="str">
        <f t="shared" si="260"/>
        <v>C80</v>
      </c>
      <c r="R2705" s="7" t="str">
        <f t="shared" si="261"/>
        <v>C41</v>
      </c>
      <c r="S2705" s="18">
        <f t="shared" si="262"/>
        <v>5.6649424243665969</v>
      </c>
      <c r="T2705" s="18">
        <f>S2705/Explications!$C$8</f>
        <v>0.18883141414555324</v>
      </c>
    </row>
    <row r="2706" spans="7:20">
      <c r="G2706" s="7" t="s">
        <v>57</v>
      </c>
      <c r="H2706" s="7" t="s">
        <v>97</v>
      </c>
      <c r="I2706" s="7">
        <v>46.762099999999997</v>
      </c>
      <c r="J2706" s="7">
        <v>-71.235399999999998</v>
      </c>
      <c r="K2706" s="7">
        <v>46.724800000000002</v>
      </c>
      <c r="L2706" s="7">
        <v>-71.2988</v>
      </c>
      <c r="M2706" s="10" t="str">
        <f t="shared" si="257"/>
        <v>C41</v>
      </c>
      <c r="N2706" s="10" t="str">
        <f t="shared" si="258"/>
        <v>C81</v>
      </c>
      <c r="O2706" s="5">
        <f t="shared" si="259"/>
        <v>6.3671443539543011</v>
      </c>
      <c r="P2706" s="22">
        <f>O2706/Explications!$C$8</f>
        <v>0.21223814513181002</v>
      </c>
      <c r="Q2706" s="7" t="str">
        <f t="shared" si="260"/>
        <v>C81</v>
      </c>
      <c r="R2706" s="7" t="str">
        <f t="shared" si="261"/>
        <v>C41</v>
      </c>
      <c r="S2706" s="18">
        <f t="shared" si="262"/>
        <v>6.3671443539543011</v>
      </c>
      <c r="T2706" s="18">
        <f>S2706/Explications!$C$8</f>
        <v>0.21223814513181002</v>
      </c>
    </row>
    <row r="2707" spans="7:20">
      <c r="G2707" s="7" t="s">
        <v>57</v>
      </c>
      <c r="H2707" s="7" t="s">
        <v>98</v>
      </c>
      <c r="I2707" s="7">
        <v>46.762099999999997</v>
      </c>
      <c r="J2707" s="7">
        <v>-71.235399999999998</v>
      </c>
      <c r="K2707" s="7">
        <v>46.795499999999997</v>
      </c>
      <c r="L2707" s="7">
        <v>-71.242900000000006</v>
      </c>
      <c r="M2707" s="10" t="str">
        <f t="shared" si="257"/>
        <v>C41</v>
      </c>
      <c r="N2707" s="10" t="str">
        <f t="shared" si="258"/>
        <v>C82</v>
      </c>
      <c r="O2707" s="5">
        <f t="shared" si="259"/>
        <v>3.757565630445967</v>
      </c>
      <c r="P2707" s="22">
        <f>O2707/Explications!$C$8</f>
        <v>0.12525218768153223</v>
      </c>
      <c r="Q2707" s="7" t="str">
        <f t="shared" si="260"/>
        <v>C82</v>
      </c>
      <c r="R2707" s="7" t="str">
        <f t="shared" si="261"/>
        <v>C41</v>
      </c>
      <c r="S2707" s="18">
        <f t="shared" si="262"/>
        <v>3.757565630445967</v>
      </c>
      <c r="T2707" s="18">
        <f>S2707/Explications!$C$8</f>
        <v>0.12525218768153223</v>
      </c>
    </row>
    <row r="2708" spans="7:20">
      <c r="G2708" s="7" t="s">
        <v>57</v>
      </c>
      <c r="H2708" s="7" t="s">
        <v>99</v>
      </c>
      <c r="I2708" s="7">
        <v>46.762099999999997</v>
      </c>
      <c r="J2708" s="7">
        <v>-71.235399999999998</v>
      </c>
      <c r="K2708" s="7">
        <v>46.8157</v>
      </c>
      <c r="L2708" s="7">
        <v>-71.201899999999995</v>
      </c>
      <c r="M2708" s="10" t="str">
        <f t="shared" si="257"/>
        <v>C41</v>
      </c>
      <c r="N2708" s="10" t="str">
        <f t="shared" si="258"/>
        <v>C83</v>
      </c>
      <c r="O2708" s="5">
        <f t="shared" si="259"/>
        <v>6.4828344291332991</v>
      </c>
      <c r="P2708" s="22">
        <f>O2708/Explications!$C$8</f>
        <v>0.21609448097110998</v>
      </c>
      <c r="Q2708" s="7" t="str">
        <f t="shared" si="260"/>
        <v>C83</v>
      </c>
      <c r="R2708" s="7" t="str">
        <f t="shared" si="261"/>
        <v>C41</v>
      </c>
      <c r="S2708" s="18">
        <f t="shared" si="262"/>
        <v>6.4828344291332991</v>
      </c>
      <c r="T2708" s="18">
        <f>S2708/Explications!$C$8</f>
        <v>0.21609448097110998</v>
      </c>
    </row>
    <row r="2709" spans="7:20">
      <c r="G2709" s="7" t="s">
        <v>57</v>
      </c>
      <c r="H2709" s="7" t="s">
        <v>100</v>
      </c>
      <c r="I2709" s="7">
        <v>46.762099999999997</v>
      </c>
      <c r="J2709" s="7">
        <v>-71.235399999999998</v>
      </c>
      <c r="K2709" s="7">
        <v>46.837600000000002</v>
      </c>
      <c r="L2709" s="7">
        <v>-71.196299999999994</v>
      </c>
      <c r="M2709" s="10" t="str">
        <f t="shared" si="257"/>
        <v>C41</v>
      </c>
      <c r="N2709" s="10" t="str">
        <f t="shared" si="258"/>
        <v>C84</v>
      </c>
      <c r="O2709" s="5">
        <f t="shared" si="259"/>
        <v>8.9071655666202627</v>
      </c>
      <c r="P2709" s="22">
        <f>O2709/Explications!$C$8</f>
        <v>0.29690551888734207</v>
      </c>
      <c r="Q2709" s="7" t="str">
        <f t="shared" si="260"/>
        <v>C84</v>
      </c>
      <c r="R2709" s="7" t="str">
        <f t="shared" si="261"/>
        <v>C41</v>
      </c>
      <c r="S2709" s="18">
        <f t="shared" si="262"/>
        <v>8.9071655666202627</v>
      </c>
      <c r="T2709" s="18">
        <f>S2709/Explications!$C$8</f>
        <v>0.29690551888734207</v>
      </c>
    </row>
    <row r="2710" spans="7:20">
      <c r="G2710" s="7" t="s">
        <v>57</v>
      </c>
      <c r="H2710" s="7" t="s">
        <v>101</v>
      </c>
      <c r="I2710" s="7">
        <v>46.762099999999997</v>
      </c>
      <c r="J2710" s="7">
        <v>-71.235399999999998</v>
      </c>
      <c r="K2710" s="7">
        <v>46.7988</v>
      </c>
      <c r="L2710" s="7">
        <v>-71.318200000000004</v>
      </c>
      <c r="M2710" s="10" t="str">
        <f t="shared" si="257"/>
        <v>C41</v>
      </c>
      <c r="N2710" s="10" t="str">
        <f t="shared" si="258"/>
        <v>C85</v>
      </c>
      <c r="O2710" s="5">
        <f t="shared" si="259"/>
        <v>7.5103123472447857</v>
      </c>
      <c r="P2710" s="22">
        <f>O2710/Explications!$C$8</f>
        <v>0.25034374490815953</v>
      </c>
      <c r="Q2710" s="7" t="str">
        <f t="shared" si="260"/>
        <v>C85</v>
      </c>
      <c r="R2710" s="7" t="str">
        <f t="shared" si="261"/>
        <v>C41</v>
      </c>
      <c r="S2710" s="18">
        <f t="shared" si="262"/>
        <v>7.5103123472447857</v>
      </c>
      <c r="T2710" s="18">
        <f>S2710/Explications!$C$8</f>
        <v>0.25034374490815953</v>
      </c>
    </row>
    <row r="2711" spans="7:20">
      <c r="G2711" s="7" t="s">
        <v>58</v>
      </c>
      <c r="H2711" s="7" t="s">
        <v>59</v>
      </c>
      <c r="I2711" s="7">
        <v>46.8157</v>
      </c>
      <c r="J2711" s="7">
        <v>-71.2042</v>
      </c>
      <c r="K2711" s="7">
        <v>46.707000000000001</v>
      </c>
      <c r="L2711" s="7">
        <v>-71.217100000000002</v>
      </c>
      <c r="M2711" s="10" t="str">
        <f t="shared" si="257"/>
        <v>C42</v>
      </c>
      <c r="N2711" s="10" t="str">
        <f t="shared" si="258"/>
        <v>C43</v>
      </c>
      <c r="O2711" s="5">
        <f t="shared" si="259"/>
        <v>12.126765176299076</v>
      </c>
      <c r="P2711" s="22">
        <f>O2711/Explications!$C$8</f>
        <v>0.40422550587663586</v>
      </c>
      <c r="Q2711" s="7" t="str">
        <f t="shared" si="260"/>
        <v>C43</v>
      </c>
      <c r="R2711" s="7" t="str">
        <f t="shared" si="261"/>
        <v>C42</v>
      </c>
      <c r="S2711" s="18">
        <f t="shared" si="262"/>
        <v>12.126765176299076</v>
      </c>
      <c r="T2711" s="18">
        <f>S2711/Explications!$C$8</f>
        <v>0.40422550587663586</v>
      </c>
    </row>
    <row r="2712" spans="7:20">
      <c r="G2712" s="7" t="s">
        <v>58</v>
      </c>
      <c r="H2712" s="7" t="s">
        <v>60</v>
      </c>
      <c r="I2712" s="7">
        <v>46.8157</v>
      </c>
      <c r="J2712" s="7">
        <v>-71.2042</v>
      </c>
      <c r="K2712" s="7">
        <v>46.802900000000001</v>
      </c>
      <c r="L2712" s="7">
        <v>-71.228899999999996</v>
      </c>
      <c r="M2712" s="10" t="str">
        <f t="shared" si="257"/>
        <v>C42</v>
      </c>
      <c r="N2712" s="10" t="str">
        <f t="shared" si="258"/>
        <v>C44</v>
      </c>
      <c r="O2712" s="5">
        <f t="shared" si="259"/>
        <v>2.3578365131155676</v>
      </c>
      <c r="P2712" s="22">
        <f>O2712/Explications!$C$8</f>
        <v>7.8594550437185592E-2</v>
      </c>
      <c r="Q2712" s="7" t="str">
        <f t="shared" si="260"/>
        <v>C44</v>
      </c>
      <c r="R2712" s="7" t="str">
        <f t="shared" si="261"/>
        <v>C42</v>
      </c>
      <c r="S2712" s="18">
        <f t="shared" si="262"/>
        <v>2.3578365131155676</v>
      </c>
      <c r="T2712" s="18">
        <f>S2712/Explications!$C$8</f>
        <v>7.8594550437185592E-2</v>
      </c>
    </row>
    <row r="2713" spans="7:20">
      <c r="G2713" s="7" t="s">
        <v>58</v>
      </c>
      <c r="H2713" s="7" t="s">
        <v>61</v>
      </c>
      <c r="I2713" s="7">
        <v>46.8157</v>
      </c>
      <c r="J2713" s="7">
        <v>-71.2042</v>
      </c>
      <c r="K2713" s="7">
        <v>46.796900000000001</v>
      </c>
      <c r="L2713" s="7">
        <v>-71.3078</v>
      </c>
      <c r="M2713" s="10" t="str">
        <f t="shared" si="257"/>
        <v>C42</v>
      </c>
      <c r="N2713" s="10" t="str">
        <f t="shared" si="258"/>
        <v>C45</v>
      </c>
      <c r="O2713" s="5">
        <f t="shared" si="259"/>
        <v>8.1573262024260575</v>
      </c>
      <c r="P2713" s="22">
        <f>O2713/Explications!$C$8</f>
        <v>0.27191087341420189</v>
      </c>
      <c r="Q2713" s="7" t="str">
        <f t="shared" si="260"/>
        <v>C45</v>
      </c>
      <c r="R2713" s="7" t="str">
        <f t="shared" si="261"/>
        <v>C42</v>
      </c>
      <c r="S2713" s="18">
        <f t="shared" si="262"/>
        <v>8.1573262024260575</v>
      </c>
      <c r="T2713" s="18">
        <f>S2713/Explications!$C$8</f>
        <v>0.27191087341420189</v>
      </c>
    </row>
    <row r="2714" spans="7:20">
      <c r="G2714" s="7" t="s">
        <v>58</v>
      </c>
      <c r="H2714" s="7" t="s">
        <v>62</v>
      </c>
      <c r="I2714" s="7">
        <v>46.8157</v>
      </c>
      <c r="J2714" s="7">
        <v>-71.2042</v>
      </c>
      <c r="K2714" s="7">
        <v>46.803600000000003</v>
      </c>
      <c r="L2714" s="7">
        <v>-71.231099999999998</v>
      </c>
      <c r="M2714" s="10" t="str">
        <f t="shared" si="257"/>
        <v>C42</v>
      </c>
      <c r="N2714" s="10" t="str">
        <f t="shared" si="258"/>
        <v>C46</v>
      </c>
      <c r="O2714" s="5">
        <f t="shared" si="259"/>
        <v>2.4497618622606359</v>
      </c>
      <c r="P2714" s="22">
        <f>O2714/Explications!$C$8</f>
        <v>8.1658728742021194E-2</v>
      </c>
      <c r="Q2714" s="7" t="str">
        <f t="shared" si="260"/>
        <v>C46</v>
      </c>
      <c r="R2714" s="7" t="str">
        <f t="shared" si="261"/>
        <v>C42</v>
      </c>
      <c r="S2714" s="18">
        <f t="shared" si="262"/>
        <v>2.4497618622606359</v>
      </c>
      <c r="T2714" s="18">
        <f>S2714/Explications!$C$8</f>
        <v>8.1658728742021194E-2</v>
      </c>
    </row>
    <row r="2715" spans="7:20">
      <c r="G2715" s="7" t="s">
        <v>58</v>
      </c>
      <c r="H2715" s="7" t="s">
        <v>63</v>
      </c>
      <c r="I2715" s="7">
        <v>46.8157</v>
      </c>
      <c r="J2715" s="7">
        <v>-71.2042</v>
      </c>
      <c r="K2715" s="7">
        <v>46.802399999999999</v>
      </c>
      <c r="L2715" s="7">
        <v>-71.269800000000004</v>
      </c>
      <c r="M2715" s="10" t="str">
        <f t="shared" si="257"/>
        <v>C42</v>
      </c>
      <c r="N2715" s="10" t="str">
        <f t="shared" si="258"/>
        <v>C47</v>
      </c>
      <c r="O2715" s="5">
        <f t="shared" si="259"/>
        <v>5.2069467120693709</v>
      </c>
      <c r="P2715" s="22">
        <f>O2715/Explications!$C$8</f>
        <v>0.17356489040231235</v>
      </c>
      <c r="Q2715" s="7" t="str">
        <f t="shared" si="260"/>
        <v>C47</v>
      </c>
      <c r="R2715" s="7" t="str">
        <f t="shared" si="261"/>
        <v>C42</v>
      </c>
      <c r="S2715" s="18">
        <f t="shared" si="262"/>
        <v>5.2069467120693709</v>
      </c>
      <c r="T2715" s="18">
        <f>S2715/Explications!$C$8</f>
        <v>0.17356489040231235</v>
      </c>
    </row>
    <row r="2716" spans="7:20">
      <c r="G2716" s="7" t="s">
        <v>58</v>
      </c>
      <c r="H2716" s="7" t="s">
        <v>64</v>
      </c>
      <c r="I2716" s="7">
        <v>46.8157</v>
      </c>
      <c r="J2716" s="7">
        <v>-71.2042</v>
      </c>
      <c r="K2716" s="7">
        <v>46.826799999999999</v>
      </c>
      <c r="L2716" s="7">
        <v>-71.224199999999996</v>
      </c>
      <c r="M2716" s="10" t="str">
        <f t="shared" si="257"/>
        <v>C42</v>
      </c>
      <c r="N2716" s="10" t="str">
        <f t="shared" si="258"/>
        <v>C48</v>
      </c>
      <c r="O2716" s="5">
        <f t="shared" si="259"/>
        <v>1.9593790359130576</v>
      </c>
      <c r="P2716" s="22">
        <f>O2716/Explications!$C$8</f>
        <v>6.531263453043526E-2</v>
      </c>
      <c r="Q2716" s="7" t="str">
        <f t="shared" si="260"/>
        <v>C48</v>
      </c>
      <c r="R2716" s="7" t="str">
        <f t="shared" si="261"/>
        <v>C42</v>
      </c>
      <c r="S2716" s="18">
        <f t="shared" si="262"/>
        <v>1.9593790359130576</v>
      </c>
      <c r="T2716" s="18">
        <f>S2716/Explications!$C$8</f>
        <v>6.531263453043526E-2</v>
      </c>
    </row>
    <row r="2717" spans="7:20">
      <c r="G2717" s="7" t="s">
        <v>58</v>
      </c>
      <c r="H2717" s="7" t="s">
        <v>65</v>
      </c>
      <c r="I2717" s="7">
        <v>46.8157</v>
      </c>
      <c r="J2717" s="7">
        <v>-71.2042</v>
      </c>
      <c r="K2717" s="7">
        <v>46.864100000000001</v>
      </c>
      <c r="L2717" s="7">
        <v>-71.255499999999998</v>
      </c>
      <c r="M2717" s="10" t="str">
        <f t="shared" si="257"/>
        <v>C42</v>
      </c>
      <c r="N2717" s="10" t="str">
        <f t="shared" si="258"/>
        <v>C49</v>
      </c>
      <c r="O2717" s="5">
        <f t="shared" si="259"/>
        <v>6.6475160587230198</v>
      </c>
      <c r="P2717" s="22">
        <f>O2717/Explications!$C$8</f>
        <v>0.22158386862410065</v>
      </c>
      <c r="Q2717" s="7" t="str">
        <f t="shared" si="260"/>
        <v>C49</v>
      </c>
      <c r="R2717" s="7" t="str">
        <f t="shared" si="261"/>
        <v>C42</v>
      </c>
      <c r="S2717" s="18">
        <f t="shared" si="262"/>
        <v>6.6475160587230198</v>
      </c>
      <c r="T2717" s="18">
        <f>S2717/Explications!$C$8</f>
        <v>0.22158386862410065</v>
      </c>
    </row>
    <row r="2718" spans="7:20">
      <c r="G2718" s="7" t="s">
        <v>58</v>
      </c>
      <c r="H2718" s="7" t="s">
        <v>66</v>
      </c>
      <c r="I2718" s="7">
        <v>46.8157</v>
      </c>
      <c r="J2718" s="7">
        <v>-71.2042</v>
      </c>
      <c r="K2718" s="7">
        <v>46.843800000000002</v>
      </c>
      <c r="L2718" s="7">
        <v>-71.247299999999996</v>
      </c>
      <c r="M2718" s="10" t="str">
        <f t="shared" si="257"/>
        <v>C42</v>
      </c>
      <c r="N2718" s="10" t="str">
        <f t="shared" si="258"/>
        <v>C50</v>
      </c>
      <c r="O2718" s="5">
        <f t="shared" si="259"/>
        <v>4.5292413366771971</v>
      </c>
      <c r="P2718" s="22">
        <f>O2718/Explications!$C$8</f>
        <v>0.15097471122257325</v>
      </c>
      <c r="Q2718" s="7" t="str">
        <f t="shared" si="260"/>
        <v>C50</v>
      </c>
      <c r="R2718" s="7" t="str">
        <f t="shared" si="261"/>
        <v>C42</v>
      </c>
      <c r="S2718" s="18">
        <f t="shared" si="262"/>
        <v>4.5292413366771971</v>
      </c>
      <c r="T2718" s="18">
        <f>S2718/Explications!$C$8</f>
        <v>0.15097471122257325</v>
      </c>
    </row>
    <row r="2719" spans="7:20">
      <c r="G2719" s="7" t="s">
        <v>58</v>
      </c>
      <c r="H2719" s="7" t="s">
        <v>67</v>
      </c>
      <c r="I2719" s="7">
        <v>46.8157</v>
      </c>
      <c r="J2719" s="7">
        <v>-71.2042</v>
      </c>
      <c r="K2719" s="7">
        <v>46.765599999999999</v>
      </c>
      <c r="L2719" s="7">
        <v>-71.312100000000001</v>
      </c>
      <c r="M2719" s="10" t="str">
        <f t="shared" si="257"/>
        <v>C42</v>
      </c>
      <c r="N2719" s="10" t="str">
        <f t="shared" si="258"/>
        <v>C51</v>
      </c>
      <c r="O2719" s="5">
        <f t="shared" si="259"/>
        <v>9.9254115694520468</v>
      </c>
      <c r="P2719" s="22">
        <f>O2719/Explications!$C$8</f>
        <v>0.33084705231506822</v>
      </c>
      <c r="Q2719" s="7" t="str">
        <f t="shared" si="260"/>
        <v>C51</v>
      </c>
      <c r="R2719" s="7" t="str">
        <f t="shared" si="261"/>
        <v>C42</v>
      </c>
      <c r="S2719" s="18">
        <f t="shared" si="262"/>
        <v>9.9254115694520468</v>
      </c>
      <c r="T2719" s="18">
        <f>S2719/Explications!$C$8</f>
        <v>0.33084705231506822</v>
      </c>
    </row>
    <row r="2720" spans="7:20">
      <c r="G2720" s="7" t="s">
        <v>58</v>
      </c>
      <c r="H2720" s="7" t="s">
        <v>68</v>
      </c>
      <c r="I2720" s="7">
        <v>46.8157</v>
      </c>
      <c r="J2720" s="7">
        <v>-71.2042</v>
      </c>
      <c r="K2720" s="7">
        <v>46.787599999999998</v>
      </c>
      <c r="L2720" s="7">
        <v>-71.288600000000002</v>
      </c>
      <c r="M2720" s="10" t="str">
        <f t="shared" si="257"/>
        <v>C42</v>
      </c>
      <c r="N2720" s="10" t="str">
        <f t="shared" si="258"/>
        <v>C52</v>
      </c>
      <c r="O2720" s="5">
        <f t="shared" si="259"/>
        <v>7.143739601676768</v>
      </c>
      <c r="P2720" s="22">
        <f>O2720/Explications!$C$8</f>
        <v>0.23812465338922559</v>
      </c>
      <c r="Q2720" s="7" t="str">
        <f t="shared" si="260"/>
        <v>C52</v>
      </c>
      <c r="R2720" s="7" t="str">
        <f t="shared" si="261"/>
        <v>C42</v>
      </c>
      <c r="S2720" s="18">
        <f t="shared" si="262"/>
        <v>7.143739601676768</v>
      </c>
      <c r="T2720" s="18">
        <f>S2720/Explications!$C$8</f>
        <v>0.23812465338922559</v>
      </c>
    </row>
    <row r="2721" spans="7:20">
      <c r="G2721" s="7" t="s">
        <v>58</v>
      </c>
      <c r="H2721" s="7" t="s">
        <v>69</v>
      </c>
      <c r="I2721" s="7">
        <v>46.8157</v>
      </c>
      <c r="J2721" s="7">
        <v>-71.2042</v>
      </c>
      <c r="K2721" s="7">
        <v>46.764600000000002</v>
      </c>
      <c r="L2721" s="7">
        <v>-71.308300000000003</v>
      </c>
      <c r="M2721" s="10" t="str">
        <f t="shared" si="257"/>
        <v>C42</v>
      </c>
      <c r="N2721" s="10" t="str">
        <f t="shared" si="258"/>
        <v>C53</v>
      </c>
      <c r="O2721" s="5">
        <f t="shared" si="259"/>
        <v>9.7517682280672062</v>
      </c>
      <c r="P2721" s="22">
        <f>O2721/Explications!$C$8</f>
        <v>0.32505894093557353</v>
      </c>
      <c r="Q2721" s="7" t="str">
        <f t="shared" si="260"/>
        <v>C53</v>
      </c>
      <c r="R2721" s="7" t="str">
        <f t="shared" si="261"/>
        <v>C42</v>
      </c>
      <c r="S2721" s="18">
        <f t="shared" si="262"/>
        <v>9.7517682280672062</v>
      </c>
      <c r="T2721" s="18">
        <f>S2721/Explications!$C$8</f>
        <v>0.32505894093557353</v>
      </c>
    </row>
    <row r="2722" spans="7:20">
      <c r="G2722" s="7" t="s">
        <v>58</v>
      </c>
      <c r="H2722" s="7" t="s">
        <v>70</v>
      </c>
      <c r="I2722" s="7">
        <v>46.8157</v>
      </c>
      <c r="J2722" s="7">
        <v>-71.2042</v>
      </c>
      <c r="K2722" s="7">
        <v>46.849699999999999</v>
      </c>
      <c r="L2722" s="7">
        <v>-71.097399999999993</v>
      </c>
      <c r="M2722" s="10" t="str">
        <f t="shared" si="257"/>
        <v>C42</v>
      </c>
      <c r="N2722" s="10" t="str">
        <f t="shared" si="258"/>
        <v>C54</v>
      </c>
      <c r="O2722" s="5">
        <f t="shared" si="259"/>
        <v>8.9610417061497447</v>
      </c>
      <c r="P2722" s="22">
        <f>O2722/Explications!$C$8</f>
        <v>0.29870139020499148</v>
      </c>
      <c r="Q2722" s="7" t="str">
        <f t="shared" si="260"/>
        <v>C54</v>
      </c>
      <c r="R2722" s="7" t="str">
        <f t="shared" si="261"/>
        <v>C42</v>
      </c>
      <c r="S2722" s="18">
        <f t="shared" si="262"/>
        <v>8.9610417061497447</v>
      </c>
      <c r="T2722" s="18">
        <f>S2722/Explications!$C$8</f>
        <v>0.29870139020499148</v>
      </c>
    </row>
    <row r="2723" spans="7:20">
      <c r="G2723" s="7" t="s">
        <v>58</v>
      </c>
      <c r="H2723" s="7" t="s">
        <v>71</v>
      </c>
      <c r="I2723" s="7">
        <v>46.8157</v>
      </c>
      <c r="J2723" s="7">
        <v>-71.2042</v>
      </c>
      <c r="K2723" s="7">
        <v>46.788899999999998</v>
      </c>
      <c r="L2723" s="7">
        <v>-71.321399999999997</v>
      </c>
      <c r="M2723" s="10" t="str">
        <f t="shared" si="257"/>
        <v>C42</v>
      </c>
      <c r="N2723" s="10" t="str">
        <f t="shared" si="258"/>
        <v>C55</v>
      </c>
      <c r="O2723" s="5">
        <f t="shared" si="259"/>
        <v>9.4052555856041895</v>
      </c>
      <c r="P2723" s="22">
        <f>O2723/Explications!$C$8</f>
        <v>0.31350851952013964</v>
      </c>
      <c r="Q2723" s="7" t="str">
        <f t="shared" si="260"/>
        <v>C55</v>
      </c>
      <c r="R2723" s="7" t="str">
        <f t="shared" si="261"/>
        <v>C42</v>
      </c>
      <c r="S2723" s="18">
        <f t="shared" si="262"/>
        <v>9.4052555856041895</v>
      </c>
      <c r="T2723" s="18">
        <f>S2723/Explications!$C$8</f>
        <v>0.31350851952013964</v>
      </c>
    </row>
    <row r="2724" spans="7:20">
      <c r="G2724" s="7" t="s">
        <v>58</v>
      </c>
      <c r="H2724" s="7" t="s">
        <v>72</v>
      </c>
      <c r="I2724" s="7">
        <v>46.8157</v>
      </c>
      <c r="J2724" s="7">
        <v>-71.2042</v>
      </c>
      <c r="K2724" s="7">
        <v>46.795400000000001</v>
      </c>
      <c r="L2724" s="7">
        <v>-71.232600000000005</v>
      </c>
      <c r="M2724" s="10" t="str">
        <f t="shared" si="257"/>
        <v>C42</v>
      </c>
      <c r="N2724" s="10" t="str">
        <f t="shared" si="258"/>
        <v>C56</v>
      </c>
      <c r="O2724" s="5">
        <f t="shared" si="259"/>
        <v>3.1252893301778917</v>
      </c>
      <c r="P2724" s="22">
        <f>O2724/Explications!$C$8</f>
        <v>0.10417631100592972</v>
      </c>
      <c r="Q2724" s="7" t="str">
        <f t="shared" si="260"/>
        <v>C56</v>
      </c>
      <c r="R2724" s="7" t="str">
        <f t="shared" si="261"/>
        <v>C42</v>
      </c>
      <c r="S2724" s="18">
        <f t="shared" si="262"/>
        <v>3.1252893301778917</v>
      </c>
      <c r="T2724" s="18">
        <f>S2724/Explications!$C$8</f>
        <v>0.10417631100592972</v>
      </c>
    </row>
    <row r="2725" spans="7:20">
      <c r="G2725" s="7" t="s">
        <v>58</v>
      </c>
      <c r="H2725" s="7" t="s">
        <v>73</v>
      </c>
      <c r="I2725" s="7">
        <v>46.8157</v>
      </c>
      <c r="J2725" s="7">
        <v>-71.2042</v>
      </c>
      <c r="K2725" s="7">
        <v>46.801200000000001</v>
      </c>
      <c r="L2725" s="7">
        <v>-71.224999999999994</v>
      </c>
      <c r="M2725" s="10" t="str">
        <f t="shared" si="257"/>
        <v>C42</v>
      </c>
      <c r="N2725" s="10" t="str">
        <f t="shared" si="258"/>
        <v>C57</v>
      </c>
      <c r="O2725" s="5">
        <f t="shared" si="259"/>
        <v>2.2595385553245118</v>
      </c>
      <c r="P2725" s="22">
        <f>O2725/Explications!$C$8</f>
        <v>7.5317951844150396E-2</v>
      </c>
      <c r="Q2725" s="7" t="str">
        <f t="shared" si="260"/>
        <v>C57</v>
      </c>
      <c r="R2725" s="7" t="str">
        <f t="shared" si="261"/>
        <v>C42</v>
      </c>
      <c r="S2725" s="18">
        <f t="shared" si="262"/>
        <v>2.2595385553245118</v>
      </c>
      <c r="T2725" s="18">
        <f>S2725/Explications!$C$8</f>
        <v>7.5317951844150396E-2</v>
      </c>
    </row>
    <row r="2726" spans="7:20">
      <c r="G2726" s="7" t="s">
        <v>58</v>
      </c>
      <c r="H2726" s="7" t="s">
        <v>74</v>
      </c>
      <c r="I2726" s="7">
        <v>46.8157</v>
      </c>
      <c r="J2726" s="7">
        <v>-71.2042</v>
      </c>
      <c r="K2726" s="7">
        <v>46.773200000000003</v>
      </c>
      <c r="L2726" s="7">
        <v>-71.275899999999993</v>
      </c>
      <c r="M2726" s="10" t="str">
        <f t="shared" si="257"/>
        <v>C42</v>
      </c>
      <c r="N2726" s="10" t="str">
        <f t="shared" si="258"/>
        <v>C58</v>
      </c>
      <c r="O2726" s="5">
        <f t="shared" si="259"/>
        <v>7.219789713979087</v>
      </c>
      <c r="P2726" s="22">
        <f>O2726/Explications!$C$8</f>
        <v>0.24065965713263623</v>
      </c>
      <c r="Q2726" s="7" t="str">
        <f t="shared" si="260"/>
        <v>C58</v>
      </c>
      <c r="R2726" s="7" t="str">
        <f t="shared" si="261"/>
        <v>C42</v>
      </c>
      <c r="S2726" s="18">
        <f t="shared" si="262"/>
        <v>7.219789713979087</v>
      </c>
      <c r="T2726" s="18">
        <f>S2726/Explications!$C$8</f>
        <v>0.24065965713263623</v>
      </c>
    </row>
    <row r="2727" spans="7:20">
      <c r="G2727" s="7" t="s">
        <v>58</v>
      </c>
      <c r="H2727" s="7" t="s">
        <v>75</v>
      </c>
      <c r="I2727" s="7">
        <v>46.8157</v>
      </c>
      <c r="J2727" s="7">
        <v>-71.2042</v>
      </c>
      <c r="K2727" s="7">
        <v>46.814399999999999</v>
      </c>
      <c r="L2727" s="7">
        <v>-71.225700000000003</v>
      </c>
      <c r="M2727" s="10" t="str">
        <f t="shared" si="257"/>
        <v>C42</v>
      </c>
      <c r="N2727" s="10" t="str">
        <f t="shared" si="258"/>
        <v>C59</v>
      </c>
      <c r="O2727" s="5">
        <f t="shared" si="259"/>
        <v>1.6424561942921798</v>
      </c>
      <c r="P2727" s="22">
        <f>O2727/Explications!$C$8</f>
        <v>5.474853980973933E-2</v>
      </c>
      <c r="Q2727" s="7" t="str">
        <f t="shared" si="260"/>
        <v>C59</v>
      </c>
      <c r="R2727" s="7" t="str">
        <f t="shared" si="261"/>
        <v>C42</v>
      </c>
      <c r="S2727" s="18">
        <f t="shared" si="262"/>
        <v>1.6424561942921798</v>
      </c>
      <c r="T2727" s="18">
        <f>S2727/Explications!$C$8</f>
        <v>5.474853980973933E-2</v>
      </c>
    </row>
    <row r="2728" spans="7:20">
      <c r="G2728" s="7" t="s">
        <v>58</v>
      </c>
      <c r="H2728" s="7" t="s">
        <v>76</v>
      </c>
      <c r="I2728" s="7">
        <v>46.8157</v>
      </c>
      <c r="J2728" s="7">
        <v>-71.2042</v>
      </c>
      <c r="K2728" s="7">
        <v>46.772500000000001</v>
      </c>
      <c r="L2728" s="7">
        <v>-71.276300000000006</v>
      </c>
      <c r="M2728" s="10" t="str">
        <f t="shared" si="257"/>
        <v>C42</v>
      </c>
      <c r="N2728" s="10" t="str">
        <f t="shared" si="258"/>
        <v>C60</v>
      </c>
      <c r="O2728" s="5">
        <f t="shared" si="259"/>
        <v>7.29388979345467</v>
      </c>
      <c r="P2728" s="22">
        <f>O2728/Explications!$C$8</f>
        <v>0.24312965978182233</v>
      </c>
      <c r="Q2728" s="7" t="str">
        <f t="shared" si="260"/>
        <v>C60</v>
      </c>
      <c r="R2728" s="7" t="str">
        <f t="shared" si="261"/>
        <v>C42</v>
      </c>
      <c r="S2728" s="18">
        <f t="shared" si="262"/>
        <v>7.29388979345467</v>
      </c>
      <c r="T2728" s="18">
        <f>S2728/Explications!$C$8</f>
        <v>0.24312965978182233</v>
      </c>
    </row>
    <row r="2729" spans="7:20">
      <c r="G2729" s="7" t="s">
        <v>58</v>
      </c>
      <c r="H2729" s="7" t="s">
        <v>77</v>
      </c>
      <c r="I2729" s="7">
        <v>46.8157</v>
      </c>
      <c r="J2729" s="7">
        <v>-71.2042</v>
      </c>
      <c r="K2729" s="7">
        <v>46.810899999999997</v>
      </c>
      <c r="L2729" s="7">
        <v>-71.215599999999995</v>
      </c>
      <c r="M2729" s="10" t="str">
        <f t="shared" si="257"/>
        <v>C42</v>
      </c>
      <c r="N2729" s="10" t="str">
        <f t="shared" si="258"/>
        <v>C61</v>
      </c>
      <c r="O2729" s="5">
        <f t="shared" si="259"/>
        <v>1.0185707984177477</v>
      </c>
      <c r="P2729" s="22">
        <f>O2729/Explications!$C$8</f>
        <v>3.3952359947258252E-2</v>
      </c>
      <c r="Q2729" s="7" t="str">
        <f t="shared" si="260"/>
        <v>C61</v>
      </c>
      <c r="R2729" s="7" t="str">
        <f t="shared" si="261"/>
        <v>C42</v>
      </c>
      <c r="S2729" s="18">
        <f t="shared" si="262"/>
        <v>1.0185707984177477</v>
      </c>
      <c r="T2729" s="18">
        <f>S2729/Explications!$C$8</f>
        <v>3.3952359947258252E-2</v>
      </c>
    </row>
    <row r="2730" spans="7:20">
      <c r="G2730" s="7" t="s">
        <v>58</v>
      </c>
      <c r="H2730" s="7" t="s">
        <v>78</v>
      </c>
      <c r="I2730" s="7">
        <v>46.8157</v>
      </c>
      <c r="J2730" s="7">
        <v>-71.2042</v>
      </c>
      <c r="K2730" s="7">
        <v>46.795200000000001</v>
      </c>
      <c r="L2730" s="7">
        <v>-71.245099999999994</v>
      </c>
      <c r="M2730" s="10" t="str">
        <f t="shared" si="257"/>
        <v>C42</v>
      </c>
      <c r="N2730" s="10" t="str">
        <f t="shared" si="258"/>
        <v>C62</v>
      </c>
      <c r="O2730" s="5">
        <f t="shared" si="259"/>
        <v>3.8582842401955677</v>
      </c>
      <c r="P2730" s="22">
        <f>O2730/Explications!$C$8</f>
        <v>0.12860947467318559</v>
      </c>
      <c r="Q2730" s="7" t="str">
        <f t="shared" si="260"/>
        <v>C62</v>
      </c>
      <c r="R2730" s="7" t="str">
        <f t="shared" si="261"/>
        <v>C42</v>
      </c>
      <c r="S2730" s="18">
        <f t="shared" si="262"/>
        <v>3.8582842401955677</v>
      </c>
      <c r="T2730" s="18">
        <f>S2730/Explications!$C$8</f>
        <v>0.12860947467318559</v>
      </c>
    </row>
    <row r="2731" spans="7:20">
      <c r="G2731" s="7" t="s">
        <v>58</v>
      </c>
      <c r="H2731" s="7" t="s">
        <v>79</v>
      </c>
      <c r="I2731" s="7">
        <v>46.8157</v>
      </c>
      <c r="J2731" s="7">
        <v>-71.2042</v>
      </c>
      <c r="K2731" s="7">
        <v>46.822000000000003</v>
      </c>
      <c r="L2731" s="7">
        <v>-71.345699999999994</v>
      </c>
      <c r="M2731" s="10" t="str">
        <f t="shared" si="257"/>
        <v>C42</v>
      </c>
      <c r="N2731" s="10" t="str">
        <f t="shared" si="258"/>
        <v>C63</v>
      </c>
      <c r="O2731" s="5">
        <f t="shared" si="259"/>
        <v>10.789709970680965</v>
      </c>
      <c r="P2731" s="22">
        <f>O2731/Explications!$C$8</f>
        <v>0.35965699902269882</v>
      </c>
      <c r="Q2731" s="7" t="str">
        <f t="shared" si="260"/>
        <v>C63</v>
      </c>
      <c r="R2731" s="7" t="str">
        <f t="shared" si="261"/>
        <v>C42</v>
      </c>
      <c r="S2731" s="18">
        <f t="shared" si="262"/>
        <v>10.789709970680965</v>
      </c>
      <c r="T2731" s="18">
        <f>S2731/Explications!$C$8</f>
        <v>0.35965699902269882</v>
      </c>
    </row>
    <row r="2732" spans="7:20">
      <c r="G2732" s="7" t="s">
        <v>58</v>
      </c>
      <c r="H2732" s="7" t="s">
        <v>80</v>
      </c>
      <c r="I2732" s="7">
        <v>46.8157</v>
      </c>
      <c r="J2732" s="7">
        <v>-71.2042</v>
      </c>
      <c r="K2732" s="7">
        <v>46.779400000000003</v>
      </c>
      <c r="L2732" s="7">
        <v>-71.350399999999993</v>
      </c>
      <c r="M2732" s="10" t="str">
        <f t="shared" si="257"/>
        <v>C42</v>
      </c>
      <c r="N2732" s="10" t="str">
        <f t="shared" si="258"/>
        <v>C64</v>
      </c>
      <c r="O2732" s="5">
        <f t="shared" si="259"/>
        <v>11.8383498477244</v>
      </c>
      <c r="P2732" s="22">
        <f>O2732/Explications!$C$8</f>
        <v>0.39461166159081335</v>
      </c>
      <c r="Q2732" s="7" t="str">
        <f t="shared" si="260"/>
        <v>C64</v>
      </c>
      <c r="R2732" s="7" t="str">
        <f t="shared" si="261"/>
        <v>C42</v>
      </c>
      <c r="S2732" s="18">
        <f t="shared" si="262"/>
        <v>11.8383498477244</v>
      </c>
      <c r="T2732" s="18">
        <f>S2732/Explications!$C$8</f>
        <v>0.39461166159081335</v>
      </c>
    </row>
    <row r="2733" spans="7:20">
      <c r="G2733" s="7" t="s">
        <v>58</v>
      </c>
      <c r="H2733" s="7" t="s">
        <v>81</v>
      </c>
      <c r="I2733" s="7">
        <v>46.8157</v>
      </c>
      <c r="J2733" s="7">
        <v>-71.2042</v>
      </c>
      <c r="K2733" s="7">
        <v>46.772300000000001</v>
      </c>
      <c r="L2733" s="7">
        <v>-71.279799999999994</v>
      </c>
      <c r="M2733" s="10" t="str">
        <f t="shared" si="257"/>
        <v>C42</v>
      </c>
      <c r="N2733" s="10" t="str">
        <f t="shared" si="258"/>
        <v>C65</v>
      </c>
      <c r="O2733" s="5">
        <f t="shared" si="259"/>
        <v>7.5107224994307114</v>
      </c>
      <c r="P2733" s="22">
        <f>O2733/Explications!$C$8</f>
        <v>0.2503574166476904</v>
      </c>
      <c r="Q2733" s="7" t="str">
        <f t="shared" si="260"/>
        <v>C65</v>
      </c>
      <c r="R2733" s="7" t="str">
        <f t="shared" si="261"/>
        <v>C42</v>
      </c>
      <c r="S2733" s="18">
        <f t="shared" si="262"/>
        <v>7.5107224994307114</v>
      </c>
      <c r="T2733" s="18">
        <f>S2733/Explications!$C$8</f>
        <v>0.2503574166476904</v>
      </c>
    </row>
    <row r="2734" spans="7:20">
      <c r="G2734" s="7" t="s">
        <v>58</v>
      </c>
      <c r="H2734" s="7" t="s">
        <v>82</v>
      </c>
      <c r="I2734" s="7">
        <v>46.8157</v>
      </c>
      <c r="J2734" s="7">
        <v>-71.2042</v>
      </c>
      <c r="K2734" s="7">
        <v>46.814900000000002</v>
      </c>
      <c r="L2734" s="7">
        <v>-71.225200000000001</v>
      </c>
      <c r="M2734" s="10" t="str">
        <f t="shared" si="257"/>
        <v>C42</v>
      </c>
      <c r="N2734" s="10" t="str">
        <f t="shared" si="258"/>
        <v>C66</v>
      </c>
      <c r="O2734" s="5">
        <f t="shared" si="259"/>
        <v>1.6005008552186717</v>
      </c>
      <c r="P2734" s="22">
        <f>O2734/Explications!$C$8</f>
        <v>5.3350028507289059E-2</v>
      </c>
      <c r="Q2734" s="7" t="str">
        <f t="shared" si="260"/>
        <v>C66</v>
      </c>
      <c r="R2734" s="7" t="str">
        <f t="shared" si="261"/>
        <v>C42</v>
      </c>
      <c r="S2734" s="18">
        <f t="shared" si="262"/>
        <v>1.6005008552186717</v>
      </c>
      <c r="T2734" s="18">
        <f>S2734/Explications!$C$8</f>
        <v>5.3350028507289059E-2</v>
      </c>
    </row>
    <row r="2735" spans="7:20">
      <c r="G2735" s="7" t="s">
        <v>58</v>
      </c>
      <c r="H2735" s="7" t="s">
        <v>83</v>
      </c>
      <c r="I2735" s="7">
        <v>46.8157</v>
      </c>
      <c r="J2735" s="7">
        <v>-71.2042</v>
      </c>
      <c r="K2735" s="7">
        <v>46.814700000000002</v>
      </c>
      <c r="L2735" s="7">
        <v>-71.207300000000004</v>
      </c>
      <c r="M2735" s="10" t="str">
        <f t="shared" si="257"/>
        <v>C42</v>
      </c>
      <c r="N2735" s="10" t="str">
        <f t="shared" si="258"/>
        <v>C67</v>
      </c>
      <c r="O2735" s="5">
        <f t="shared" si="259"/>
        <v>0.26079291396876636</v>
      </c>
      <c r="P2735" s="22">
        <f>O2735/Explications!$C$8</f>
        <v>8.6930971322922122E-3</v>
      </c>
      <c r="Q2735" s="7" t="str">
        <f t="shared" si="260"/>
        <v>C67</v>
      </c>
      <c r="R2735" s="7" t="str">
        <f t="shared" si="261"/>
        <v>C42</v>
      </c>
      <c r="S2735" s="18">
        <f t="shared" si="262"/>
        <v>0.26079291396876636</v>
      </c>
      <c r="T2735" s="18">
        <f>S2735/Explications!$C$8</f>
        <v>8.6930971322922122E-3</v>
      </c>
    </row>
    <row r="2736" spans="7:20">
      <c r="G2736" s="7" t="s">
        <v>58</v>
      </c>
      <c r="H2736" s="7" t="s">
        <v>84</v>
      </c>
      <c r="I2736" s="7">
        <v>46.8157</v>
      </c>
      <c r="J2736" s="7">
        <v>-71.2042</v>
      </c>
      <c r="K2736" s="7">
        <v>46.815600000000003</v>
      </c>
      <c r="L2736" s="7">
        <v>-71.2029</v>
      </c>
      <c r="M2736" s="10" t="str">
        <f t="shared" si="257"/>
        <v>C42</v>
      </c>
      <c r="N2736" s="10" t="str">
        <f t="shared" si="258"/>
        <v>C68</v>
      </c>
      <c r="O2736" s="5">
        <f t="shared" si="259"/>
        <v>9.9547797219635914E-2</v>
      </c>
      <c r="P2736" s="22">
        <f>O2736/Explications!$C$8</f>
        <v>3.318259907321197E-3</v>
      </c>
      <c r="Q2736" s="7" t="str">
        <f t="shared" si="260"/>
        <v>C68</v>
      </c>
      <c r="R2736" s="7" t="str">
        <f t="shared" si="261"/>
        <v>C42</v>
      </c>
      <c r="S2736" s="18">
        <f t="shared" si="262"/>
        <v>9.9547797219635914E-2</v>
      </c>
      <c r="T2736" s="18">
        <f>S2736/Explications!$C$8</f>
        <v>3.318259907321197E-3</v>
      </c>
    </row>
    <row r="2737" spans="7:20">
      <c r="G2737" s="7" t="s">
        <v>58</v>
      </c>
      <c r="H2737" s="7" t="s">
        <v>85</v>
      </c>
      <c r="I2737" s="7">
        <v>46.8157</v>
      </c>
      <c r="J2737" s="7">
        <v>-71.2042</v>
      </c>
      <c r="K2737" s="7">
        <v>46.821899999999999</v>
      </c>
      <c r="L2737" s="7">
        <v>-71.249899999999997</v>
      </c>
      <c r="M2737" s="10" t="str">
        <f t="shared" si="257"/>
        <v>C42</v>
      </c>
      <c r="N2737" s="10" t="str">
        <f t="shared" si="258"/>
        <v>C69</v>
      </c>
      <c r="O2737" s="5">
        <f t="shared" si="259"/>
        <v>3.5450651128933544</v>
      </c>
      <c r="P2737" s="22">
        <f>O2737/Explications!$C$8</f>
        <v>0.11816883709644514</v>
      </c>
      <c r="Q2737" s="7" t="str">
        <f t="shared" si="260"/>
        <v>C69</v>
      </c>
      <c r="R2737" s="7" t="str">
        <f t="shared" si="261"/>
        <v>C42</v>
      </c>
      <c r="S2737" s="18">
        <f t="shared" si="262"/>
        <v>3.5450651128933544</v>
      </c>
      <c r="T2737" s="18">
        <f>S2737/Explications!$C$8</f>
        <v>0.11816883709644514</v>
      </c>
    </row>
    <row r="2738" spans="7:20">
      <c r="G2738" s="7" t="s">
        <v>58</v>
      </c>
      <c r="H2738" s="7" t="s">
        <v>86</v>
      </c>
      <c r="I2738" s="7">
        <v>46.8157</v>
      </c>
      <c r="J2738" s="7">
        <v>-71.2042</v>
      </c>
      <c r="K2738" s="7">
        <v>46.8872</v>
      </c>
      <c r="L2738" s="7">
        <v>-71.27</v>
      </c>
      <c r="M2738" s="10" t="str">
        <f t="shared" si="257"/>
        <v>C42</v>
      </c>
      <c r="N2738" s="10" t="str">
        <f t="shared" si="258"/>
        <v>C70</v>
      </c>
      <c r="O2738" s="5">
        <f t="shared" si="259"/>
        <v>9.3940028449249251</v>
      </c>
      <c r="P2738" s="22">
        <f>O2738/Explications!$C$8</f>
        <v>0.31313342816416417</v>
      </c>
      <c r="Q2738" s="7" t="str">
        <f t="shared" si="260"/>
        <v>C70</v>
      </c>
      <c r="R2738" s="7" t="str">
        <f t="shared" si="261"/>
        <v>C42</v>
      </c>
      <c r="S2738" s="18">
        <f t="shared" si="262"/>
        <v>9.3940028449249251</v>
      </c>
      <c r="T2738" s="18">
        <f>S2738/Explications!$C$8</f>
        <v>0.31313342816416417</v>
      </c>
    </row>
    <row r="2739" spans="7:20">
      <c r="G2739" s="7" t="s">
        <v>58</v>
      </c>
      <c r="H2739" s="7" t="s">
        <v>87</v>
      </c>
      <c r="I2739" s="7">
        <v>46.8157</v>
      </c>
      <c r="J2739" s="7">
        <v>-71.2042</v>
      </c>
      <c r="K2739" s="7">
        <v>46.816299999999998</v>
      </c>
      <c r="L2739" s="7">
        <v>-71.210300000000004</v>
      </c>
      <c r="M2739" s="10" t="str">
        <f t="shared" si="257"/>
        <v>C42</v>
      </c>
      <c r="N2739" s="10" t="str">
        <f t="shared" si="258"/>
        <v>C71</v>
      </c>
      <c r="O2739" s="5">
        <f t="shared" si="259"/>
        <v>0.46895281310678949</v>
      </c>
      <c r="P2739" s="22">
        <f>O2739/Explications!$C$8</f>
        <v>1.5631760436892982E-2</v>
      </c>
      <c r="Q2739" s="7" t="str">
        <f t="shared" si="260"/>
        <v>C71</v>
      </c>
      <c r="R2739" s="7" t="str">
        <f t="shared" si="261"/>
        <v>C42</v>
      </c>
      <c r="S2739" s="18">
        <f t="shared" si="262"/>
        <v>0.46895281310678949</v>
      </c>
      <c r="T2739" s="18">
        <f>S2739/Explications!$C$8</f>
        <v>1.5631760436892982E-2</v>
      </c>
    </row>
    <row r="2740" spans="7:20">
      <c r="G2740" s="7" t="s">
        <v>58</v>
      </c>
      <c r="H2740" s="7" t="s">
        <v>88</v>
      </c>
      <c r="I2740" s="7">
        <v>46.8157</v>
      </c>
      <c r="J2740" s="7">
        <v>-71.2042</v>
      </c>
      <c r="K2740" s="7">
        <v>46.807000000000002</v>
      </c>
      <c r="L2740" s="7">
        <v>-71.3566</v>
      </c>
      <c r="M2740" s="10" t="str">
        <f t="shared" si="257"/>
        <v>C42</v>
      </c>
      <c r="N2740" s="10" t="str">
        <f t="shared" si="258"/>
        <v>C72</v>
      </c>
      <c r="O2740" s="5">
        <f t="shared" si="259"/>
        <v>11.638234918377245</v>
      </c>
      <c r="P2740" s="22">
        <f>O2740/Explications!$C$8</f>
        <v>0.38794116394590816</v>
      </c>
      <c r="Q2740" s="7" t="str">
        <f t="shared" si="260"/>
        <v>C72</v>
      </c>
      <c r="R2740" s="7" t="str">
        <f t="shared" si="261"/>
        <v>C42</v>
      </c>
      <c r="S2740" s="18">
        <f t="shared" si="262"/>
        <v>11.638234918377245</v>
      </c>
      <c r="T2740" s="18">
        <f>S2740/Explications!$C$8</f>
        <v>0.38794116394590816</v>
      </c>
    </row>
    <row r="2741" spans="7:20">
      <c r="G2741" s="7" t="s">
        <v>58</v>
      </c>
      <c r="H2741" s="7" t="s">
        <v>89</v>
      </c>
      <c r="I2741" s="7">
        <v>46.8157</v>
      </c>
      <c r="J2741" s="7">
        <v>-71.2042</v>
      </c>
      <c r="K2741" s="7">
        <v>46.822899999999997</v>
      </c>
      <c r="L2741" s="7">
        <v>-71.341899999999995</v>
      </c>
      <c r="M2741" s="10" t="str">
        <f t="shared" si="257"/>
        <v>C42</v>
      </c>
      <c r="N2741" s="10" t="str">
        <f t="shared" si="258"/>
        <v>C73</v>
      </c>
      <c r="O2741" s="5">
        <f t="shared" si="259"/>
        <v>10.508252210117092</v>
      </c>
      <c r="P2741" s="22">
        <f>O2741/Explications!$C$8</f>
        <v>0.35027507367056976</v>
      </c>
      <c r="Q2741" s="7" t="str">
        <f t="shared" si="260"/>
        <v>C73</v>
      </c>
      <c r="R2741" s="7" t="str">
        <f t="shared" si="261"/>
        <v>C42</v>
      </c>
      <c r="S2741" s="18">
        <f t="shared" si="262"/>
        <v>10.508252210117092</v>
      </c>
      <c r="T2741" s="18">
        <f>S2741/Explications!$C$8</f>
        <v>0.35027507367056976</v>
      </c>
    </row>
    <row r="2742" spans="7:20">
      <c r="G2742" s="7" t="s">
        <v>58</v>
      </c>
      <c r="H2742" s="7" t="s">
        <v>90</v>
      </c>
      <c r="I2742" s="7">
        <v>46.8157</v>
      </c>
      <c r="J2742" s="7">
        <v>-71.2042</v>
      </c>
      <c r="K2742" s="7">
        <v>46.730699999999999</v>
      </c>
      <c r="L2742" s="7">
        <v>-71.261099999999999</v>
      </c>
      <c r="M2742" s="10" t="str">
        <f t="shared" si="257"/>
        <v>C42</v>
      </c>
      <c r="N2742" s="10" t="str">
        <f t="shared" si="258"/>
        <v>C74</v>
      </c>
      <c r="O2742" s="5">
        <f t="shared" si="259"/>
        <v>10.397569703952009</v>
      </c>
      <c r="P2742" s="22">
        <f>O2742/Explications!$C$8</f>
        <v>0.34658565679840031</v>
      </c>
      <c r="Q2742" s="7" t="str">
        <f t="shared" si="260"/>
        <v>C74</v>
      </c>
      <c r="R2742" s="7" t="str">
        <f t="shared" si="261"/>
        <v>C42</v>
      </c>
      <c r="S2742" s="18">
        <f t="shared" si="262"/>
        <v>10.397569703952009</v>
      </c>
      <c r="T2742" s="18">
        <f>S2742/Explications!$C$8</f>
        <v>0.34658565679840031</v>
      </c>
    </row>
    <row r="2743" spans="7:20">
      <c r="G2743" s="7" t="s">
        <v>58</v>
      </c>
      <c r="H2743" s="7" t="s">
        <v>91</v>
      </c>
      <c r="I2743" s="7">
        <v>46.8157</v>
      </c>
      <c r="J2743" s="7">
        <v>-71.2042</v>
      </c>
      <c r="K2743" s="7">
        <v>46.840600000000002</v>
      </c>
      <c r="L2743" s="7">
        <v>-71.289100000000005</v>
      </c>
      <c r="M2743" s="10" t="str">
        <f t="shared" si="257"/>
        <v>C42</v>
      </c>
      <c r="N2743" s="10" t="str">
        <f t="shared" si="258"/>
        <v>C75</v>
      </c>
      <c r="O2743" s="5">
        <f t="shared" si="259"/>
        <v>7.0274690626578229</v>
      </c>
      <c r="P2743" s="22">
        <f>O2743/Explications!$C$8</f>
        <v>0.23424896875526077</v>
      </c>
      <c r="Q2743" s="7" t="str">
        <f t="shared" si="260"/>
        <v>C75</v>
      </c>
      <c r="R2743" s="7" t="str">
        <f t="shared" si="261"/>
        <v>C42</v>
      </c>
      <c r="S2743" s="18">
        <f t="shared" si="262"/>
        <v>7.0274690626578229</v>
      </c>
      <c r="T2743" s="18">
        <f>S2743/Explications!$C$8</f>
        <v>0.23424896875526077</v>
      </c>
    </row>
    <row r="2744" spans="7:20">
      <c r="G2744" s="7" t="s">
        <v>58</v>
      </c>
      <c r="H2744" s="7" t="s">
        <v>92</v>
      </c>
      <c r="I2744" s="7">
        <v>46.8157</v>
      </c>
      <c r="J2744" s="7">
        <v>-71.2042</v>
      </c>
      <c r="K2744" s="7">
        <v>46.840600000000002</v>
      </c>
      <c r="L2744" s="7">
        <v>-71.281599999999997</v>
      </c>
      <c r="M2744" s="10" t="str">
        <f t="shared" si="257"/>
        <v>C42</v>
      </c>
      <c r="N2744" s="10" t="str">
        <f t="shared" si="258"/>
        <v>C76</v>
      </c>
      <c r="O2744" s="5">
        <f t="shared" si="259"/>
        <v>6.5069183667203347</v>
      </c>
      <c r="P2744" s="22">
        <f>O2744/Explications!$C$8</f>
        <v>0.21689727889067784</v>
      </c>
      <c r="Q2744" s="7" t="str">
        <f t="shared" si="260"/>
        <v>C76</v>
      </c>
      <c r="R2744" s="7" t="str">
        <f t="shared" si="261"/>
        <v>C42</v>
      </c>
      <c r="S2744" s="18">
        <f t="shared" si="262"/>
        <v>6.5069183667203347</v>
      </c>
      <c r="T2744" s="18">
        <f>S2744/Explications!$C$8</f>
        <v>0.21689727889067784</v>
      </c>
    </row>
    <row r="2745" spans="7:20">
      <c r="G2745" s="7" t="s">
        <v>58</v>
      </c>
      <c r="H2745" s="7" t="s">
        <v>93</v>
      </c>
      <c r="I2745" s="7">
        <v>46.8157</v>
      </c>
      <c r="J2745" s="7">
        <v>-71.2042</v>
      </c>
      <c r="K2745" s="7">
        <v>46.839399999999998</v>
      </c>
      <c r="L2745" s="7">
        <v>-71.282600000000002</v>
      </c>
      <c r="M2745" s="10" t="str">
        <f t="shared" si="257"/>
        <v>C42</v>
      </c>
      <c r="N2745" s="10" t="str">
        <f t="shared" si="258"/>
        <v>C77</v>
      </c>
      <c r="O2745" s="5">
        <f t="shared" si="259"/>
        <v>6.5208474140584016</v>
      </c>
      <c r="P2745" s="22">
        <f>O2745/Explications!$C$8</f>
        <v>0.2173615804686134</v>
      </c>
      <c r="Q2745" s="7" t="str">
        <f t="shared" si="260"/>
        <v>C77</v>
      </c>
      <c r="R2745" s="7" t="str">
        <f t="shared" si="261"/>
        <v>C42</v>
      </c>
      <c r="S2745" s="18">
        <f t="shared" si="262"/>
        <v>6.5208474140584016</v>
      </c>
      <c r="T2745" s="18">
        <f>S2745/Explications!$C$8</f>
        <v>0.2173615804686134</v>
      </c>
    </row>
    <row r="2746" spans="7:20">
      <c r="G2746" s="7" t="s">
        <v>58</v>
      </c>
      <c r="H2746" s="7" t="s">
        <v>94</v>
      </c>
      <c r="I2746" s="7">
        <v>46.8157</v>
      </c>
      <c r="J2746" s="7">
        <v>-71.2042</v>
      </c>
      <c r="K2746" s="7">
        <v>46.788499999999999</v>
      </c>
      <c r="L2746" s="7">
        <v>-71.282399999999996</v>
      </c>
      <c r="M2746" s="10" t="str">
        <f t="shared" si="257"/>
        <v>C42</v>
      </c>
      <c r="N2746" s="10" t="str">
        <f t="shared" si="258"/>
        <v>C78</v>
      </c>
      <c r="O2746" s="5">
        <f t="shared" si="259"/>
        <v>6.6765551646707877</v>
      </c>
      <c r="P2746" s="22">
        <f>O2746/Explications!$C$8</f>
        <v>0.2225518388223596</v>
      </c>
      <c r="Q2746" s="7" t="str">
        <f t="shared" si="260"/>
        <v>C78</v>
      </c>
      <c r="R2746" s="7" t="str">
        <f t="shared" si="261"/>
        <v>C42</v>
      </c>
      <c r="S2746" s="18">
        <f t="shared" si="262"/>
        <v>6.6765551646707877</v>
      </c>
      <c r="T2746" s="18">
        <f>S2746/Explications!$C$8</f>
        <v>0.2225518388223596</v>
      </c>
    </row>
    <row r="2747" spans="7:20">
      <c r="G2747" s="7" t="s">
        <v>58</v>
      </c>
      <c r="H2747" s="7" t="s">
        <v>95</v>
      </c>
      <c r="I2747" s="7">
        <v>46.8157</v>
      </c>
      <c r="J2747" s="7">
        <v>-71.2042</v>
      </c>
      <c r="K2747" s="7">
        <v>46.840699999999998</v>
      </c>
      <c r="L2747" s="7">
        <v>-71.325400000000002</v>
      </c>
      <c r="M2747" s="10" t="str">
        <f t="shared" si="257"/>
        <v>C42</v>
      </c>
      <c r="N2747" s="10" t="str">
        <f t="shared" si="258"/>
        <v>C79</v>
      </c>
      <c r="O2747" s="5">
        <f t="shared" si="259"/>
        <v>9.6306130556674301</v>
      </c>
      <c r="P2747" s="22">
        <f>O2747/Explications!$C$8</f>
        <v>0.32102043518891432</v>
      </c>
      <c r="Q2747" s="7" t="str">
        <f t="shared" si="260"/>
        <v>C79</v>
      </c>
      <c r="R2747" s="7" t="str">
        <f t="shared" si="261"/>
        <v>C42</v>
      </c>
      <c r="S2747" s="18">
        <f t="shared" si="262"/>
        <v>9.6306130556674301</v>
      </c>
      <c r="T2747" s="18">
        <f>S2747/Explications!$C$8</f>
        <v>0.32102043518891432</v>
      </c>
    </row>
    <row r="2748" spans="7:20">
      <c r="G2748" s="7" t="s">
        <v>58</v>
      </c>
      <c r="H2748" s="7" t="s">
        <v>96</v>
      </c>
      <c r="I2748" s="7">
        <v>46.8157</v>
      </c>
      <c r="J2748" s="7">
        <v>-71.2042</v>
      </c>
      <c r="K2748" s="7">
        <v>46.798400000000001</v>
      </c>
      <c r="L2748" s="7">
        <v>-71.183199999999999</v>
      </c>
      <c r="M2748" s="10" t="str">
        <f t="shared" si="257"/>
        <v>C42</v>
      </c>
      <c r="N2748" s="10" t="str">
        <f t="shared" si="258"/>
        <v>C80</v>
      </c>
      <c r="O2748" s="5">
        <f t="shared" si="259"/>
        <v>2.5009974339601539</v>
      </c>
      <c r="P2748" s="22">
        <f>O2748/Explications!$C$8</f>
        <v>8.3366581132005138E-2</v>
      </c>
      <c r="Q2748" s="7" t="str">
        <f t="shared" si="260"/>
        <v>C80</v>
      </c>
      <c r="R2748" s="7" t="str">
        <f t="shared" si="261"/>
        <v>C42</v>
      </c>
      <c r="S2748" s="18">
        <f t="shared" si="262"/>
        <v>2.5009974339601539</v>
      </c>
      <c r="T2748" s="18">
        <f>S2748/Explications!$C$8</f>
        <v>8.3366581132005138E-2</v>
      </c>
    </row>
    <row r="2749" spans="7:20">
      <c r="G2749" s="7" t="s">
        <v>58</v>
      </c>
      <c r="H2749" s="7" t="s">
        <v>97</v>
      </c>
      <c r="I2749" s="7">
        <v>46.8157</v>
      </c>
      <c r="J2749" s="7">
        <v>-71.2042</v>
      </c>
      <c r="K2749" s="7">
        <v>46.724800000000002</v>
      </c>
      <c r="L2749" s="7">
        <v>-71.2988</v>
      </c>
      <c r="M2749" s="10" t="str">
        <f t="shared" si="257"/>
        <v>C42</v>
      </c>
      <c r="N2749" s="10" t="str">
        <f t="shared" si="258"/>
        <v>C81</v>
      </c>
      <c r="O2749" s="5">
        <f t="shared" si="259"/>
        <v>12.412592651854517</v>
      </c>
      <c r="P2749" s="22">
        <f>O2749/Explications!$C$8</f>
        <v>0.41375308839515057</v>
      </c>
      <c r="Q2749" s="7" t="str">
        <f t="shared" si="260"/>
        <v>C81</v>
      </c>
      <c r="R2749" s="7" t="str">
        <f t="shared" si="261"/>
        <v>C42</v>
      </c>
      <c r="S2749" s="18">
        <f t="shared" si="262"/>
        <v>12.412592651854517</v>
      </c>
      <c r="T2749" s="18">
        <f>S2749/Explications!$C$8</f>
        <v>0.41375308839515057</v>
      </c>
    </row>
    <row r="2750" spans="7:20">
      <c r="G2750" s="7" t="s">
        <v>58</v>
      </c>
      <c r="H2750" s="7" t="s">
        <v>98</v>
      </c>
      <c r="I2750" s="7">
        <v>46.8157</v>
      </c>
      <c r="J2750" s="7">
        <v>-71.2042</v>
      </c>
      <c r="K2750" s="7">
        <v>46.795499999999997</v>
      </c>
      <c r="L2750" s="7">
        <v>-71.242900000000006</v>
      </c>
      <c r="M2750" s="10" t="str">
        <f t="shared" si="257"/>
        <v>C42</v>
      </c>
      <c r="N2750" s="10" t="str">
        <f t="shared" si="258"/>
        <v>C82</v>
      </c>
      <c r="O2750" s="5">
        <f t="shared" si="259"/>
        <v>3.7041740482189853</v>
      </c>
      <c r="P2750" s="22">
        <f>O2750/Explications!$C$8</f>
        <v>0.12347246827396617</v>
      </c>
      <c r="Q2750" s="7" t="str">
        <f t="shared" si="260"/>
        <v>C82</v>
      </c>
      <c r="R2750" s="7" t="str">
        <f t="shared" si="261"/>
        <v>C42</v>
      </c>
      <c r="S2750" s="18">
        <f t="shared" si="262"/>
        <v>3.7041740482189853</v>
      </c>
      <c r="T2750" s="18">
        <f>S2750/Explications!$C$8</f>
        <v>0.12347246827396617</v>
      </c>
    </row>
    <row r="2751" spans="7:20">
      <c r="G2751" s="7" t="s">
        <v>58</v>
      </c>
      <c r="H2751" s="7" t="s">
        <v>99</v>
      </c>
      <c r="I2751" s="7">
        <v>46.8157</v>
      </c>
      <c r="J2751" s="7">
        <v>-71.2042</v>
      </c>
      <c r="K2751" s="7">
        <v>46.8157</v>
      </c>
      <c r="L2751" s="7">
        <v>-71.201899999999995</v>
      </c>
      <c r="M2751" s="10" t="str">
        <f t="shared" si="257"/>
        <v>C42</v>
      </c>
      <c r="N2751" s="10" t="str">
        <f t="shared" si="258"/>
        <v>C83</v>
      </c>
      <c r="O2751" s="5">
        <f t="shared" si="259"/>
        <v>0.17502068232031598</v>
      </c>
      <c r="P2751" s="22">
        <f>O2751/Explications!$C$8</f>
        <v>5.8340227440105323E-3</v>
      </c>
      <c r="Q2751" s="7" t="str">
        <f t="shared" si="260"/>
        <v>C83</v>
      </c>
      <c r="R2751" s="7" t="str">
        <f t="shared" si="261"/>
        <v>C42</v>
      </c>
      <c r="S2751" s="18">
        <f t="shared" si="262"/>
        <v>0.17502068232031598</v>
      </c>
      <c r="T2751" s="18">
        <f>S2751/Explications!$C$8</f>
        <v>5.8340227440105323E-3</v>
      </c>
    </row>
    <row r="2752" spans="7:20">
      <c r="G2752" s="7" t="s">
        <v>58</v>
      </c>
      <c r="H2752" s="7" t="s">
        <v>100</v>
      </c>
      <c r="I2752" s="7">
        <v>46.8157</v>
      </c>
      <c r="J2752" s="7">
        <v>-71.2042</v>
      </c>
      <c r="K2752" s="7">
        <v>46.837600000000002</v>
      </c>
      <c r="L2752" s="7">
        <v>-71.196299999999994</v>
      </c>
      <c r="M2752" s="10" t="str">
        <f t="shared" si="257"/>
        <v>C42</v>
      </c>
      <c r="N2752" s="10" t="str">
        <f t="shared" si="258"/>
        <v>C84</v>
      </c>
      <c r="O2752" s="5">
        <f t="shared" si="259"/>
        <v>2.5082446654231436</v>
      </c>
      <c r="P2752" s="22">
        <f>O2752/Explications!$C$8</f>
        <v>8.360815551410479E-2</v>
      </c>
      <c r="Q2752" s="7" t="str">
        <f t="shared" si="260"/>
        <v>C84</v>
      </c>
      <c r="R2752" s="7" t="str">
        <f t="shared" si="261"/>
        <v>C42</v>
      </c>
      <c r="S2752" s="18">
        <f t="shared" si="262"/>
        <v>2.5082446654231436</v>
      </c>
      <c r="T2752" s="18">
        <f>S2752/Explications!$C$8</f>
        <v>8.360815551410479E-2</v>
      </c>
    </row>
    <row r="2753" spans="7:20">
      <c r="G2753" s="7" t="s">
        <v>58</v>
      </c>
      <c r="H2753" s="7" t="s">
        <v>101</v>
      </c>
      <c r="I2753" s="7">
        <v>46.8157</v>
      </c>
      <c r="J2753" s="7">
        <v>-71.2042</v>
      </c>
      <c r="K2753" s="7">
        <v>46.7988</v>
      </c>
      <c r="L2753" s="7">
        <v>-71.318200000000004</v>
      </c>
      <c r="M2753" s="10" t="str">
        <f t="shared" si="257"/>
        <v>C42</v>
      </c>
      <c r="N2753" s="10" t="str">
        <f t="shared" si="258"/>
        <v>C85</v>
      </c>
      <c r="O2753" s="5">
        <f t="shared" si="259"/>
        <v>8.8774750438756254</v>
      </c>
      <c r="P2753" s="22">
        <f>O2753/Explications!$C$8</f>
        <v>0.2959158347958542</v>
      </c>
      <c r="Q2753" s="7" t="str">
        <f t="shared" si="260"/>
        <v>C85</v>
      </c>
      <c r="R2753" s="7" t="str">
        <f t="shared" si="261"/>
        <v>C42</v>
      </c>
      <c r="S2753" s="18">
        <f t="shared" si="262"/>
        <v>8.8774750438756254</v>
      </c>
      <c r="T2753" s="18">
        <f>S2753/Explications!$C$8</f>
        <v>0.2959158347958542</v>
      </c>
    </row>
    <row r="2754" spans="7:20">
      <c r="G2754" s="7" t="s">
        <v>59</v>
      </c>
      <c r="H2754" s="7" t="s">
        <v>60</v>
      </c>
      <c r="I2754" s="7">
        <v>46.707000000000001</v>
      </c>
      <c r="J2754" s="7">
        <v>-71.217100000000002</v>
      </c>
      <c r="K2754" s="7">
        <v>46.802900000000001</v>
      </c>
      <c r="L2754" s="7">
        <v>-71.228899999999996</v>
      </c>
      <c r="M2754" s="10" t="str">
        <f t="shared" si="257"/>
        <v>C43</v>
      </c>
      <c r="N2754" s="10" t="str">
        <f t="shared" si="258"/>
        <v>C44</v>
      </c>
      <c r="O2754" s="5">
        <f t="shared" si="259"/>
        <v>10.701417144318976</v>
      </c>
      <c r="P2754" s="22">
        <f>O2754/Explications!$C$8</f>
        <v>0.35671390481063253</v>
      </c>
      <c r="Q2754" s="7" t="str">
        <f t="shared" si="260"/>
        <v>C44</v>
      </c>
      <c r="R2754" s="7" t="str">
        <f t="shared" si="261"/>
        <v>C43</v>
      </c>
      <c r="S2754" s="18">
        <f t="shared" si="262"/>
        <v>10.701417144318976</v>
      </c>
      <c r="T2754" s="18">
        <f>S2754/Explications!$C$8</f>
        <v>0.35671390481063253</v>
      </c>
    </row>
    <row r="2755" spans="7:20">
      <c r="G2755" s="7" t="s">
        <v>59</v>
      </c>
      <c r="H2755" s="7" t="s">
        <v>61</v>
      </c>
      <c r="I2755" s="7">
        <v>46.707000000000001</v>
      </c>
      <c r="J2755" s="7">
        <v>-71.217100000000002</v>
      </c>
      <c r="K2755" s="7">
        <v>46.796900000000001</v>
      </c>
      <c r="L2755" s="7">
        <v>-71.3078</v>
      </c>
      <c r="M2755" s="10" t="str">
        <f t="shared" si="257"/>
        <v>C43</v>
      </c>
      <c r="N2755" s="10" t="str">
        <f t="shared" si="258"/>
        <v>C45</v>
      </c>
      <c r="O2755" s="5">
        <f t="shared" si="259"/>
        <v>12.152269664112547</v>
      </c>
      <c r="P2755" s="22">
        <f>O2755/Explications!$C$8</f>
        <v>0.40507565547041824</v>
      </c>
      <c r="Q2755" s="7" t="str">
        <f t="shared" si="260"/>
        <v>C45</v>
      </c>
      <c r="R2755" s="7" t="str">
        <f t="shared" si="261"/>
        <v>C43</v>
      </c>
      <c r="S2755" s="18">
        <f t="shared" si="262"/>
        <v>12.152269664112547</v>
      </c>
      <c r="T2755" s="18">
        <f>S2755/Explications!$C$8</f>
        <v>0.40507565547041824</v>
      </c>
    </row>
    <row r="2756" spans="7:20">
      <c r="G2756" s="7" t="s">
        <v>59</v>
      </c>
      <c r="H2756" s="7" t="s">
        <v>62</v>
      </c>
      <c r="I2756" s="7">
        <v>46.707000000000001</v>
      </c>
      <c r="J2756" s="7">
        <v>-71.217100000000002</v>
      </c>
      <c r="K2756" s="7">
        <v>46.803600000000003</v>
      </c>
      <c r="L2756" s="7">
        <v>-71.231099999999998</v>
      </c>
      <c r="M2756" s="10" t="str">
        <f t="shared" ref="M2756:M2819" si="263">G2756</f>
        <v>C43</v>
      </c>
      <c r="N2756" s="10" t="str">
        <f t="shared" ref="N2756:N2819" si="264">H2756</f>
        <v>C46</v>
      </c>
      <c r="O2756" s="5">
        <f t="shared" ref="O2756:O2819" si="265">ACOS(SIN(RADIANS(I2756))*SIN(RADIANS(K2756))+COS(RADIANS(I2756))*COS(RADIANS(K2756))*COS(RADIANS(J2756-L2756)))*6371</f>
        <v>10.794249466344771</v>
      </c>
      <c r="P2756" s="22">
        <f>O2756/Explications!$C$8</f>
        <v>0.35980831554482573</v>
      </c>
      <c r="Q2756" s="7" t="str">
        <f t="shared" ref="Q2756:Q2819" si="266">N2756</f>
        <v>C46</v>
      </c>
      <c r="R2756" s="7" t="str">
        <f t="shared" ref="R2756:R2819" si="267">M2756</f>
        <v>C43</v>
      </c>
      <c r="S2756" s="18">
        <f t="shared" ref="S2756:S2819" si="268">O2756</f>
        <v>10.794249466344771</v>
      </c>
      <c r="T2756" s="18">
        <f>S2756/Explications!$C$8</f>
        <v>0.35980831554482573</v>
      </c>
    </row>
    <row r="2757" spans="7:20">
      <c r="G2757" s="7" t="s">
        <v>59</v>
      </c>
      <c r="H2757" s="7" t="s">
        <v>63</v>
      </c>
      <c r="I2757" s="7">
        <v>46.707000000000001</v>
      </c>
      <c r="J2757" s="7">
        <v>-71.217100000000002</v>
      </c>
      <c r="K2757" s="7">
        <v>46.802399999999999</v>
      </c>
      <c r="L2757" s="7">
        <v>-71.269800000000004</v>
      </c>
      <c r="M2757" s="10" t="str">
        <f t="shared" si="263"/>
        <v>C43</v>
      </c>
      <c r="N2757" s="10" t="str">
        <f t="shared" si="264"/>
        <v>C47</v>
      </c>
      <c r="O2757" s="5">
        <f t="shared" si="265"/>
        <v>11.342319375973855</v>
      </c>
      <c r="P2757" s="22">
        <f>O2757/Explications!$C$8</f>
        <v>0.3780773125324618</v>
      </c>
      <c r="Q2757" s="7" t="str">
        <f t="shared" si="266"/>
        <v>C47</v>
      </c>
      <c r="R2757" s="7" t="str">
        <f t="shared" si="267"/>
        <v>C43</v>
      </c>
      <c r="S2757" s="18">
        <f t="shared" si="268"/>
        <v>11.342319375973855</v>
      </c>
      <c r="T2757" s="18">
        <f>S2757/Explications!$C$8</f>
        <v>0.3780773125324618</v>
      </c>
    </row>
    <row r="2758" spans="7:20">
      <c r="G2758" s="7" t="s">
        <v>59</v>
      </c>
      <c r="H2758" s="7" t="s">
        <v>64</v>
      </c>
      <c r="I2758" s="7">
        <v>46.707000000000001</v>
      </c>
      <c r="J2758" s="7">
        <v>-71.217100000000002</v>
      </c>
      <c r="K2758" s="7">
        <v>46.826799999999999</v>
      </c>
      <c r="L2758" s="7">
        <v>-71.224199999999996</v>
      </c>
      <c r="M2758" s="10" t="str">
        <f t="shared" si="263"/>
        <v>C43</v>
      </c>
      <c r="N2758" s="10" t="str">
        <f t="shared" si="264"/>
        <v>C48</v>
      </c>
      <c r="O2758" s="5">
        <f t="shared" si="265"/>
        <v>13.332123966229712</v>
      </c>
      <c r="P2758" s="22">
        <f>O2758/Explications!$C$8</f>
        <v>0.44440413220765707</v>
      </c>
      <c r="Q2758" s="7" t="str">
        <f t="shared" si="266"/>
        <v>C48</v>
      </c>
      <c r="R2758" s="7" t="str">
        <f t="shared" si="267"/>
        <v>C43</v>
      </c>
      <c r="S2758" s="18">
        <f t="shared" si="268"/>
        <v>13.332123966229712</v>
      </c>
      <c r="T2758" s="18">
        <f>S2758/Explications!$C$8</f>
        <v>0.44440413220765707</v>
      </c>
    </row>
    <row r="2759" spans="7:20">
      <c r="G2759" s="7" t="s">
        <v>59</v>
      </c>
      <c r="H2759" s="7" t="s">
        <v>65</v>
      </c>
      <c r="I2759" s="7">
        <v>46.707000000000001</v>
      </c>
      <c r="J2759" s="7">
        <v>-71.217100000000002</v>
      </c>
      <c r="K2759" s="7">
        <v>46.864100000000001</v>
      </c>
      <c r="L2759" s="7">
        <v>-71.255499999999998</v>
      </c>
      <c r="M2759" s="10" t="str">
        <f t="shared" si="263"/>
        <v>C43</v>
      </c>
      <c r="N2759" s="10" t="str">
        <f t="shared" si="264"/>
        <v>C49</v>
      </c>
      <c r="O2759" s="5">
        <f t="shared" si="265"/>
        <v>17.711702675165764</v>
      </c>
      <c r="P2759" s="22">
        <f>O2759/Explications!$C$8</f>
        <v>0.59039008917219216</v>
      </c>
      <c r="Q2759" s="7" t="str">
        <f t="shared" si="266"/>
        <v>C49</v>
      </c>
      <c r="R2759" s="7" t="str">
        <f t="shared" si="267"/>
        <v>C43</v>
      </c>
      <c r="S2759" s="18">
        <f t="shared" si="268"/>
        <v>17.711702675165764</v>
      </c>
      <c r="T2759" s="18">
        <f>S2759/Explications!$C$8</f>
        <v>0.59039008917219216</v>
      </c>
    </row>
    <row r="2760" spans="7:20">
      <c r="G2760" s="7" t="s">
        <v>59</v>
      </c>
      <c r="H2760" s="7" t="s">
        <v>66</v>
      </c>
      <c r="I2760" s="7">
        <v>46.707000000000001</v>
      </c>
      <c r="J2760" s="7">
        <v>-71.217100000000002</v>
      </c>
      <c r="K2760" s="7">
        <v>46.843800000000002</v>
      </c>
      <c r="L2760" s="7">
        <v>-71.247299999999996</v>
      </c>
      <c r="M2760" s="10" t="str">
        <f t="shared" si="263"/>
        <v>C43</v>
      </c>
      <c r="N2760" s="10" t="str">
        <f t="shared" si="264"/>
        <v>C50</v>
      </c>
      <c r="O2760" s="5">
        <f t="shared" si="265"/>
        <v>15.384337976743321</v>
      </c>
      <c r="P2760" s="22">
        <f>O2760/Explications!$C$8</f>
        <v>0.51281126589144399</v>
      </c>
      <c r="Q2760" s="7" t="str">
        <f t="shared" si="266"/>
        <v>C50</v>
      </c>
      <c r="R2760" s="7" t="str">
        <f t="shared" si="267"/>
        <v>C43</v>
      </c>
      <c r="S2760" s="18">
        <f t="shared" si="268"/>
        <v>15.384337976743321</v>
      </c>
      <c r="T2760" s="18">
        <f>S2760/Explications!$C$8</f>
        <v>0.51281126589144399</v>
      </c>
    </row>
    <row r="2761" spans="7:20">
      <c r="G2761" s="7" t="s">
        <v>59</v>
      </c>
      <c r="H2761" s="7" t="s">
        <v>67</v>
      </c>
      <c r="I2761" s="7">
        <v>46.707000000000001</v>
      </c>
      <c r="J2761" s="7">
        <v>-71.217100000000002</v>
      </c>
      <c r="K2761" s="7">
        <v>46.765599999999999</v>
      </c>
      <c r="L2761" s="7">
        <v>-71.312100000000001</v>
      </c>
      <c r="M2761" s="10" t="str">
        <f t="shared" si="263"/>
        <v>C43</v>
      </c>
      <c r="N2761" s="10" t="str">
        <f t="shared" si="264"/>
        <v>C51</v>
      </c>
      <c r="O2761" s="5">
        <f t="shared" si="265"/>
        <v>9.7402759146711926</v>
      </c>
      <c r="P2761" s="22">
        <f>O2761/Explications!$C$8</f>
        <v>0.32467586382237307</v>
      </c>
      <c r="Q2761" s="7" t="str">
        <f t="shared" si="266"/>
        <v>C51</v>
      </c>
      <c r="R2761" s="7" t="str">
        <f t="shared" si="267"/>
        <v>C43</v>
      </c>
      <c r="S2761" s="18">
        <f t="shared" si="268"/>
        <v>9.7402759146711926</v>
      </c>
      <c r="T2761" s="18">
        <f>S2761/Explications!$C$8</f>
        <v>0.32467586382237307</v>
      </c>
    </row>
    <row r="2762" spans="7:20">
      <c r="G2762" s="7" t="s">
        <v>59</v>
      </c>
      <c r="H2762" s="7" t="s">
        <v>68</v>
      </c>
      <c r="I2762" s="7">
        <v>46.707000000000001</v>
      </c>
      <c r="J2762" s="7">
        <v>-71.217100000000002</v>
      </c>
      <c r="K2762" s="7">
        <v>46.787599999999998</v>
      </c>
      <c r="L2762" s="7">
        <v>-71.288600000000002</v>
      </c>
      <c r="M2762" s="10" t="str">
        <f t="shared" si="263"/>
        <v>C43</v>
      </c>
      <c r="N2762" s="10" t="str">
        <f t="shared" si="264"/>
        <v>C52</v>
      </c>
      <c r="O2762" s="5">
        <f t="shared" si="265"/>
        <v>10.488149194764292</v>
      </c>
      <c r="P2762" s="22">
        <f>O2762/Explications!$C$8</f>
        <v>0.34960497315880973</v>
      </c>
      <c r="Q2762" s="7" t="str">
        <f t="shared" si="266"/>
        <v>C52</v>
      </c>
      <c r="R2762" s="7" t="str">
        <f t="shared" si="267"/>
        <v>C43</v>
      </c>
      <c r="S2762" s="18">
        <f t="shared" si="268"/>
        <v>10.488149194764292</v>
      </c>
      <c r="T2762" s="18">
        <f>S2762/Explications!$C$8</f>
        <v>0.34960497315880973</v>
      </c>
    </row>
    <row r="2763" spans="7:20">
      <c r="G2763" s="7" t="s">
        <v>59</v>
      </c>
      <c r="H2763" s="7" t="s">
        <v>69</v>
      </c>
      <c r="I2763" s="7">
        <v>46.707000000000001</v>
      </c>
      <c r="J2763" s="7">
        <v>-71.217100000000002</v>
      </c>
      <c r="K2763" s="7">
        <v>46.764600000000002</v>
      </c>
      <c r="L2763" s="7">
        <v>-71.308300000000003</v>
      </c>
      <c r="M2763" s="10" t="str">
        <f t="shared" si="263"/>
        <v>C43</v>
      </c>
      <c r="N2763" s="10" t="str">
        <f t="shared" si="264"/>
        <v>C53</v>
      </c>
      <c r="O2763" s="5">
        <f t="shared" si="265"/>
        <v>9.4513410681450658</v>
      </c>
      <c r="P2763" s="22">
        <f>O2763/Explications!$C$8</f>
        <v>0.31504470227150222</v>
      </c>
      <c r="Q2763" s="7" t="str">
        <f t="shared" si="266"/>
        <v>C53</v>
      </c>
      <c r="R2763" s="7" t="str">
        <f t="shared" si="267"/>
        <v>C43</v>
      </c>
      <c r="S2763" s="18">
        <f t="shared" si="268"/>
        <v>9.4513410681450658</v>
      </c>
      <c r="T2763" s="18">
        <f>S2763/Explications!$C$8</f>
        <v>0.31504470227150222</v>
      </c>
    </row>
    <row r="2764" spans="7:20">
      <c r="G2764" s="7" t="s">
        <v>59</v>
      </c>
      <c r="H2764" s="7" t="s">
        <v>70</v>
      </c>
      <c r="I2764" s="7">
        <v>46.707000000000001</v>
      </c>
      <c r="J2764" s="7">
        <v>-71.217100000000002</v>
      </c>
      <c r="K2764" s="7">
        <v>46.849699999999999</v>
      </c>
      <c r="L2764" s="7">
        <v>-71.097399999999993</v>
      </c>
      <c r="M2764" s="10" t="str">
        <f t="shared" si="263"/>
        <v>C43</v>
      </c>
      <c r="N2764" s="10" t="str">
        <f t="shared" si="264"/>
        <v>C54</v>
      </c>
      <c r="O2764" s="5">
        <f t="shared" si="265"/>
        <v>18.299214934462427</v>
      </c>
      <c r="P2764" s="22">
        <f>O2764/Explications!$C$8</f>
        <v>0.60997383114874759</v>
      </c>
      <c r="Q2764" s="7" t="str">
        <f t="shared" si="266"/>
        <v>C54</v>
      </c>
      <c r="R2764" s="7" t="str">
        <f t="shared" si="267"/>
        <v>C43</v>
      </c>
      <c r="S2764" s="18">
        <f t="shared" si="268"/>
        <v>18.299214934462427</v>
      </c>
      <c r="T2764" s="18">
        <f>S2764/Explications!$C$8</f>
        <v>0.60997383114874759</v>
      </c>
    </row>
    <row r="2765" spans="7:20">
      <c r="G2765" s="7" t="s">
        <v>59</v>
      </c>
      <c r="H2765" s="7" t="s">
        <v>71</v>
      </c>
      <c r="I2765" s="7">
        <v>46.707000000000001</v>
      </c>
      <c r="J2765" s="7">
        <v>-71.217100000000002</v>
      </c>
      <c r="K2765" s="7">
        <v>46.788899999999998</v>
      </c>
      <c r="L2765" s="7">
        <v>-71.321399999999997</v>
      </c>
      <c r="M2765" s="10" t="str">
        <f t="shared" si="263"/>
        <v>C43</v>
      </c>
      <c r="N2765" s="10" t="str">
        <f t="shared" si="264"/>
        <v>C55</v>
      </c>
      <c r="O2765" s="5">
        <f t="shared" si="265"/>
        <v>12.086628166561036</v>
      </c>
      <c r="P2765" s="22">
        <f>O2765/Explications!$C$8</f>
        <v>0.40288760555203457</v>
      </c>
      <c r="Q2765" s="7" t="str">
        <f t="shared" si="266"/>
        <v>C55</v>
      </c>
      <c r="R2765" s="7" t="str">
        <f t="shared" si="267"/>
        <v>C43</v>
      </c>
      <c r="S2765" s="18">
        <f t="shared" si="268"/>
        <v>12.086628166561036</v>
      </c>
      <c r="T2765" s="18">
        <f>S2765/Explications!$C$8</f>
        <v>0.40288760555203457</v>
      </c>
    </row>
    <row r="2766" spans="7:20">
      <c r="G2766" s="7" t="s">
        <v>59</v>
      </c>
      <c r="H2766" s="7" t="s">
        <v>72</v>
      </c>
      <c r="I2766" s="7">
        <v>46.707000000000001</v>
      </c>
      <c r="J2766" s="7">
        <v>-71.217100000000002</v>
      </c>
      <c r="K2766" s="7">
        <v>46.795400000000001</v>
      </c>
      <c r="L2766" s="7">
        <v>-71.232600000000005</v>
      </c>
      <c r="M2766" s="10" t="str">
        <f t="shared" si="263"/>
        <v>C43</v>
      </c>
      <c r="N2766" s="10" t="str">
        <f t="shared" si="264"/>
        <v>C56</v>
      </c>
      <c r="O2766" s="5">
        <f t="shared" si="265"/>
        <v>9.9003122288572509</v>
      </c>
      <c r="P2766" s="22">
        <f>O2766/Explications!$C$8</f>
        <v>0.33001040762857503</v>
      </c>
      <c r="Q2766" s="7" t="str">
        <f t="shared" si="266"/>
        <v>C56</v>
      </c>
      <c r="R2766" s="7" t="str">
        <f t="shared" si="267"/>
        <v>C43</v>
      </c>
      <c r="S2766" s="18">
        <f t="shared" si="268"/>
        <v>9.9003122288572509</v>
      </c>
      <c r="T2766" s="18">
        <f>S2766/Explications!$C$8</f>
        <v>0.33001040762857503</v>
      </c>
    </row>
    <row r="2767" spans="7:20">
      <c r="G2767" s="7" t="s">
        <v>59</v>
      </c>
      <c r="H2767" s="7" t="s">
        <v>73</v>
      </c>
      <c r="I2767" s="7">
        <v>46.707000000000001</v>
      </c>
      <c r="J2767" s="7">
        <v>-71.217100000000002</v>
      </c>
      <c r="K2767" s="7">
        <v>46.801200000000001</v>
      </c>
      <c r="L2767" s="7">
        <v>-71.224999999999994</v>
      </c>
      <c r="M2767" s="10" t="str">
        <f t="shared" si="263"/>
        <v>C43</v>
      </c>
      <c r="N2767" s="10" t="str">
        <f t="shared" si="264"/>
        <v>C57</v>
      </c>
      <c r="O2767" s="5">
        <f t="shared" si="265"/>
        <v>10.491838236490214</v>
      </c>
      <c r="P2767" s="22">
        <f>O2767/Explications!$C$8</f>
        <v>0.34972794121634043</v>
      </c>
      <c r="Q2767" s="7" t="str">
        <f t="shared" si="266"/>
        <v>C57</v>
      </c>
      <c r="R2767" s="7" t="str">
        <f t="shared" si="267"/>
        <v>C43</v>
      </c>
      <c r="S2767" s="18">
        <f t="shared" si="268"/>
        <v>10.491838236490214</v>
      </c>
      <c r="T2767" s="18">
        <f>S2767/Explications!$C$8</f>
        <v>0.34972794121634043</v>
      </c>
    </row>
    <row r="2768" spans="7:20">
      <c r="G2768" s="7" t="s">
        <v>59</v>
      </c>
      <c r="H2768" s="7" t="s">
        <v>74</v>
      </c>
      <c r="I2768" s="7">
        <v>46.707000000000001</v>
      </c>
      <c r="J2768" s="7">
        <v>-71.217100000000002</v>
      </c>
      <c r="K2768" s="7">
        <v>46.773200000000003</v>
      </c>
      <c r="L2768" s="7">
        <v>-71.275899999999993</v>
      </c>
      <c r="M2768" s="10" t="str">
        <f t="shared" si="263"/>
        <v>C43</v>
      </c>
      <c r="N2768" s="10" t="str">
        <f t="shared" si="264"/>
        <v>C58</v>
      </c>
      <c r="O2768" s="5">
        <f t="shared" si="265"/>
        <v>8.6175850030892054</v>
      </c>
      <c r="P2768" s="22">
        <f>O2768/Explications!$C$8</f>
        <v>0.28725283343630686</v>
      </c>
      <c r="Q2768" s="7" t="str">
        <f t="shared" si="266"/>
        <v>C58</v>
      </c>
      <c r="R2768" s="7" t="str">
        <f t="shared" si="267"/>
        <v>C43</v>
      </c>
      <c r="S2768" s="18">
        <f t="shared" si="268"/>
        <v>8.6175850030892054</v>
      </c>
      <c r="T2768" s="18">
        <f>S2768/Explications!$C$8</f>
        <v>0.28725283343630686</v>
      </c>
    </row>
    <row r="2769" spans="7:20">
      <c r="G2769" s="7" t="s">
        <v>59</v>
      </c>
      <c r="H2769" s="7" t="s">
        <v>75</v>
      </c>
      <c r="I2769" s="7">
        <v>46.707000000000001</v>
      </c>
      <c r="J2769" s="7">
        <v>-71.217100000000002</v>
      </c>
      <c r="K2769" s="7">
        <v>46.814399999999999</v>
      </c>
      <c r="L2769" s="7">
        <v>-71.225700000000003</v>
      </c>
      <c r="M2769" s="10" t="str">
        <f t="shared" si="263"/>
        <v>C43</v>
      </c>
      <c r="N2769" s="10" t="str">
        <f t="shared" si="264"/>
        <v>C59</v>
      </c>
      <c r="O2769" s="5">
        <f t="shared" si="265"/>
        <v>11.960289128401202</v>
      </c>
      <c r="P2769" s="22">
        <f>O2769/Explications!$C$8</f>
        <v>0.39867630428004008</v>
      </c>
      <c r="Q2769" s="7" t="str">
        <f t="shared" si="266"/>
        <v>C59</v>
      </c>
      <c r="R2769" s="7" t="str">
        <f t="shared" si="267"/>
        <v>C43</v>
      </c>
      <c r="S2769" s="18">
        <f t="shared" si="268"/>
        <v>11.960289128401202</v>
      </c>
      <c r="T2769" s="18">
        <f>S2769/Explications!$C$8</f>
        <v>0.39867630428004008</v>
      </c>
    </row>
    <row r="2770" spans="7:20">
      <c r="G2770" s="7" t="s">
        <v>59</v>
      </c>
      <c r="H2770" s="7" t="s">
        <v>76</v>
      </c>
      <c r="I2770" s="7">
        <v>46.707000000000001</v>
      </c>
      <c r="J2770" s="7">
        <v>-71.217100000000002</v>
      </c>
      <c r="K2770" s="7">
        <v>46.772500000000001</v>
      </c>
      <c r="L2770" s="7">
        <v>-71.276300000000006</v>
      </c>
      <c r="M2770" s="10" t="str">
        <f t="shared" si="263"/>
        <v>C43</v>
      </c>
      <c r="N2770" s="10" t="str">
        <f t="shared" si="264"/>
        <v>C60</v>
      </c>
      <c r="O2770" s="5">
        <f t="shared" si="265"/>
        <v>8.5672197492572977</v>
      </c>
      <c r="P2770" s="22">
        <f>O2770/Explications!$C$8</f>
        <v>0.28557399164190994</v>
      </c>
      <c r="Q2770" s="7" t="str">
        <f t="shared" si="266"/>
        <v>C60</v>
      </c>
      <c r="R2770" s="7" t="str">
        <f t="shared" si="267"/>
        <v>C43</v>
      </c>
      <c r="S2770" s="18">
        <f t="shared" si="268"/>
        <v>8.5672197492572977</v>
      </c>
      <c r="T2770" s="18">
        <f>S2770/Explications!$C$8</f>
        <v>0.28557399164190994</v>
      </c>
    </row>
    <row r="2771" spans="7:20">
      <c r="G2771" s="7" t="s">
        <v>59</v>
      </c>
      <c r="H2771" s="7" t="s">
        <v>77</v>
      </c>
      <c r="I2771" s="7">
        <v>46.707000000000001</v>
      </c>
      <c r="J2771" s="7">
        <v>-71.217100000000002</v>
      </c>
      <c r="K2771" s="7">
        <v>46.810899999999997</v>
      </c>
      <c r="L2771" s="7">
        <v>-71.215599999999995</v>
      </c>
      <c r="M2771" s="10" t="str">
        <f t="shared" si="263"/>
        <v>C43</v>
      </c>
      <c r="N2771" s="10" t="str">
        <f t="shared" si="264"/>
        <v>C61</v>
      </c>
      <c r="O2771" s="5">
        <f t="shared" si="265"/>
        <v>11.553717919208754</v>
      </c>
      <c r="P2771" s="22">
        <f>O2771/Explications!$C$8</f>
        <v>0.38512393064029182</v>
      </c>
      <c r="Q2771" s="7" t="str">
        <f t="shared" si="266"/>
        <v>C61</v>
      </c>
      <c r="R2771" s="7" t="str">
        <f t="shared" si="267"/>
        <v>C43</v>
      </c>
      <c r="S2771" s="18">
        <f t="shared" si="268"/>
        <v>11.553717919208754</v>
      </c>
      <c r="T2771" s="18">
        <f>S2771/Explications!$C$8</f>
        <v>0.38512393064029182</v>
      </c>
    </row>
    <row r="2772" spans="7:20">
      <c r="G2772" s="7" t="s">
        <v>59</v>
      </c>
      <c r="H2772" s="7" t="s">
        <v>78</v>
      </c>
      <c r="I2772" s="7">
        <v>46.707000000000001</v>
      </c>
      <c r="J2772" s="7">
        <v>-71.217100000000002</v>
      </c>
      <c r="K2772" s="7">
        <v>46.795200000000001</v>
      </c>
      <c r="L2772" s="7">
        <v>-71.245099999999994</v>
      </c>
      <c r="M2772" s="10" t="str">
        <f t="shared" si="263"/>
        <v>C43</v>
      </c>
      <c r="N2772" s="10" t="str">
        <f t="shared" si="264"/>
        <v>C62</v>
      </c>
      <c r="O2772" s="5">
        <f t="shared" si="265"/>
        <v>10.036716494568005</v>
      </c>
      <c r="P2772" s="22">
        <f>O2772/Explications!$C$8</f>
        <v>0.33455721648560016</v>
      </c>
      <c r="Q2772" s="7" t="str">
        <f t="shared" si="266"/>
        <v>C62</v>
      </c>
      <c r="R2772" s="7" t="str">
        <f t="shared" si="267"/>
        <v>C43</v>
      </c>
      <c r="S2772" s="18">
        <f t="shared" si="268"/>
        <v>10.036716494568005</v>
      </c>
      <c r="T2772" s="18">
        <f>S2772/Explications!$C$8</f>
        <v>0.33455721648560016</v>
      </c>
    </row>
    <row r="2773" spans="7:20">
      <c r="G2773" s="7" t="s">
        <v>59</v>
      </c>
      <c r="H2773" s="7" t="s">
        <v>79</v>
      </c>
      <c r="I2773" s="7">
        <v>46.707000000000001</v>
      </c>
      <c r="J2773" s="7">
        <v>-71.217100000000002</v>
      </c>
      <c r="K2773" s="7">
        <v>46.822000000000003</v>
      </c>
      <c r="L2773" s="7">
        <v>-71.345699999999994</v>
      </c>
      <c r="M2773" s="10" t="str">
        <f t="shared" si="263"/>
        <v>C43</v>
      </c>
      <c r="N2773" s="10" t="str">
        <f t="shared" si="264"/>
        <v>C63</v>
      </c>
      <c r="O2773" s="5">
        <f t="shared" si="265"/>
        <v>16.107912245670807</v>
      </c>
      <c r="P2773" s="22">
        <f>O2773/Explications!$C$8</f>
        <v>0.53693040818902693</v>
      </c>
      <c r="Q2773" s="7" t="str">
        <f t="shared" si="266"/>
        <v>C63</v>
      </c>
      <c r="R2773" s="7" t="str">
        <f t="shared" si="267"/>
        <v>C43</v>
      </c>
      <c r="S2773" s="18">
        <f t="shared" si="268"/>
        <v>16.107912245670807</v>
      </c>
      <c r="T2773" s="18">
        <f>S2773/Explications!$C$8</f>
        <v>0.53693040818902693</v>
      </c>
    </row>
    <row r="2774" spans="7:20">
      <c r="G2774" s="7" t="s">
        <v>59</v>
      </c>
      <c r="H2774" s="7" t="s">
        <v>80</v>
      </c>
      <c r="I2774" s="7">
        <v>46.707000000000001</v>
      </c>
      <c r="J2774" s="7">
        <v>-71.217100000000002</v>
      </c>
      <c r="K2774" s="7">
        <v>46.779400000000003</v>
      </c>
      <c r="L2774" s="7">
        <v>-71.350399999999993</v>
      </c>
      <c r="M2774" s="10" t="str">
        <f t="shared" si="263"/>
        <v>C43</v>
      </c>
      <c r="N2774" s="10" t="str">
        <f t="shared" si="264"/>
        <v>C64</v>
      </c>
      <c r="O2774" s="5">
        <f t="shared" si="265"/>
        <v>12.960731388162245</v>
      </c>
      <c r="P2774" s="22">
        <f>O2774/Explications!$C$8</f>
        <v>0.43202437960540813</v>
      </c>
      <c r="Q2774" s="7" t="str">
        <f t="shared" si="266"/>
        <v>C64</v>
      </c>
      <c r="R2774" s="7" t="str">
        <f t="shared" si="267"/>
        <v>C43</v>
      </c>
      <c r="S2774" s="18">
        <f t="shared" si="268"/>
        <v>12.960731388162245</v>
      </c>
      <c r="T2774" s="18">
        <f>S2774/Explications!$C$8</f>
        <v>0.43202437960540813</v>
      </c>
    </row>
    <row r="2775" spans="7:20">
      <c r="G2775" s="7" t="s">
        <v>59</v>
      </c>
      <c r="H2775" s="7" t="s">
        <v>81</v>
      </c>
      <c r="I2775" s="7">
        <v>46.707000000000001</v>
      </c>
      <c r="J2775" s="7">
        <v>-71.217100000000002</v>
      </c>
      <c r="K2775" s="7">
        <v>46.772300000000001</v>
      </c>
      <c r="L2775" s="7">
        <v>-71.279799999999994</v>
      </c>
      <c r="M2775" s="10" t="str">
        <f t="shared" si="263"/>
        <v>C43</v>
      </c>
      <c r="N2775" s="10" t="str">
        <f t="shared" si="264"/>
        <v>C65</v>
      </c>
      <c r="O2775" s="5">
        <f t="shared" si="265"/>
        <v>8.69203217130665</v>
      </c>
      <c r="P2775" s="22">
        <f>O2775/Explications!$C$8</f>
        <v>0.28973440571022169</v>
      </c>
      <c r="Q2775" s="7" t="str">
        <f t="shared" si="266"/>
        <v>C65</v>
      </c>
      <c r="R2775" s="7" t="str">
        <f t="shared" si="267"/>
        <v>C43</v>
      </c>
      <c r="S2775" s="18">
        <f t="shared" si="268"/>
        <v>8.69203217130665</v>
      </c>
      <c r="T2775" s="18">
        <f>S2775/Explications!$C$8</f>
        <v>0.28973440571022169</v>
      </c>
    </row>
    <row r="2776" spans="7:20">
      <c r="G2776" s="7" t="s">
        <v>59</v>
      </c>
      <c r="H2776" s="7" t="s">
        <v>82</v>
      </c>
      <c r="I2776" s="7">
        <v>46.707000000000001</v>
      </c>
      <c r="J2776" s="7">
        <v>-71.217100000000002</v>
      </c>
      <c r="K2776" s="7">
        <v>46.814900000000002</v>
      </c>
      <c r="L2776" s="7">
        <v>-71.225200000000001</v>
      </c>
      <c r="M2776" s="10" t="str">
        <f t="shared" si="263"/>
        <v>C43</v>
      </c>
      <c r="N2776" s="10" t="str">
        <f t="shared" si="264"/>
        <v>C66</v>
      </c>
      <c r="O2776" s="5">
        <f t="shared" si="265"/>
        <v>12.013787094202153</v>
      </c>
      <c r="P2776" s="22">
        <f>O2776/Explications!$C$8</f>
        <v>0.40045956980673841</v>
      </c>
      <c r="Q2776" s="7" t="str">
        <f t="shared" si="266"/>
        <v>C66</v>
      </c>
      <c r="R2776" s="7" t="str">
        <f t="shared" si="267"/>
        <v>C43</v>
      </c>
      <c r="S2776" s="18">
        <f t="shared" si="268"/>
        <v>12.013787094202153</v>
      </c>
      <c r="T2776" s="18">
        <f>S2776/Explications!$C$8</f>
        <v>0.40045956980673841</v>
      </c>
    </row>
    <row r="2777" spans="7:20">
      <c r="G2777" s="7" t="s">
        <v>59</v>
      </c>
      <c r="H2777" s="7" t="s">
        <v>83</v>
      </c>
      <c r="I2777" s="7">
        <v>46.707000000000001</v>
      </c>
      <c r="J2777" s="7">
        <v>-71.217100000000002</v>
      </c>
      <c r="K2777" s="7">
        <v>46.814700000000002</v>
      </c>
      <c r="L2777" s="7">
        <v>-71.207300000000004</v>
      </c>
      <c r="M2777" s="10" t="str">
        <f t="shared" si="263"/>
        <v>C43</v>
      </c>
      <c r="N2777" s="10" t="str">
        <f t="shared" si="264"/>
        <v>C67</v>
      </c>
      <c r="O2777" s="5">
        <f t="shared" si="265"/>
        <v>11.998937438682754</v>
      </c>
      <c r="P2777" s="22">
        <f>O2777/Explications!$C$8</f>
        <v>0.39996458128942514</v>
      </c>
      <c r="Q2777" s="7" t="str">
        <f t="shared" si="266"/>
        <v>C67</v>
      </c>
      <c r="R2777" s="7" t="str">
        <f t="shared" si="267"/>
        <v>C43</v>
      </c>
      <c r="S2777" s="18">
        <f t="shared" si="268"/>
        <v>11.998937438682754</v>
      </c>
      <c r="T2777" s="18">
        <f>S2777/Explications!$C$8</f>
        <v>0.39996458128942514</v>
      </c>
    </row>
    <row r="2778" spans="7:20">
      <c r="G2778" s="7" t="s">
        <v>59</v>
      </c>
      <c r="H2778" s="7" t="s">
        <v>84</v>
      </c>
      <c r="I2778" s="7">
        <v>46.707000000000001</v>
      </c>
      <c r="J2778" s="7">
        <v>-71.217100000000002</v>
      </c>
      <c r="K2778" s="7">
        <v>46.815600000000003</v>
      </c>
      <c r="L2778" s="7">
        <v>-71.2029</v>
      </c>
      <c r="M2778" s="10" t="str">
        <f t="shared" si="263"/>
        <v>C43</v>
      </c>
      <c r="N2778" s="10" t="str">
        <f t="shared" si="264"/>
        <v>C68</v>
      </c>
      <c r="O2778" s="5">
        <f t="shared" si="265"/>
        <v>12.124115393456833</v>
      </c>
      <c r="P2778" s="22">
        <f>O2778/Explications!$C$8</f>
        <v>0.40413717978189445</v>
      </c>
      <c r="Q2778" s="7" t="str">
        <f t="shared" si="266"/>
        <v>C68</v>
      </c>
      <c r="R2778" s="7" t="str">
        <f t="shared" si="267"/>
        <v>C43</v>
      </c>
      <c r="S2778" s="18">
        <f t="shared" si="268"/>
        <v>12.124115393456833</v>
      </c>
      <c r="T2778" s="18">
        <f>S2778/Explications!$C$8</f>
        <v>0.40413717978189445</v>
      </c>
    </row>
    <row r="2779" spans="7:20">
      <c r="G2779" s="7" t="s">
        <v>59</v>
      </c>
      <c r="H2779" s="7" t="s">
        <v>85</v>
      </c>
      <c r="I2779" s="7">
        <v>46.707000000000001</v>
      </c>
      <c r="J2779" s="7">
        <v>-71.217100000000002</v>
      </c>
      <c r="K2779" s="7">
        <v>46.821899999999999</v>
      </c>
      <c r="L2779" s="7">
        <v>-71.249899999999997</v>
      </c>
      <c r="M2779" s="10" t="str">
        <f t="shared" si="263"/>
        <v>C43</v>
      </c>
      <c r="N2779" s="10" t="str">
        <f t="shared" si="264"/>
        <v>C69</v>
      </c>
      <c r="O2779" s="5">
        <f t="shared" si="265"/>
        <v>13.018271206029688</v>
      </c>
      <c r="P2779" s="22">
        <f>O2779/Explications!$C$8</f>
        <v>0.43394237353432291</v>
      </c>
      <c r="Q2779" s="7" t="str">
        <f t="shared" si="266"/>
        <v>C69</v>
      </c>
      <c r="R2779" s="7" t="str">
        <f t="shared" si="267"/>
        <v>C43</v>
      </c>
      <c r="S2779" s="18">
        <f t="shared" si="268"/>
        <v>13.018271206029688</v>
      </c>
      <c r="T2779" s="18">
        <f>S2779/Explications!$C$8</f>
        <v>0.43394237353432291</v>
      </c>
    </row>
    <row r="2780" spans="7:20">
      <c r="G2780" s="7" t="s">
        <v>59</v>
      </c>
      <c r="H2780" s="7" t="s">
        <v>86</v>
      </c>
      <c r="I2780" s="7">
        <v>46.707000000000001</v>
      </c>
      <c r="J2780" s="7">
        <v>-71.217100000000002</v>
      </c>
      <c r="K2780" s="7">
        <v>46.8872</v>
      </c>
      <c r="L2780" s="7">
        <v>-71.27</v>
      </c>
      <c r="M2780" s="10" t="str">
        <f t="shared" si="263"/>
        <v>C43</v>
      </c>
      <c r="N2780" s="10" t="str">
        <f t="shared" si="264"/>
        <v>C70</v>
      </c>
      <c r="O2780" s="5">
        <f t="shared" si="265"/>
        <v>20.437955637667848</v>
      </c>
      <c r="P2780" s="22">
        <f>O2780/Explications!$C$8</f>
        <v>0.68126518792226165</v>
      </c>
      <c r="Q2780" s="7" t="str">
        <f t="shared" si="266"/>
        <v>C70</v>
      </c>
      <c r="R2780" s="7" t="str">
        <f t="shared" si="267"/>
        <v>C43</v>
      </c>
      <c r="S2780" s="18">
        <f t="shared" si="268"/>
        <v>20.437955637667848</v>
      </c>
      <c r="T2780" s="18">
        <f>S2780/Explications!$C$8</f>
        <v>0.68126518792226165</v>
      </c>
    </row>
    <row r="2781" spans="7:20">
      <c r="G2781" s="7" t="s">
        <v>59</v>
      </c>
      <c r="H2781" s="7" t="s">
        <v>87</v>
      </c>
      <c r="I2781" s="7">
        <v>46.707000000000001</v>
      </c>
      <c r="J2781" s="7">
        <v>-71.217100000000002</v>
      </c>
      <c r="K2781" s="7">
        <v>46.816299999999998</v>
      </c>
      <c r="L2781" s="7">
        <v>-71.210300000000004</v>
      </c>
      <c r="M2781" s="10" t="str">
        <f t="shared" si="263"/>
        <v>C43</v>
      </c>
      <c r="N2781" s="10" t="str">
        <f t="shared" si="264"/>
        <v>C71</v>
      </c>
      <c r="O2781" s="5">
        <f t="shared" si="265"/>
        <v>12.164638145039968</v>
      </c>
      <c r="P2781" s="22">
        <f>O2781/Explications!$C$8</f>
        <v>0.40548793816799894</v>
      </c>
      <c r="Q2781" s="7" t="str">
        <f t="shared" si="266"/>
        <v>C71</v>
      </c>
      <c r="R2781" s="7" t="str">
        <f t="shared" si="267"/>
        <v>C43</v>
      </c>
      <c r="S2781" s="18">
        <f t="shared" si="268"/>
        <v>12.164638145039968</v>
      </c>
      <c r="T2781" s="18">
        <f>S2781/Explications!$C$8</f>
        <v>0.40548793816799894</v>
      </c>
    </row>
    <row r="2782" spans="7:20">
      <c r="G2782" s="7" t="s">
        <v>59</v>
      </c>
      <c r="H2782" s="7" t="s">
        <v>88</v>
      </c>
      <c r="I2782" s="7">
        <v>46.707000000000001</v>
      </c>
      <c r="J2782" s="7">
        <v>-71.217100000000002</v>
      </c>
      <c r="K2782" s="7">
        <v>46.807000000000002</v>
      </c>
      <c r="L2782" s="7">
        <v>-71.3566</v>
      </c>
      <c r="M2782" s="10" t="str">
        <f t="shared" si="263"/>
        <v>C43</v>
      </c>
      <c r="N2782" s="10" t="str">
        <f t="shared" si="264"/>
        <v>C72</v>
      </c>
      <c r="O2782" s="5">
        <f t="shared" si="265"/>
        <v>15.381007605253908</v>
      </c>
      <c r="P2782" s="22">
        <f>O2782/Explications!$C$8</f>
        <v>0.5127002535084636</v>
      </c>
      <c r="Q2782" s="7" t="str">
        <f t="shared" si="266"/>
        <v>C72</v>
      </c>
      <c r="R2782" s="7" t="str">
        <f t="shared" si="267"/>
        <v>C43</v>
      </c>
      <c r="S2782" s="18">
        <f t="shared" si="268"/>
        <v>15.381007605253908</v>
      </c>
      <c r="T2782" s="18">
        <f>S2782/Explications!$C$8</f>
        <v>0.5127002535084636</v>
      </c>
    </row>
    <row r="2783" spans="7:20">
      <c r="G2783" s="7" t="s">
        <v>59</v>
      </c>
      <c r="H2783" s="7" t="s">
        <v>89</v>
      </c>
      <c r="I2783" s="7">
        <v>46.707000000000001</v>
      </c>
      <c r="J2783" s="7">
        <v>-71.217100000000002</v>
      </c>
      <c r="K2783" s="7">
        <v>46.822899999999997</v>
      </c>
      <c r="L2783" s="7">
        <v>-71.341899999999995</v>
      </c>
      <c r="M2783" s="10" t="str">
        <f t="shared" si="263"/>
        <v>C43</v>
      </c>
      <c r="N2783" s="10" t="str">
        <f t="shared" si="264"/>
        <v>C73</v>
      </c>
      <c r="O2783" s="5">
        <f t="shared" si="265"/>
        <v>16.013939756143927</v>
      </c>
      <c r="P2783" s="22">
        <f>O2783/Explications!$C$8</f>
        <v>0.53379799187146426</v>
      </c>
      <c r="Q2783" s="7" t="str">
        <f t="shared" si="266"/>
        <v>C73</v>
      </c>
      <c r="R2783" s="7" t="str">
        <f t="shared" si="267"/>
        <v>C43</v>
      </c>
      <c r="S2783" s="18">
        <f t="shared" si="268"/>
        <v>16.013939756143927</v>
      </c>
      <c r="T2783" s="18">
        <f>S2783/Explications!$C$8</f>
        <v>0.53379799187146426</v>
      </c>
    </row>
    <row r="2784" spans="7:20">
      <c r="G2784" s="7" t="s">
        <v>59</v>
      </c>
      <c r="H2784" s="7" t="s">
        <v>90</v>
      </c>
      <c r="I2784" s="7">
        <v>46.707000000000001</v>
      </c>
      <c r="J2784" s="7">
        <v>-71.217100000000002</v>
      </c>
      <c r="K2784" s="7">
        <v>46.730699999999999</v>
      </c>
      <c r="L2784" s="7">
        <v>-71.261099999999999</v>
      </c>
      <c r="M2784" s="10" t="str">
        <f t="shared" si="263"/>
        <v>C43</v>
      </c>
      <c r="N2784" s="10" t="str">
        <f t="shared" si="264"/>
        <v>C74</v>
      </c>
      <c r="O2784" s="5">
        <f t="shared" si="265"/>
        <v>4.265663408125695</v>
      </c>
      <c r="P2784" s="22">
        <f>O2784/Explications!$C$8</f>
        <v>0.14218878027085649</v>
      </c>
      <c r="Q2784" s="7" t="str">
        <f t="shared" si="266"/>
        <v>C74</v>
      </c>
      <c r="R2784" s="7" t="str">
        <f t="shared" si="267"/>
        <v>C43</v>
      </c>
      <c r="S2784" s="18">
        <f t="shared" si="268"/>
        <v>4.265663408125695</v>
      </c>
      <c r="T2784" s="18">
        <f>S2784/Explications!$C$8</f>
        <v>0.14218878027085649</v>
      </c>
    </row>
    <row r="2785" spans="7:20">
      <c r="G2785" s="7" t="s">
        <v>59</v>
      </c>
      <c r="H2785" s="7" t="s">
        <v>91</v>
      </c>
      <c r="I2785" s="7">
        <v>46.707000000000001</v>
      </c>
      <c r="J2785" s="7">
        <v>-71.217100000000002</v>
      </c>
      <c r="K2785" s="7">
        <v>46.840600000000002</v>
      </c>
      <c r="L2785" s="7">
        <v>-71.289100000000005</v>
      </c>
      <c r="M2785" s="10" t="str">
        <f t="shared" si="263"/>
        <v>C43</v>
      </c>
      <c r="N2785" s="10" t="str">
        <f t="shared" si="264"/>
        <v>C75</v>
      </c>
      <c r="O2785" s="5">
        <f t="shared" si="265"/>
        <v>15.835253797630061</v>
      </c>
      <c r="P2785" s="22">
        <f>O2785/Explications!$C$8</f>
        <v>0.52784179325433533</v>
      </c>
      <c r="Q2785" s="7" t="str">
        <f t="shared" si="266"/>
        <v>C75</v>
      </c>
      <c r="R2785" s="7" t="str">
        <f t="shared" si="267"/>
        <v>C43</v>
      </c>
      <c r="S2785" s="18">
        <f t="shared" si="268"/>
        <v>15.835253797630061</v>
      </c>
      <c r="T2785" s="18">
        <f>S2785/Explications!$C$8</f>
        <v>0.52784179325433533</v>
      </c>
    </row>
    <row r="2786" spans="7:20">
      <c r="G2786" s="7" t="s">
        <v>59</v>
      </c>
      <c r="H2786" s="7" t="s">
        <v>92</v>
      </c>
      <c r="I2786" s="7">
        <v>46.707000000000001</v>
      </c>
      <c r="J2786" s="7">
        <v>-71.217100000000002</v>
      </c>
      <c r="K2786" s="7">
        <v>46.840600000000002</v>
      </c>
      <c r="L2786" s="7">
        <v>-71.281599999999997</v>
      </c>
      <c r="M2786" s="10" t="str">
        <f t="shared" si="263"/>
        <v>C43</v>
      </c>
      <c r="N2786" s="10" t="str">
        <f t="shared" si="264"/>
        <v>C76</v>
      </c>
      <c r="O2786" s="5">
        <f t="shared" si="265"/>
        <v>15.646658317126242</v>
      </c>
      <c r="P2786" s="22">
        <f>O2786/Explications!$C$8</f>
        <v>0.52155527723754136</v>
      </c>
      <c r="Q2786" s="7" t="str">
        <f t="shared" si="266"/>
        <v>C76</v>
      </c>
      <c r="R2786" s="7" t="str">
        <f t="shared" si="267"/>
        <v>C43</v>
      </c>
      <c r="S2786" s="18">
        <f t="shared" si="268"/>
        <v>15.646658317126242</v>
      </c>
      <c r="T2786" s="18">
        <f>S2786/Explications!$C$8</f>
        <v>0.52155527723754136</v>
      </c>
    </row>
    <row r="2787" spans="7:20">
      <c r="G2787" s="7" t="s">
        <v>59</v>
      </c>
      <c r="H2787" s="7" t="s">
        <v>93</v>
      </c>
      <c r="I2787" s="7">
        <v>46.707000000000001</v>
      </c>
      <c r="J2787" s="7">
        <v>-71.217100000000002</v>
      </c>
      <c r="K2787" s="7">
        <v>46.839399999999998</v>
      </c>
      <c r="L2787" s="7">
        <v>-71.282600000000002</v>
      </c>
      <c r="M2787" s="10" t="str">
        <f t="shared" si="263"/>
        <v>C43</v>
      </c>
      <c r="N2787" s="10" t="str">
        <f t="shared" si="264"/>
        <v>C77</v>
      </c>
      <c r="O2787" s="5">
        <f t="shared" si="265"/>
        <v>15.544315111008784</v>
      </c>
      <c r="P2787" s="22">
        <f>O2787/Explications!$C$8</f>
        <v>0.5181438370336261</v>
      </c>
      <c r="Q2787" s="7" t="str">
        <f t="shared" si="266"/>
        <v>C77</v>
      </c>
      <c r="R2787" s="7" t="str">
        <f t="shared" si="267"/>
        <v>C43</v>
      </c>
      <c r="S2787" s="18">
        <f t="shared" si="268"/>
        <v>15.544315111008784</v>
      </c>
      <c r="T2787" s="18">
        <f>S2787/Explications!$C$8</f>
        <v>0.5181438370336261</v>
      </c>
    </row>
    <row r="2788" spans="7:20">
      <c r="G2788" s="7" t="s">
        <v>59</v>
      </c>
      <c r="H2788" s="7" t="s">
        <v>94</v>
      </c>
      <c r="I2788" s="7">
        <v>46.707000000000001</v>
      </c>
      <c r="J2788" s="7">
        <v>-71.217100000000002</v>
      </c>
      <c r="K2788" s="7">
        <v>46.788499999999999</v>
      </c>
      <c r="L2788" s="7">
        <v>-71.282399999999996</v>
      </c>
      <c r="M2788" s="10" t="str">
        <f t="shared" si="263"/>
        <v>C43</v>
      </c>
      <c r="N2788" s="10" t="str">
        <f t="shared" si="264"/>
        <v>C78</v>
      </c>
      <c r="O2788" s="5">
        <f t="shared" si="265"/>
        <v>10.338319412031826</v>
      </c>
      <c r="P2788" s="22">
        <f>O2788/Explications!$C$8</f>
        <v>0.34461064706772754</v>
      </c>
      <c r="Q2788" s="7" t="str">
        <f t="shared" si="266"/>
        <v>C78</v>
      </c>
      <c r="R2788" s="7" t="str">
        <f t="shared" si="267"/>
        <v>C43</v>
      </c>
      <c r="S2788" s="18">
        <f t="shared" si="268"/>
        <v>10.338319412031826</v>
      </c>
      <c r="T2788" s="18">
        <f>S2788/Explications!$C$8</f>
        <v>0.34461064706772754</v>
      </c>
    </row>
    <row r="2789" spans="7:20">
      <c r="G2789" s="7" t="s">
        <v>59</v>
      </c>
      <c r="H2789" s="7" t="s">
        <v>95</v>
      </c>
      <c r="I2789" s="7">
        <v>46.707000000000001</v>
      </c>
      <c r="J2789" s="7">
        <v>-71.217100000000002</v>
      </c>
      <c r="K2789" s="7">
        <v>46.840699999999998</v>
      </c>
      <c r="L2789" s="7">
        <v>-71.325400000000002</v>
      </c>
      <c r="M2789" s="10" t="str">
        <f t="shared" si="263"/>
        <v>C43</v>
      </c>
      <c r="N2789" s="10" t="str">
        <f t="shared" si="264"/>
        <v>C79</v>
      </c>
      <c r="O2789" s="5">
        <f t="shared" si="265"/>
        <v>17.001276772681447</v>
      </c>
      <c r="P2789" s="22">
        <f>O2789/Explications!$C$8</f>
        <v>0.56670922575604821</v>
      </c>
      <c r="Q2789" s="7" t="str">
        <f t="shared" si="266"/>
        <v>C79</v>
      </c>
      <c r="R2789" s="7" t="str">
        <f t="shared" si="267"/>
        <v>C43</v>
      </c>
      <c r="S2789" s="18">
        <f t="shared" si="268"/>
        <v>17.001276772681447</v>
      </c>
      <c r="T2789" s="18">
        <f>S2789/Explications!$C$8</f>
        <v>0.56670922575604821</v>
      </c>
    </row>
    <row r="2790" spans="7:20">
      <c r="G2790" s="7" t="s">
        <v>59</v>
      </c>
      <c r="H2790" s="7" t="s">
        <v>96</v>
      </c>
      <c r="I2790" s="7">
        <v>46.707000000000001</v>
      </c>
      <c r="J2790" s="7">
        <v>-71.217100000000002</v>
      </c>
      <c r="K2790" s="7">
        <v>46.798400000000001</v>
      </c>
      <c r="L2790" s="7">
        <v>-71.183199999999999</v>
      </c>
      <c r="M2790" s="10" t="str">
        <f t="shared" si="263"/>
        <v>C43</v>
      </c>
      <c r="N2790" s="10" t="str">
        <f t="shared" si="264"/>
        <v>C80</v>
      </c>
      <c r="O2790" s="5">
        <f t="shared" si="265"/>
        <v>10.486236740366625</v>
      </c>
      <c r="P2790" s="22">
        <f>O2790/Explications!$C$8</f>
        <v>0.34954122467888749</v>
      </c>
      <c r="Q2790" s="7" t="str">
        <f t="shared" si="266"/>
        <v>C80</v>
      </c>
      <c r="R2790" s="7" t="str">
        <f t="shared" si="267"/>
        <v>C43</v>
      </c>
      <c r="S2790" s="18">
        <f t="shared" si="268"/>
        <v>10.486236740366625</v>
      </c>
      <c r="T2790" s="18">
        <f>S2790/Explications!$C$8</f>
        <v>0.34954122467888749</v>
      </c>
    </row>
    <row r="2791" spans="7:20">
      <c r="G2791" s="7" t="s">
        <v>59</v>
      </c>
      <c r="H2791" s="7" t="s">
        <v>97</v>
      </c>
      <c r="I2791" s="7">
        <v>46.707000000000001</v>
      </c>
      <c r="J2791" s="7">
        <v>-71.217100000000002</v>
      </c>
      <c r="K2791" s="7">
        <v>46.724800000000002</v>
      </c>
      <c r="L2791" s="7">
        <v>-71.2988</v>
      </c>
      <c r="M2791" s="10" t="str">
        <f t="shared" si="263"/>
        <v>C43</v>
      </c>
      <c r="N2791" s="10" t="str">
        <f t="shared" si="264"/>
        <v>C81</v>
      </c>
      <c r="O2791" s="5">
        <f t="shared" si="265"/>
        <v>6.535484824111764</v>
      </c>
      <c r="P2791" s="22">
        <f>O2791/Explications!$C$8</f>
        <v>0.21784949413705881</v>
      </c>
      <c r="Q2791" s="7" t="str">
        <f t="shared" si="266"/>
        <v>C81</v>
      </c>
      <c r="R2791" s="7" t="str">
        <f t="shared" si="267"/>
        <v>C43</v>
      </c>
      <c r="S2791" s="18">
        <f t="shared" si="268"/>
        <v>6.535484824111764</v>
      </c>
      <c r="T2791" s="18">
        <f>S2791/Explications!$C$8</f>
        <v>0.21784949413705881</v>
      </c>
    </row>
    <row r="2792" spans="7:20">
      <c r="G2792" s="7" t="s">
        <v>59</v>
      </c>
      <c r="H2792" s="7" t="s">
        <v>98</v>
      </c>
      <c r="I2792" s="7">
        <v>46.707000000000001</v>
      </c>
      <c r="J2792" s="7">
        <v>-71.217100000000002</v>
      </c>
      <c r="K2792" s="7">
        <v>46.795499999999997</v>
      </c>
      <c r="L2792" s="7">
        <v>-71.242900000000006</v>
      </c>
      <c r="M2792" s="10" t="str">
        <f t="shared" si="263"/>
        <v>C43</v>
      </c>
      <c r="N2792" s="10" t="str">
        <f t="shared" si="264"/>
        <v>C82</v>
      </c>
      <c r="O2792" s="5">
        <f t="shared" si="265"/>
        <v>10.035141640890185</v>
      </c>
      <c r="P2792" s="22">
        <f>O2792/Explications!$C$8</f>
        <v>0.33450472136300619</v>
      </c>
      <c r="Q2792" s="7" t="str">
        <f t="shared" si="266"/>
        <v>C82</v>
      </c>
      <c r="R2792" s="7" t="str">
        <f t="shared" si="267"/>
        <v>C43</v>
      </c>
      <c r="S2792" s="18">
        <f t="shared" si="268"/>
        <v>10.035141640890185</v>
      </c>
      <c r="T2792" s="18">
        <f>S2792/Explications!$C$8</f>
        <v>0.33450472136300619</v>
      </c>
    </row>
    <row r="2793" spans="7:20">
      <c r="G2793" s="7" t="s">
        <v>59</v>
      </c>
      <c r="H2793" s="7" t="s">
        <v>99</v>
      </c>
      <c r="I2793" s="7">
        <v>46.707000000000001</v>
      </c>
      <c r="J2793" s="7">
        <v>-71.217100000000002</v>
      </c>
      <c r="K2793" s="7">
        <v>46.8157</v>
      </c>
      <c r="L2793" s="7">
        <v>-71.201899999999995</v>
      </c>
      <c r="M2793" s="10" t="str">
        <f t="shared" si="263"/>
        <v>C43</v>
      </c>
      <c r="N2793" s="10" t="str">
        <f t="shared" si="264"/>
        <v>C83</v>
      </c>
      <c r="O2793" s="5">
        <f t="shared" si="265"/>
        <v>12.142217086109897</v>
      </c>
      <c r="P2793" s="22">
        <f>O2793/Explications!$C$8</f>
        <v>0.40474056953699655</v>
      </c>
      <c r="Q2793" s="7" t="str">
        <f t="shared" si="266"/>
        <v>C83</v>
      </c>
      <c r="R2793" s="7" t="str">
        <f t="shared" si="267"/>
        <v>C43</v>
      </c>
      <c r="S2793" s="18">
        <f t="shared" si="268"/>
        <v>12.142217086109897</v>
      </c>
      <c r="T2793" s="18">
        <f>S2793/Explications!$C$8</f>
        <v>0.40474056953699655</v>
      </c>
    </row>
    <row r="2794" spans="7:20">
      <c r="G2794" s="7" t="s">
        <v>59</v>
      </c>
      <c r="H2794" s="7" t="s">
        <v>100</v>
      </c>
      <c r="I2794" s="7">
        <v>46.707000000000001</v>
      </c>
      <c r="J2794" s="7">
        <v>-71.217100000000002</v>
      </c>
      <c r="K2794" s="7">
        <v>46.837600000000002</v>
      </c>
      <c r="L2794" s="7">
        <v>-71.196299999999994</v>
      </c>
      <c r="M2794" s="10" t="str">
        <f t="shared" si="263"/>
        <v>C43</v>
      </c>
      <c r="N2794" s="10" t="str">
        <f t="shared" si="264"/>
        <v>C84</v>
      </c>
      <c r="O2794" s="5">
        <f t="shared" si="265"/>
        <v>14.608197472885742</v>
      </c>
      <c r="P2794" s="22">
        <f>O2794/Explications!$C$8</f>
        <v>0.48693991576285806</v>
      </c>
      <c r="Q2794" s="7" t="str">
        <f t="shared" si="266"/>
        <v>C84</v>
      </c>
      <c r="R2794" s="7" t="str">
        <f t="shared" si="267"/>
        <v>C43</v>
      </c>
      <c r="S2794" s="18">
        <f t="shared" si="268"/>
        <v>14.608197472885742</v>
      </c>
      <c r="T2794" s="18">
        <f>S2794/Explications!$C$8</f>
        <v>0.48693991576285806</v>
      </c>
    </row>
    <row r="2795" spans="7:20">
      <c r="G2795" s="7" t="s">
        <v>59</v>
      </c>
      <c r="H2795" s="7" t="s">
        <v>101</v>
      </c>
      <c r="I2795" s="7">
        <v>46.707000000000001</v>
      </c>
      <c r="J2795" s="7">
        <v>-71.217100000000002</v>
      </c>
      <c r="K2795" s="7">
        <v>46.7988</v>
      </c>
      <c r="L2795" s="7">
        <v>-71.318200000000004</v>
      </c>
      <c r="M2795" s="10" t="str">
        <f t="shared" si="263"/>
        <v>C43</v>
      </c>
      <c r="N2795" s="10" t="str">
        <f t="shared" si="264"/>
        <v>C85</v>
      </c>
      <c r="O2795" s="5">
        <f t="shared" si="265"/>
        <v>12.787575371458855</v>
      </c>
      <c r="P2795" s="22">
        <f>O2795/Explications!$C$8</f>
        <v>0.42625251238196182</v>
      </c>
      <c r="Q2795" s="7" t="str">
        <f t="shared" si="266"/>
        <v>C85</v>
      </c>
      <c r="R2795" s="7" t="str">
        <f t="shared" si="267"/>
        <v>C43</v>
      </c>
      <c r="S2795" s="18">
        <f t="shared" si="268"/>
        <v>12.787575371458855</v>
      </c>
      <c r="T2795" s="18">
        <f>S2795/Explications!$C$8</f>
        <v>0.42625251238196182</v>
      </c>
    </row>
    <row r="2796" spans="7:20">
      <c r="G2796" s="7" t="s">
        <v>60</v>
      </c>
      <c r="H2796" s="7" t="s">
        <v>61</v>
      </c>
      <c r="I2796" s="7">
        <v>46.802900000000001</v>
      </c>
      <c r="J2796" s="7">
        <v>-71.228899999999996</v>
      </c>
      <c r="K2796" s="7">
        <v>46.796900000000001</v>
      </c>
      <c r="L2796" s="7">
        <v>-71.3078</v>
      </c>
      <c r="M2796" s="10" t="str">
        <f t="shared" si="263"/>
        <v>C44</v>
      </c>
      <c r="N2796" s="10" t="str">
        <f t="shared" si="264"/>
        <v>C45</v>
      </c>
      <c r="O2796" s="5">
        <f t="shared" si="265"/>
        <v>6.0426780253750092</v>
      </c>
      <c r="P2796" s="22">
        <f>O2796/Explications!$C$8</f>
        <v>0.20142260084583363</v>
      </c>
      <c r="Q2796" s="7" t="str">
        <f t="shared" si="266"/>
        <v>C45</v>
      </c>
      <c r="R2796" s="7" t="str">
        <f t="shared" si="267"/>
        <v>C44</v>
      </c>
      <c r="S2796" s="18">
        <f t="shared" si="268"/>
        <v>6.0426780253750092</v>
      </c>
      <c r="T2796" s="18">
        <f>S2796/Explications!$C$8</f>
        <v>0.20142260084583363</v>
      </c>
    </row>
    <row r="2797" spans="7:20">
      <c r="G2797" s="7" t="s">
        <v>60</v>
      </c>
      <c r="H2797" s="7" t="s">
        <v>62</v>
      </c>
      <c r="I2797" s="7">
        <v>46.802900000000001</v>
      </c>
      <c r="J2797" s="7">
        <v>-71.228899999999996</v>
      </c>
      <c r="K2797" s="7">
        <v>46.803600000000003</v>
      </c>
      <c r="L2797" s="7">
        <v>-71.231099999999998</v>
      </c>
      <c r="M2797" s="10" t="str">
        <f t="shared" si="263"/>
        <v>C44</v>
      </c>
      <c r="N2797" s="10" t="str">
        <f t="shared" si="264"/>
        <v>C46</v>
      </c>
      <c r="O2797" s="5">
        <f t="shared" si="265"/>
        <v>0.18465632946943633</v>
      </c>
      <c r="P2797" s="22">
        <f>O2797/Explications!$C$8</f>
        <v>6.1552109823145443E-3</v>
      </c>
      <c r="Q2797" s="7" t="str">
        <f t="shared" si="266"/>
        <v>C46</v>
      </c>
      <c r="R2797" s="7" t="str">
        <f t="shared" si="267"/>
        <v>C44</v>
      </c>
      <c r="S2797" s="18">
        <f t="shared" si="268"/>
        <v>0.18465632946943633</v>
      </c>
      <c r="T2797" s="18">
        <f>S2797/Explications!$C$8</f>
        <v>6.1552109823145443E-3</v>
      </c>
    </row>
    <row r="2798" spans="7:20">
      <c r="G2798" s="7" t="s">
        <v>60</v>
      </c>
      <c r="H2798" s="7" t="s">
        <v>63</v>
      </c>
      <c r="I2798" s="7">
        <v>46.802900000000001</v>
      </c>
      <c r="J2798" s="7">
        <v>-71.228899999999996</v>
      </c>
      <c r="K2798" s="7">
        <v>46.802399999999999</v>
      </c>
      <c r="L2798" s="7">
        <v>-71.269800000000004</v>
      </c>
      <c r="M2798" s="10" t="str">
        <f t="shared" si="263"/>
        <v>C44</v>
      </c>
      <c r="N2798" s="10" t="str">
        <f t="shared" si="264"/>
        <v>C47</v>
      </c>
      <c r="O2798" s="5">
        <f t="shared" si="265"/>
        <v>3.1135760111717277</v>
      </c>
      <c r="P2798" s="22">
        <f>O2798/Explications!$C$8</f>
        <v>0.10378586703905759</v>
      </c>
      <c r="Q2798" s="7" t="str">
        <f t="shared" si="266"/>
        <v>C47</v>
      </c>
      <c r="R2798" s="7" t="str">
        <f t="shared" si="267"/>
        <v>C44</v>
      </c>
      <c r="S2798" s="18">
        <f t="shared" si="268"/>
        <v>3.1135760111717277</v>
      </c>
      <c r="T2798" s="18">
        <f>S2798/Explications!$C$8</f>
        <v>0.10378586703905759</v>
      </c>
    </row>
    <row r="2799" spans="7:20">
      <c r="G2799" s="7" t="s">
        <v>60</v>
      </c>
      <c r="H2799" s="7" t="s">
        <v>64</v>
      </c>
      <c r="I2799" s="7">
        <v>46.802900000000001</v>
      </c>
      <c r="J2799" s="7">
        <v>-71.228899999999996</v>
      </c>
      <c r="K2799" s="7">
        <v>46.826799999999999</v>
      </c>
      <c r="L2799" s="7">
        <v>-71.224199999999996</v>
      </c>
      <c r="M2799" s="10" t="str">
        <f t="shared" si="263"/>
        <v>C44</v>
      </c>
      <c r="N2799" s="10" t="str">
        <f t="shared" si="264"/>
        <v>C48</v>
      </c>
      <c r="O2799" s="5">
        <f t="shared" si="265"/>
        <v>2.6815176181900062</v>
      </c>
      <c r="P2799" s="22">
        <f>O2799/Explications!$C$8</f>
        <v>8.9383920606333545E-2</v>
      </c>
      <c r="Q2799" s="7" t="str">
        <f t="shared" si="266"/>
        <v>C48</v>
      </c>
      <c r="R2799" s="7" t="str">
        <f t="shared" si="267"/>
        <v>C44</v>
      </c>
      <c r="S2799" s="18">
        <f t="shared" si="268"/>
        <v>2.6815176181900062</v>
      </c>
      <c r="T2799" s="18">
        <f>S2799/Explications!$C$8</f>
        <v>8.9383920606333545E-2</v>
      </c>
    </row>
    <row r="2800" spans="7:20">
      <c r="G2800" s="7" t="s">
        <v>60</v>
      </c>
      <c r="H2800" s="7" t="s">
        <v>65</v>
      </c>
      <c r="I2800" s="7">
        <v>46.802900000000001</v>
      </c>
      <c r="J2800" s="7">
        <v>-71.228899999999996</v>
      </c>
      <c r="K2800" s="7">
        <v>46.864100000000001</v>
      </c>
      <c r="L2800" s="7">
        <v>-71.255499999999998</v>
      </c>
      <c r="M2800" s="10" t="str">
        <f t="shared" si="263"/>
        <v>C44</v>
      </c>
      <c r="N2800" s="10" t="str">
        <f t="shared" si="264"/>
        <v>C49</v>
      </c>
      <c r="O2800" s="5">
        <f t="shared" si="265"/>
        <v>7.0995961903028162</v>
      </c>
      <c r="P2800" s="22">
        <f>O2800/Explications!$C$8</f>
        <v>0.23665320634342721</v>
      </c>
      <c r="Q2800" s="7" t="str">
        <f t="shared" si="266"/>
        <v>C49</v>
      </c>
      <c r="R2800" s="7" t="str">
        <f t="shared" si="267"/>
        <v>C44</v>
      </c>
      <c r="S2800" s="18">
        <f t="shared" si="268"/>
        <v>7.0995961903028162</v>
      </c>
      <c r="T2800" s="18">
        <f>S2800/Explications!$C$8</f>
        <v>0.23665320634342721</v>
      </c>
    </row>
    <row r="2801" spans="7:20">
      <c r="G2801" s="7" t="s">
        <v>60</v>
      </c>
      <c r="H2801" s="7" t="s">
        <v>66</v>
      </c>
      <c r="I2801" s="7">
        <v>46.802900000000001</v>
      </c>
      <c r="J2801" s="7">
        <v>-71.228899999999996</v>
      </c>
      <c r="K2801" s="7">
        <v>46.843800000000002</v>
      </c>
      <c r="L2801" s="7">
        <v>-71.247299999999996</v>
      </c>
      <c r="M2801" s="10" t="str">
        <f t="shared" si="263"/>
        <v>C44</v>
      </c>
      <c r="N2801" s="10" t="str">
        <f t="shared" si="264"/>
        <v>C50</v>
      </c>
      <c r="O2801" s="5">
        <f t="shared" si="265"/>
        <v>4.7584713466301434</v>
      </c>
      <c r="P2801" s="22">
        <f>O2801/Explications!$C$8</f>
        <v>0.15861571155433812</v>
      </c>
      <c r="Q2801" s="7" t="str">
        <f t="shared" si="266"/>
        <v>C50</v>
      </c>
      <c r="R2801" s="7" t="str">
        <f t="shared" si="267"/>
        <v>C44</v>
      </c>
      <c r="S2801" s="18">
        <f t="shared" si="268"/>
        <v>4.7584713466301434</v>
      </c>
      <c r="T2801" s="18">
        <f>S2801/Explications!$C$8</f>
        <v>0.15861571155433812</v>
      </c>
    </row>
    <row r="2802" spans="7:20">
      <c r="G2802" s="7" t="s">
        <v>60</v>
      </c>
      <c r="H2802" s="7" t="s">
        <v>67</v>
      </c>
      <c r="I2802" s="7">
        <v>46.802900000000001</v>
      </c>
      <c r="J2802" s="7">
        <v>-71.228899999999996</v>
      </c>
      <c r="K2802" s="7">
        <v>46.765599999999999</v>
      </c>
      <c r="L2802" s="7">
        <v>-71.312100000000001</v>
      </c>
      <c r="M2802" s="10" t="str">
        <f t="shared" si="263"/>
        <v>C44</v>
      </c>
      <c r="N2802" s="10" t="str">
        <f t="shared" si="264"/>
        <v>C51</v>
      </c>
      <c r="O2802" s="5">
        <f t="shared" si="265"/>
        <v>7.5718624335080538</v>
      </c>
      <c r="P2802" s="22">
        <f>O2802/Explications!$C$8</f>
        <v>0.25239541445026847</v>
      </c>
      <c r="Q2802" s="7" t="str">
        <f t="shared" si="266"/>
        <v>C51</v>
      </c>
      <c r="R2802" s="7" t="str">
        <f t="shared" si="267"/>
        <v>C44</v>
      </c>
      <c r="S2802" s="18">
        <f t="shared" si="268"/>
        <v>7.5718624335080538</v>
      </c>
      <c r="T2802" s="18">
        <f>S2802/Explications!$C$8</f>
        <v>0.25239541445026847</v>
      </c>
    </row>
    <row r="2803" spans="7:20">
      <c r="G2803" s="7" t="s">
        <v>60</v>
      </c>
      <c r="H2803" s="7" t="s">
        <v>68</v>
      </c>
      <c r="I2803" s="7">
        <v>46.802900000000001</v>
      </c>
      <c r="J2803" s="7">
        <v>-71.228899999999996</v>
      </c>
      <c r="K2803" s="7">
        <v>46.787599999999998</v>
      </c>
      <c r="L2803" s="7">
        <v>-71.288600000000002</v>
      </c>
      <c r="M2803" s="10" t="str">
        <f t="shared" si="263"/>
        <v>C44</v>
      </c>
      <c r="N2803" s="10" t="str">
        <f t="shared" si="264"/>
        <v>C52</v>
      </c>
      <c r="O2803" s="5">
        <f t="shared" si="265"/>
        <v>4.8526544259919051</v>
      </c>
      <c r="P2803" s="22">
        <f>O2803/Explications!$C$8</f>
        <v>0.1617551475330635</v>
      </c>
      <c r="Q2803" s="7" t="str">
        <f t="shared" si="266"/>
        <v>C52</v>
      </c>
      <c r="R2803" s="7" t="str">
        <f t="shared" si="267"/>
        <v>C44</v>
      </c>
      <c r="S2803" s="18">
        <f t="shared" si="268"/>
        <v>4.8526544259919051</v>
      </c>
      <c r="T2803" s="18">
        <f>S2803/Explications!$C$8</f>
        <v>0.1617551475330635</v>
      </c>
    </row>
    <row r="2804" spans="7:20">
      <c r="G2804" s="7" t="s">
        <v>60</v>
      </c>
      <c r="H2804" s="7" t="s">
        <v>69</v>
      </c>
      <c r="I2804" s="7">
        <v>46.802900000000001</v>
      </c>
      <c r="J2804" s="7">
        <v>-71.228899999999996</v>
      </c>
      <c r="K2804" s="7">
        <v>46.764600000000002</v>
      </c>
      <c r="L2804" s="7">
        <v>-71.308300000000003</v>
      </c>
      <c r="M2804" s="10" t="str">
        <f t="shared" si="263"/>
        <v>C44</v>
      </c>
      <c r="N2804" s="10" t="str">
        <f t="shared" si="264"/>
        <v>C53</v>
      </c>
      <c r="O2804" s="5">
        <f t="shared" si="265"/>
        <v>7.3950284113602658</v>
      </c>
      <c r="P2804" s="22">
        <f>O2804/Explications!$C$8</f>
        <v>0.2465009470453422</v>
      </c>
      <c r="Q2804" s="7" t="str">
        <f t="shared" si="266"/>
        <v>C53</v>
      </c>
      <c r="R2804" s="7" t="str">
        <f t="shared" si="267"/>
        <v>C44</v>
      </c>
      <c r="S2804" s="18">
        <f t="shared" si="268"/>
        <v>7.3950284113602658</v>
      </c>
      <c r="T2804" s="18">
        <f>S2804/Explications!$C$8</f>
        <v>0.2465009470453422</v>
      </c>
    </row>
    <row r="2805" spans="7:20">
      <c r="G2805" s="7" t="s">
        <v>60</v>
      </c>
      <c r="H2805" s="7" t="s">
        <v>70</v>
      </c>
      <c r="I2805" s="7">
        <v>46.802900000000001</v>
      </c>
      <c r="J2805" s="7">
        <v>-71.228899999999996</v>
      </c>
      <c r="K2805" s="7">
        <v>46.849699999999999</v>
      </c>
      <c r="L2805" s="7">
        <v>-71.097399999999993</v>
      </c>
      <c r="M2805" s="10" t="str">
        <f t="shared" si="263"/>
        <v>C44</v>
      </c>
      <c r="N2805" s="10" t="str">
        <f t="shared" si="264"/>
        <v>C54</v>
      </c>
      <c r="O2805" s="5">
        <f t="shared" si="265"/>
        <v>11.277130942888608</v>
      </c>
      <c r="P2805" s="22">
        <f>O2805/Explications!$C$8</f>
        <v>0.37590436476295358</v>
      </c>
      <c r="Q2805" s="7" t="str">
        <f t="shared" si="266"/>
        <v>C54</v>
      </c>
      <c r="R2805" s="7" t="str">
        <f t="shared" si="267"/>
        <v>C44</v>
      </c>
      <c r="S2805" s="18">
        <f t="shared" si="268"/>
        <v>11.277130942888608</v>
      </c>
      <c r="T2805" s="18">
        <f>S2805/Explications!$C$8</f>
        <v>0.37590436476295358</v>
      </c>
    </row>
    <row r="2806" spans="7:20">
      <c r="G2806" s="7" t="s">
        <v>60</v>
      </c>
      <c r="H2806" s="7" t="s">
        <v>71</v>
      </c>
      <c r="I2806" s="7">
        <v>46.802900000000001</v>
      </c>
      <c r="J2806" s="7">
        <v>-71.228899999999996</v>
      </c>
      <c r="K2806" s="7">
        <v>46.788899999999998</v>
      </c>
      <c r="L2806" s="7">
        <v>-71.321399999999997</v>
      </c>
      <c r="M2806" s="10" t="str">
        <f t="shared" si="263"/>
        <v>C44</v>
      </c>
      <c r="N2806" s="10" t="str">
        <f t="shared" si="264"/>
        <v>C55</v>
      </c>
      <c r="O2806" s="5">
        <f t="shared" si="265"/>
        <v>7.211494503112541</v>
      </c>
      <c r="P2806" s="22">
        <f>O2806/Explications!$C$8</f>
        <v>0.24038315010375136</v>
      </c>
      <c r="Q2806" s="7" t="str">
        <f t="shared" si="266"/>
        <v>C55</v>
      </c>
      <c r="R2806" s="7" t="str">
        <f t="shared" si="267"/>
        <v>C44</v>
      </c>
      <c r="S2806" s="18">
        <f t="shared" si="268"/>
        <v>7.211494503112541</v>
      </c>
      <c r="T2806" s="18">
        <f>S2806/Explications!$C$8</f>
        <v>0.24038315010375136</v>
      </c>
    </row>
    <row r="2807" spans="7:20">
      <c r="G2807" s="7" t="s">
        <v>60</v>
      </c>
      <c r="H2807" s="7" t="s">
        <v>72</v>
      </c>
      <c r="I2807" s="7">
        <v>46.802900000000001</v>
      </c>
      <c r="J2807" s="7">
        <v>-71.228899999999996</v>
      </c>
      <c r="K2807" s="7">
        <v>46.795400000000001</v>
      </c>
      <c r="L2807" s="7">
        <v>-71.232600000000005</v>
      </c>
      <c r="M2807" s="10" t="str">
        <f t="shared" si="263"/>
        <v>C44</v>
      </c>
      <c r="N2807" s="10" t="str">
        <f t="shared" si="264"/>
        <v>C56</v>
      </c>
      <c r="O2807" s="5">
        <f t="shared" si="265"/>
        <v>0.88023551686838974</v>
      </c>
      <c r="P2807" s="22">
        <f>O2807/Explications!$C$8</f>
        <v>2.934118389561299E-2</v>
      </c>
      <c r="Q2807" s="7" t="str">
        <f t="shared" si="266"/>
        <v>C56</v>
      </c>
      <c r="R2807" s="7" t="str">
        <f t="shared" si="267"/>
        <v>C44</v>
      </c>
      <c r="S2807" s="18">
        <f t="shared" si="268"/>
        <v>0.88023551686838974</v>
      </c>
      <c r="T2807" s="18">
        <f>S2807/Explications!$C$8</f>
        <v>2.934118389561299E-2</v>
      </c>
    </row>
    <row r="2808" spans="7:20">
      <c r="G2808" s="7" t="s">
        <v>60</v>
      </c>
      <c r="H2808" s="7" t="s">
        <v>73</v>
      </c>
      <c r="I2808" s="7">
        <v>46.802900000000001</v>
      </c>
      <c r="J2808" s="7">
        <v>-71.228899999999996</v>
      </c>
      <c r="K2808" s="7">
        <v>46.801200000000001</v>
      </c>
      <c r="L2808" s="7">
        <v>-71.224999999999994</v>
      </c>
      <c r="M2808" s="10" t="str">
        <f t="shared" si="263"/>
        <v>C44</v>
      </c>
      <c r="N2808" s="10" t="str">
        <f t="shared" si="264"/>
        <v>C57</v>
      </c>
      <c r="O2808" s="5">
        <f t="shared" si="265"/>
        <v>0.35192682703750999</v>
      </c>
      <c r="P2808" s="22">
        <f>O2808/Explications!$C$8</f>
        <v>1.1730894234583667E-2</v>
      </c>
      <c r="Q2808" s="7" t="str">
        <f t="shared" si="266"/>
        <v>C57</v>
      </c>
      <c r="R2808" s="7" t="str">
        <f t="shared" si="267"/>
        <v>C44</v>
      </c>
      <c r="S2808" s="18">
        <f t="shared" si="268"/>
        <v>0.35192682703750999</v>
      </c>
      <c r="T2808" s="18">
        <f>S2808/Explications!$C$8</f>
        <v>1.1730894234583667E-2</v>
      </c>
    </row>
    <row r="2809" spans="7:20">
      <c r="G2809" s="7" t="s">
        <v>60</v>
      </c>
      <c r="H2809" s="7" t="s">
        <v>74</v>
      </c>
      <c r="I2809" s="7">
        <v>46.802900000000001</v>
      </c>
      <c r="J2809" s="7">
        <v>-71.228899999999996</v>
      </c>
      <c r="K2809" s="7">
        <v>46.773200000000003</v>
      </c>
      <c r="L2809" s="7">
        <v>-71.275899999999993</v>
      </c>
      <c r="M2809" s="10" t="str">
        <f t="shared" si="263"/>
        <v>C44</v>
      </c>
      <c r="N2809" s="10" t="str">
        <f t="shared" si="264"/>
        <v>C58</v>
      </c>
      <c r="O2809" s="5">
        <f t="shared" si="265"/>
        <v>4.8693952799051612</v>
      </c>
      <c r="P2809" s="22">
        <f>O2809/Explications!$C$8</f>
        <v>0.1623131759968387</v>
      </c>
      <c r="Q2809" s="7" t="str">
        <f t="shared" si="266"/>
        <v>C58</v>
      </c>
      <c r="R2809" s="7" t="str">
        <f t="shared" si="267"/>
        <v>C44</v>
      </c>
      <c r="S2809" s="18">
        <f t="shared" si="268"/>
        <v>4.8693952799051612</v>
      </c>
      <c r="T2809" s="18">
        <f>S2809/Explications!$C$8</f>
        <v>0.1623131759968387</v>
      </c>
    </row>
    <row r="2810" spans="7:20">
      <c r="G2810" s="7" t="s">
        <v>60</v>
      </c>
      <c r="H2810" s="7" t="s">
        <v>75</v>
      </c>
      <c r="I2810" s="7">
        <v>46.802900000000001</v>
      </c>
      <c r="J2810" s="7">
        <v>-71.228899999999996</v>
      </c>
      <c r="K2810" s="7">
        <v>46.814399999999999</v>
      </c>
      <c r="L2810" s="7">
        <v>-71.225700000000003</v>
      </c>
      <c r="M2810" s="10" t="str">
        <f t="shared" si="263"/>
        <v>C44</v>
      </c>
      <c r="N2810" s="10" t="str">
        <f t="shared" si="264"/>
        <v>C59</v>
      </c>
      <c r="O2810" s="5">
        <f t="shared" si="265"/>
        <v>1.3017263321669728</v>
      </c>
      <c r="P2810" s="22">
        <f>O2810/Explications!$C$8</f>
        <v>4.3390877738899089E-2</v>
      </c>
      <c r="Q2810" s="7" t="str">
        <f t="shared" si="266"/>
        <v>C59</v>
      </c>
      <c r="R2810" s="7" t="str">
        <f t="shared" si="267"/>
        <v>C44</v>
      </c>
      <c r="S2810" s="18">
        <f t="shared" si="268"/>
        <v>1.3017263321669728</v>
      </c>
      <c r="T2810" s="18">
        <f>S2810/Explications!$C$8</f>
        <v>4.3390877738899089E-2</v>
      </c>
    </row>
    <row r="2811" spans="7:20">
      <c r="G2811" s="7" t="s">
        <v>60</v>
      </c>
      <c r="H2811" s="7" t="s">
        <v>76</v>
      </c>
      <c r="I2811" s="7">
        <v>46.802900000000001</v>
      </c>
      <c r="J2811" s="7">
        <v>-71.228899999999996</v>
      </c>
      <c r="K2811" s="7">
        <v>46.772500000000001</v>
      </c>
      <c r="L2811" s="7">
        <v>-71.276300000000006</v>
      </c>
      <c r="M2811" s="10" t="str">
        <f t="shared" si="263"/>
        <v>C44</v>
      </c>
      <c r="N2811" s="10" t="str">
        <f t="shared" si="264"/>
        <v>C60</v>
      </c>
      <c r="O2811" s="5">
        <f t="shared" si="265"/>
        <v>4.944716770257978</v>
      </c>
      <c r="P2811" s="22">
        <f>O2811/Explications!$C$8</f>
        <v>0.16482389234193259</v>
      </c>
      <c r="Q2811" s="7" t="str">
        <f t="shared" si="266"/>
        <v>C60</v>
      </c>
      <c r="R2811" s="7" t="str">
        <f t="shared" si="267"/>
        <v>C44</v>
      </c>
      <c r="S2811" s="18">
        <f t="shared" si="268"/>
        <v>4.944716770257978</v>
      </c>
      <c r="T2811" s="18">
        <f>S2811/Explications!$C$8</f>
        <v>0.16482389234193259</v>
      </c>
    </row>
    <row r="2812" spans="7:20">
      <c r="G2812" s="7" t="s">
        <v>60</v>
      </c>
      <c r="H2812" s="7" t="s">
        <v>77</v>
      </c>
      <c r="I2812" s="7">
        <v>46.802900000000001</v>
      </c>
      <c r="J2812" s="7">
        <v>-71.228899999999996</v>
      </c>
      <c r="K2812" s="7">
        <v>46.810899999999997</v>
      </c>
      <c r="L2812" s="7">
        <v>-71.215599999999995</v>
      </c>
      <c r="M2812" s="10" t="str">
        <f t="shared" si="263"/>
        <v>C44</v>
      </c>
      <c r="N2812" s="10" t="str">
        <f t="shared" si="264"/>
        <v>C61</v>
      </c>
      <c r="O2812" s="5">
        <f t="shared" si="265"/>
        <v>1.3475716389557273</v>
      </c>
      <c r="P2812" s="22">
        <f>O2812/Explications!$C$8</f>
        <v>4.4919054631857573E-2</v>
      </c>
      <c r="Q2812" s="7" t="str">
        <f t="shared" si="266"/>
        <v>C61</v>
      </c>
      <c r="R2812" s="7" t="str">
        <f t="shared" si="267"/>
        <v>C44</v>
      </c>
      <c r="S2812" s="18">
        <f t="shared" si="268"/>
        <v>1.3475716389557273</v>
      </c>
      <c r="T2812" s="18">
        <f>S2812/Explications!$C$8</f>
        <v>4.4919054631857573E-2</v>
      </c>
    </row>
    <row r="2813" spans="7:20">
      <c r="G2813" s="7" t="s">
        <v>60</v>
      </c>
      <c r="H2813" s="7" t="s">
        <v>78</v>
      </c>
      <c r="I2813" s="7">
        <v>46.802900000000001</v>
      </c>
      <c r="J2813" s="7">
        <v>-71.228899999999996</v>
      </c>
      <c r="K2813" s="7">
        <v>46.795200000000001</v>
      </c>
      <c r="L2813" s="7">
        <v>-71.245099999999994</v>
      </c>
      <c r="M2813" s="10" t="str">
        <f t="shared" si="263"/>
        <v>C44</v>
      </c>
      <c r="N2813" s="10" t="str">
        <f t="shared" si="264"/>
        <v>C62</v>
      </c>
      <c r="O2813" s="5">
        <f t="shared" si="265"/>
        <v>1.5012343386017315</v>
      </c>
      <c r="P2813" s="22">
        <f>O2813/Explications!$C$8</f>
        <v>5.0041144620057716E-2</v>
      </c>
      <c r="Q2813" s="7" t="str">
        <f t="shared" si="266"/>
        <v>C62</v>
      </c>
      <c r="R2813" s="7" t="str">
        <f t="shared" si="267"/>
        <v>C44</v>
      </c>
      <c r="S2813" s="18">
        <f t="shared" si="268"/>
        <v>1.5012343386017315</v>
      </c>
      <c r="T2813" s="18">
        <f>S2813/Explications!$C$8</f>
        <v>5.0041144620057716E-2</v>
      </c>
    </row>
    <row r="2814" spans="7:20">
      <c r="G2814" s="7" t="s">
        <v>60</v>
      </c>
      <c r="H2814" s="7" t="s">
        <v>79</v>
      </c>
      <c r="I2814" s="7">
        <v>46.802900000000001</v>
      </c>
      <c r="J2814" s="7">
        <v>-71.228899999999996</v>
      </c>
      <c r="K2814" s="7">
        <v>46.822000000000003</v>
      </c>
      <c r="L2814" s="7">
        <v>-71.345699999999994</v>
      </c>
      <c r="M2814" s="10" t="str">
        <f t="shared" si="263"/>
        <v>C44</v>
      </c>
      <c r="N2814" s="10" t="str">
        <f t="shared" si="264"/>
        <v>C63</v>
      </c>
      <c r="O2814" s="5">
        <f t="shared" si="265"/>
        <v>9.138754060400279</v>
      </c>
      <c r="P2814" s="22">
        <f>O2814/Explications!$C$8</f>
        <v>0.30462513534667596</v>
      </c>
      <c r="Q2814" s="7" t="str">
        <f t="shared" si="266"/>
        <v>C63</v>
      </c>
      <c r="R2814" s="7" t="str">
        <f t="shared" si="267"/>
        <v>C44</v>
      </c>
      <c r="S2814" s="18">
        <f t="shared" si="268"/>
        <v>9.138754060400279</v>
      </c>
      <c r="T2814" s="18">
        <f>S2814/Explications!$C$8</f>
        <v>0.30462513534667596</v>
      </c>
    </row>
    <row r="2815" spans="7:20">
      <c r="G2815" s="7" t="s">
        <v>60</v>
      </c>
      <c r="H2815" s="7" t="s">
        <v>80</v>
      </c>
      <c r="I2815" s="7">
        <v>46.802900000000001</v>
      </c>
      <c r="J2815" s="7">
        <v>-71.228899999999996</v>
      </c>
      <c r="K2815" s="7">
        <v>46.779400000000003</v>
      </c>
      <c r="L2815" s="7">
        <v>-71.350399999999993</v>
      </c>
      <c r="M2815" s="10" t="str">
        <f t="shared" si="263"/>
        <v>C44</v>
      </c>
      <c r="N2815" s="10" t="str">
        <f t="shared" si="264"/>
        <v>C64</v>
      </c>
      <c r="O2815" s="5">
        <f t="shared" si="265"/>
        <v>9.6118892610941895</v>
      </c>
      <c r="P2815" s="22">
        <f>O2815/Explications!$C$8</f>
        <v>0.32039630870313968</v>
      </c>
      <c r="Q2815" s="7" t="str">
        <f t="shared" si="266"/>
        <v>C64</v>
      </c>
      <c r="R2815" s="7" t="str">
        <f t="shared" si="267"/>
        <v>C44</v>
      </c>
      <c r="S2815" s="18">
        <f t="shared" si="268"/>
        <v>9.6118892610941895</v>
      </c>
      <c r="T2815" s="18">
        <f>S2815/Explications!$C$8</f>
        <v>0.32039630870313968</v>
      </c>
    </row>
    <row r="2816" spans="7:20">
      <c r="G2816" s="7" t="s">
        <v>60</v>
      </c>
      <c r="H2816" s="7" t="s">
        <v>81</v>
      </c>
      <c r="I2816" s="7">
        <v>46.802900000000001</v>
      </c>
      <c r="J2816" s="7">
        <v>-71.228899999999996</v>
      </c>
      <c r="K2816" s="7">
        <v>46.772300000000001</v>
      </c>
      <c r="L2816" s="7">
        <v>-71.279799999999994</v>
      </c>
      <c r="M2816" s="10" t="str">
        <f t="shared" si="263"/>
        <v>C44</v>
      </c>
      <c r="N2816" s="10" t="str">
        <f t="shared" si="264"/>
        <v>C65</v>
      </c>
      <c r="O2816" s="5">
        <f t="shared" si="265"/>
        <v>5.1570779065139263</v>
      </c>
      <c r="P2816" s="22">
        <f>O2816/Explications!$C$8</f>
        <v>0.17190259688379755</v>
      </c>
      <c r="Q2816" s="7" t="str">
        <f t="shared" si="266"/>
        <v>C65</v>
      </c>
      <c r="R2816" s="7" t="str">
        <f t="shared" si="267"/>
        <v>C44</v>
      </c>
      <c r="S2816" s="18">
        <f t="shared" si="268"/>
        <v>5.1570779065139263</v>
      </c>
      <c r="T2816" s="18">
        <f>S2816/Explications!$C$8</f>
        <v>0.17190259688379755</v>
      </c>
    </row>
    <row r="2817" spans="7:20">
      <c r="G2817" s="7" t="s">
        <v>60</v>
      </c>
      <c r="H2817" s="7" t="s">
        <v>82</v>
      </c>
      <c r="I2817" s="7">
        <v>46.802900000000001</v>
      </c>
      <c r="J2817" s="7">
        <v>-71.228899999999996</v>
      </c>
      <c r="K2817" s="7">
        <v>46.814900000000002</v>
      </c>
      <c r="L2817" s="7">
        <v>-71.225200000000001</v>
      </c>
      <c r="M2817" s="10" t="str">
        <f t="shared" si="263"/>
        <v>C44</v>
      </c>
      <c r="N2817" s="10" t="str">
        <f t="shared" si="264"/>
        <v>C66</v>
      </c>
      <c r="O2817" s="5">
        <f t="shared" si="265"/>
        <v>1.3637280378651404</v>
      </c>
      <c r="P2817" s="22">
        <f>O2817/Explications!$C$8</f>
        <v>4.5457601262171347E-2</v>
      </c>
      <c r="Q2817" s="7" t="str">
        <f t="shared" si="266"/>
        <v>C66</v>
      </c>
      <c r="R2817" s="7" t="str">
        <f t="shared" si="267"/>
        <v>C44</v>
      </c>
      <c r="S2817" s="18">
        <f t="shared" si="268"/>
        <v>1.3637280378651404</v>
      </c>
      <c r="T2817" s="18">
        <f>S2817/Explications!$C$8</f>
        <v>4.5457601262171347E-2</v>
      </c>
    </row>
    <row r="2818" spans="7:20">
      <c r="G2818" s="7" t="s">
        <v>60</v>
      </c>
      <c r="H2818" s="7" t="s">
        <v>83</v>
      </c>
      <c r="I2818" s="7">
        <v>46.802900000000001</v>
      </c>
      <c r="J2818" s="7">
        <v>-71.228899999999996</v>
      </c>
      <c r="K2818" s="7">
        <v>46.814700000000002</v>
      </c>
      <c r="L2818" s="7">
        <v>-71.207300000000004</v>
      </c>
      <c r="M2818" s="10" t="str">
        <f t="shared" si="263"/>
        <v>C44</v>
      </c>
      <c r="N2818" s="10" t="str">
        <f t="shared" si="264"/>
        <v>C67</v>
      </c>
      <c r="O2818" s="5">
        <f t="shared" si="265"/>
        <v>2.1033210576383601</v>
      </c>
      <c r="P2818" s="22">
        <f>O2818/Explications!$C$8</f>
        <v>7.0110701921278676E-2</v>
      </c>
      <c r="Q2818" s="7" t="str">
        <f t="shared" si="266"/>
        <v>C67</v>
      </c>
      <c r="R2818" s="7" t="str">
        <f t="shared" si="267"/>
        <v>C44</v>
      </c>
      <c r="S2818" s="18">
        <f t="shared" si="268"/>
        <v>2.1033210576383601</v>
      </c>
      <c r="T2818" s="18">
        <f>S2818/Explications!$C$8</f>
        <v>7.0110701921278676E-2</v>
      </c>
    </row>
    <row r="2819" spans="7:20">
      <c r="G2819" s="7" t="s">
        <v>60</v>
      </c>
      <c r="H2819" s="7" t="s">
        <v>84</v>
      </c>
      <c r="I2819" s="7">
        <v>46.802900000000001</v>
      </c>
      <c r="J2819" s="7">
        <v>-71.228899999999996</v>
      </c>
      <c r="K2819" s="7">
        <v>46.815600000000003</v>
      </c>
      <c r="L2819" s="7">
        <v>-71.2029</v>
      </c>
      <c r="M2819" s="10" t="str">
        <f t="shared" si="263"/>
        <v>C44</v>
      </c>
      <c r="N2819" s="10" t="str">
        <f t="shared" si="264"/>
        <v>C68</v>
      </c>
      <c r="O2819" s="5">
        <f t="shared" si="265"/>
        <v>2.4309710339525386</v>
      </c>
      <c r="P2819" s="22">
        <f>O2819/Explications!$C$8</f>
        <v>8.1032367798417951E-2</v>
      </c>
      <c r="Q2819" s="7" t="str">
        <f t="shared" si="266"/>
        <v>C68</v>
      </c>
      <c r="R2819" s="7" t="str">
        <f t="shared" si="267"/>
        <v>C44</v>
      </c>
      <c r="S2819" s="18">
        <f t="shared" si="268"/>
        <v>2.4309710339525386</v>
      </c>
      <c r="T2819" s="18">
        <f>S2819/Explications!$C$8</f>
        <v>8.1032367798417951E-2</v>
      </c>
    </row>
    <row r="2820" spans="7:20">
      <c r="G2820" s="7" t="s">
        <v>60</v>
      </c>
      <c r="H2820" s="7" t="s">
        <v>85</v>
      </c>
      <c r="I2820" s="7">
        <v>46.802900000000001</v>
      </c>
      <c r="J2820" s="7">
        <v>-71.228899999999996</v>
      </c>
      <c r="K2820" s="7">
        <v>46.821899999999999</v>
      </c>
      <c r="L2820" s="7">
        <v>-71.249899999999997</v>
      </c>
      <c r="M2820" s="10" t="str">
        <f t="shared" ref="M2820:M2883" si="269">G2820</f>
        <v>C44</v>
      </c>
      <c r="N2820" s="10" t="str">
        <f t="shared" ref="N2820:N2883" si="270">H2820</f>
        <v>C69</v>
      </c>
      <c r="O2820" s="5">
        <f t="shared" ref="O2820:O2883" si="271">ACOS(SIN(RADIANS(I2820))*SIN(RADIANS(K2820))+COS(RADIANS(I2820))*COS(RADIANS(K2820))*COS(RADIANS(J2820-L2820)))*6371</f>
        <v>2.6490529796037667</v>
      </c>
      <c r="P2820" s="22">
        <f>O2820/Explications!$C$8</f>
        <v>8.8301765986792222E-2</v>
      </c>
      <c r="Q2820" s="7" t="str">
        <f t="shared" ref="Q2820:Q2883" si="272">N2820</f>
        <v>C69</v>
      </c>
      <c r="R2820" s="7" t="str">
        <f t="shared" ref="R2820:R2883" si="273">M2820</f>
        <v>C44</v>
      </c>
      <c r="S2820" s="18">
        <f t="shared" ref="S2820:S2883" si="274">O2820</f>
        <v>2.6490529796037667</v>
      </c>
      <c r="T2820" s="18">
        <f>S2820/Explications!$C$8</f>
        <v>8.8301765986792222E-2</v>
      </c>
    </row>
    <row r="2821" spans="7:20">
      <c r="G2821" s="7" t="s">
        <v>60</v>
      </c>
      <c r="H2821" s="7" t="s">
        <v>86</v>
      </c>
      <c r="I2821" s="7">
        <v>46.802900000000001</v>
      </c>
      <c r="J2821" s="7">
        <v>-71.228899999999996</v>
      </c>
      <c r="K2821" s="7">
        <v>46.8872</v>
      </c>
      <c r="L2821" s="7">
        <v>-71.27</v>
      </c>
      <c r="M2821" s="10" t="str">
        <f t="shared" si="269"/>
        <v>C44</v>
      </c>
      <c r="N2821" s="10" t="str">
        <f t="shared" si="270"/>
        <v>C70</v>
      </c>
      <c r="O2821" s="5">
        <f t="shared" si="271"/>
        <v>9.8811791501942974</v>
      </c>
      <c r="P2821" s="22">
        <f>O2821/Explications!$C$8</f>
        <v>0.3293726383398099</v>
      </c>
      <c r="Q2821" s="7" t="str">
        <f t="shared" si="272"/>
        <v>C70</v>
      </c>
      <c r="R2821" s="7" t="str">
        <f t="shared" si="273"/>
        <v>C44</v>
      </c>
      <c r="S2821" s="18">
        <f t="shared" si="274"/>
        <v>9.8811791501942974</v>
      </c>
      <c r="T2821" s="18">
        <f>S2821/Explications!$C$8</f>
        <v>0.3293726383398099</v>
      </c>
    </row>
    <row r="2822" spans="7:20">
      <c r="G2822" s="7" t="s">
        <v>60</v>
      </c>
      <c r="H2822" s="7" t="s">
        <v>87</v>
      </c>
      <c r="I2822" s="7">
        <v>46.802900000000001</v>
      </c>
      <c r="J2822" s="7">
        <v>-71.228899999999996</v>
      </c>
      <c r="K2822" s="7">
        <v>46.816299999999998</v>
      </c>
      <c r="L2822" s="7">
        <v>-71.210300000000004</v>
      </c>
      <c r="M2822" s="10" t="str">
        <f t="shared" si="269"/>
        <v>C44</v>
      </c>
      <c r="N2822" s="10" t="str">
        <f t="shared" si="270"/>
        <v>C71</v>
      </c>
      <c r="O2822" s="5">
        <f t="shared" si="271"/>
        <v>2.0552138798659394</v>
      </c>
      <c r="P2822" s="22">
        <f>O2822/Explications!$C$8</f>
        <v>6.8507129328864644E-2</v>
      </c>
      <c r="Q2822" s="7" t="str">
        <f t="shared" si="272"/>
        <v>C71</v>
      </c>
      <c r="R2822" s="7" t="str">
        <f t="shared" si="273"/>
        <v>C44</v>
      </c>
      <c r="S2822" s="18">
        <f t="shared" si="274"/>
        <v>2.0552138798659394</v>
      </c>
      <c r="T2822" s="18">
        <f>S2822/Explications!$C$8</f>
        <v>6.8507129328864644E-2</v>
      </c>
    </row>
    <row r="2823" spans="7:20">
      <c r="G2823" s="7" t="s">
        <v>60</v>
      </c>
      <c r="H2823" s="7" t="s">
        <v>88</v>
      </c>
      <c r="I2823" s="7">
        <v>46.802900000000001</v>
      </c>
      <c r="J2823" s="7">
        <v>-71.228899999999996</v>
      </c>
      <c r="K2823" s="7">
        <v>46.807000000000002</v>
      </c>
      <c r="L2823" s="7">
        <v>-71.3566</v>
      </c>
      <c r="M2823" s="10" t="str">
        <f t="shared" si="269"/>
        <v>C44</v>
      </c>
      <c r="N2823" s="10" t="str">
        <f t="shared" si="270"/>
        <v>C72</v>
      </c>
      <c r="O2823" s="5">
        <f t="shared" si="271"/>
        <v>9.7300806773367796</v>
      </c>
      <c r="P2823" s="22">
        <f>O2823/Explications!$C$8</f>
        <v>0.32433602257789268</v>
      </c>
      <c r="Q2823" s="7" t="str">
        <f t="shared" si="272"/>
        <v>C72</v>
      </c>
      <c r="R2823" s="7" t="str">
        <f t="shared" si="273"/>
        <v>C44</v>
      </c>
      <c r="S2823" s="18">
        <f t="shared" si="274"/>
        <v>9.7300806773367796</v>
      </c>
      <c r="T2823" s="18">
        <f>S2823/Explications!$C$8</f>
        <v>0.32433602257789268</v>
      </c>
    </row>
    <row r="2824" spans="7:20">
      <c r="G2824" s="7" t="s">
        <v>60</v>
      </c>
      <c r="H2824" s="7" t="s">
        <v>89</v>
      </c>
      <c r="I2824" s="7">
        <v>46.802900000000001</v>
      </c>
      <c r="J2824" s="7">
        <v>-71.228899999999996</v>
      </c>
      <c r="K2824" s="7">
        <v>46.822899999999997</v>
      </c>
      <c r="L2824" s="7">
        <v>-71.341899999999995</v>
      </c>
      <c r="M2824" s="10" t="str">
        <f t="shared" si="269"/>
        <v>C44</v>
      </c>
      <c r="N2824" s="10" t="str">
        <f t="shared" si="270"/>
        <v>C73</v>
      </c>
      <c r="O2824" s="5">
        <f t="shared" si="271"/>
        <v>8.8822013483515665</v>
      </c>
      <c r="P2824" s="22">
        <f>O2824/Explications!$C$8</f>
        <v>0.29607337827838554</v>
      </c>
      <c r="Q2824" s="7" t="str">
        <f t="shared" si="272"/>
        <v>C73</v>
      </c>
      <c r="R2824" s="7" t="str">
        <f t="shared" si="273"/>
        <v>C44</v>
      </c>
      <c r="S2824" s="18">
        <f t="shared" si="274"/>
        <v>8.8822013483515665</v>
      </c>
      <c r="T2824" s="18">
        <f>S2824/Explications!$C$8</f>
        <v>0.29607337827838554</v>
      </c>
    </row>
    <row r="2825" spans="7:20">
      <c r="G2825" s="7" t="s">
        <v>60</v>
      </c>
      <c r="H2825" s="7" t="s">
        <v>90</v>
      </c>
      <c r="I2825" s="7">
        <v>46.802900000000001</v>
      </c>
      <c r="J2825" s="7">
        <v>-71.228899999999996</v>
      </c>
      <c r="K2825" s="7">
        <v>46.730699999999999</v>
      </c>
      <c r="L2825" s="7">
        <v>-71.261099999999999</v>
      </c>
      <c r="M2825" s="10" t="str">
        <f t="shared" si="269"/>
        <v>C44</v>
      </c>
      <c r="N2825" s="10" t="str">
        <f t="shared" si="270"/>
        <v>C74</v>
      </c>
      <c r="O2825" s="5">
        <f t="shared" si="271"/>
        <v>8.3945228715165179</v>
      </c>
      <c r="P2825" s="22">
        <f>O2825/Explications!$C$8</f>
        <v>0.27981742905055057</v>
      </c>
      <c r="Q2825" s="7" t="str">
        <f t="shared" si="272"/>
        <v>C74</v>
      </c>
      <c r="R2825" s="7" t="str">
        <f t="shared" si="273"/>
        <v>C44</v>
      </c>
      <c r="S2825" s="18">
        <f t="shared" si="274"/>
        <v>8.3945228715165179</v>
      </c>
      <c r="T2825" s="18">
        <f>S2825/Explications!$C$8</f>
        <v>0.27981742905055057</v>
      </c>
    </row>
    <row r="2826" spans="7:20">
      <c r="G2826" s="7" t="s">
        <v>60</v>
      </c>
      <c r="H2826" s="7" t="s">
        <v>91</v>
      </c>
      <c r="I2826" s="7">
        <v>46.802900000000001</v>
      </c>
      <c r="J2826" s="7">
        <v>-71.228899999999996</v>
      </c>
      <c r="K2826" s="7">
        <v>46.840600000000002</v>
      </c>
      <c r="L2826" s="7">
        <v>-71.289100000000005</v>
      </c>
      <c r="M2826" s="10" t="str">
        <f t="shared" si="269"/>
        <v>C44</v>
      </c>
      <c r="N2826" s="10" t="str">
        <f t="shared" si="270"/>
        <v>C75</v>
      </c>
      <c r="O2826" s="5">
        <f t="shared" si="271"/>
        <v>6.2091778707734289</v>
      </c>
      <c r="P2826" s="22">
        <f>O2826/Explications!$C$8</f>
        <v>0.20697259569244764</v>
      </c>
      <c r="Q2826" s="7" t="str">
        <f t="shared" si="272"/>
        <v>C75</v>
      </c>
      <c r="R2826" s="7" t="str">
        <f t="shared" si="273"/>
        <v>C44</v>
      </c>
      <c r="S2826" s="18">
        <f t="shared" si="274"/>
        <v>6.2091778707734289</v>
      </c>
      <c r="T2826" s="18">
        <f>S2826/Explications!$C$8</f>
        <v>0.20697259569244764</v>
      </c>
    </row>
    <row r="2827" spans="7:20">
      <c r="G2827" s="7" t="s">
        <v>60</v>
      </c>
      <c r="H2827" s="7" t="s">
        <v>92</v>
      </c>
      <c r="I2827" s="7">
        <v>46.802900000000001</v>
      </c>
      <c r="J2827" s="7">
        <v>-71.228899999999996</v>
      </c>
      <c r="K2827" s="7">
        <v>46.840600000000002</v>
      </c>
      <c r="L2827" s="7">
        <v>-71.281599999999997</v>
      </c>
      <c r="M2827" s="10" t="str">
        <f t="shared" si="269"/>
        <v>C44</v>
      </c>
      <c r="N2827" s="10" t="str">
        <f t="shared" si="270"/>
        <v>C76</v>
      </c>
      <c r="O2827" s="5">
        <f t="shared" si="271"/>
        <v>5.801017929216929</v>
      </c>
      <c r="P2827" s="22">
        <f>O2827/Explications!$C$8</f>
        <v>0.19336726430723097</v>
      </c>
      <c r="Q2827" s="7" t="str">
        <f t="shared" si="272"/>
        <v>C76</v>
      </c>
      <c r="R2827" s="7" t="str">
        <f t="shared" si="273"/>
        <v>C44</v>
      </c>
      <c r="S2827" s="18">
        <f t="shared" si="274"/>
        <v>5.801017929216929</v>
      </c>
      <c r="T2827" s="18">
        <f>S2827/Explications!$C$8</f>
        <v>0.19336726430723097</v>
      </c>
    </row>
    <row r="2828" spans="7:20">
      <c r="G2828" s="7" t="s">
        <v>60</v>
      </c>
      <c r="H2828" s="7" t="s">
        <v>93</v>
      </c>
      <c r="I2828" s="7">
        <v>46.802900000000001</v>
      </c>
      <c r="J2828" s="7">
        <v>-71.228899999999996</v>
      </c>
      <c r="K2828" s="7">
        <v>46.839399999999998</v>
      </c>
      <c r="L2828" s="7">
        <v>-71.282600000000002</v>
      </c>
      <c r="M2828" s="10" t="str">
        <f t="shared" si="269"/>
        <v>C44</v>
      </c>
      <c r="N2828" s="10" t="str">
        <f t="shared" si="270"/>
        <v>C77</v>
      </c>
      <c r="O2828" s="5">
        <f t="shared" si="271"/>
        <v>5.7591009617094322</v>
      </c>
      <c r="P2828" s="22">
        <f>O2828/Explications!$C$8</f>
        <v>0.19197003205698107</v>
      </c>
      <c r="Q2828" s="7" t="str">
        <f t="shared" si="272"/>
        <v>C77</v>
      </c>
      <c r="R2828" s="7" t="str">
        <f t="shared" si="273"/>
        <v>C44</v>
      </c>
      <c r="S2828" s="18">
        <f t="shared" si="274"/>
        <v>5.7591009617094322</v>
      </c>
      <c r="T2828" s="18">
        <f>S2828/Explications!$C$8</f>
        <v>0.19197003205698107</v>
      </c>
    </row>
    <row r="2829" spans="7:20">
      <c r="G2829" s="7" t="s">
        <v>60</v>
      </c>
      <c r="H2829" s="7" t="s">
        <v>94</v>
      </c>
      <c r="I2829" s="7">
        <v>46.802900000000001</v>
      </c>
      <c r="J2829" s="7">
        <v>-71.228899999999996</v>
      </c>
      <c r="K2829" s="7">
        <v>46.788499999999999</v>
      </c>
      <c r="L2829" s="7">
        <v>-71.282399999999996</v>
      </c>
      <c r="M2829" s="10" t="str">
        <f t="shared" si="269"/>
        <v>C44</v>
      </c>
      <c r="N2829" s="10" t="str">
        <f t="shared" si="270"/>
        <v>C78</v>
      </c>
      <c r="O2829" s="5">
        <f t="shared" si="271"/>
        <v>4.3761076953776898</v>
      </c>
      <c r="P2829" s="22">
        <f>O2829/Explications!$C$8</f>
        <v>0.14587025651258967</v>
      </c>
      <c r="Q2829" s="7" t="str">
        <f t="shared" si="272"/>
        <v>C78</v>
      </c>
      <c r="R2829" s="7" t="str">
        <f t="shared" si="273"/>
        <v>C44</v>
      </c>
      <c r="S2829" s="18">
        <f t="shared" si="274"/>
        <v>4.3761076953776898</v>
      </c>
      <c r="T2829" s="18">
        <f>S2829/Explications!$C$8</f>
        <v>0.14587025651258967</v>
      </c>
    </row>
    <row r="2830" spans="7:20">
      <c r="G2830" s="7" t="s">
        <v>60</v>
      </c>
      <c r="H2830" s="7" t="s">
        <v>95</v>
      </c>
      <c r="I2830" s="7">
        <v>46.802900000000001</v>
      </c>
      <c r="J2830" s="7">
        <v>-71.228899999999996</v>
      </c>
      <c r="K2830" s="7">
        <v>46.840699999999998</v>
      </c>
      <c r="L2830" s="7">
        <v>-71.325400000000002</v>
      </c>
      <c r="M2830" s="10" t="str">
        <f t="shared" si="269"/>
        <v>C44</v>
      </c>
      <c r="N2830" s="10" t="str">
        <f t="shared" si="270"/>
        <v>C79</v>
      </c>
      <c r="O2830" s="5">
        <f t="shared" si="271"/>
        <v>8.4603682636046482</v>
      </c>
      <c r="P2830" s="22">
        <f>O2830/Explications!$C$8</f>
        <v>0.28201227545348828</v>
      </c>
      <c r="Q2830" s="7" t="str">
        <f t="shared" si="272"/>
        <v>C79</v>
      </c>
      <c r="R2830" s="7" t="str">
        <f t="shared" si="273"/>
        <v>C44</v>
      </c>
      <c r="S2830" s="18">
        <f t="shared" si="274"/>
        <v>8.4603682636046482</v>
      </c>
      <c r="T2830" s="18">
        <f>S2830/Explications!$C$8</f>
        <v>0.28201227545348828</v>
      </c>
    </row>
    <row r="2831" spans="7:20">
      <c r="G2831" s="7" t="s">
        <v>60</v>
      </c>
      <c r="H2831" s="7" t="s">
        <v>96</v>
      </c>
      <c r="I2831" s="7">
        <v>46.802900000000001</v>
      </c>
      <c r="J2831" s="7">
        <v>-71.228899999999996</v>
      </c>
      <c r="K2831" s="7">
        <v>46.798400000000001</v>
      </c>
      <c r="L2831" s="7">
        <v>-71.183199999999999</v>
      </c>
      <c r="M2831" s="10" t="str">
        <f t="shared" si="269"/>
        <v>C44</v>
      </c>
      <c r="N2831" s="10" t="str">
        <f t="shared" si="270"/>
        <v>C80</v>
      </c>
      <c r="O2831" s="5">
        <f t="shared" si="271"/>
        <v>3.5143624707242989</v>
      </c>
      <c r="P2831" s="22">
        <f>O2831/Explications!$C$8</f>
        <v>0.11714541569080997</v>
      </c>
      <c r="Q2831" s="7" t="str">
        <f t="shared" si="272"/>
        <v>C80</v>
      </c>
      <c r="R2831" s="7" t="str">
        <f t="shared" si="273"/>
        <v>C44</v>
      </c>
      <c r="S2831" s="18">
        <f t="shared" si="274"/>
        <v>3.5143624707242989</v>
      </c>
      <c r="T2831" s="18">
        <f>S2831/Explications!$C$8</f>
        <v>0.11714541569080997</v>
      </c>
    </row>
    <row r="2832" spans="7:20">
      <c r="G2832" s="7" t="s">
        <v>60</v>
      </c>
      <c r="H2832" s="7" t="s">
        <v>97</v>
      </c>
      <c r="I2832" s="7">
        <v>46.802900000000001</v>
      </c>
      <c r="J2832" s="7">
        <v>-71.228899999999996</v>
      </c>
      <c r="K2832" s="7">
        <v>46.724800000000002</v>
      </c>
      <c r="L2832" s="7">
        <v>-71.2988</v>
      </c>
      <c r="M2832" s="10" t="str">
        <f t="shared" si="269"/>
        <v>C44</v>
      </c>
      <c r="N2832" s="10" t="str">
        <f t="shared" si="270"/>
        <v>C81</v>
      </c>
      <c r="O2832" s="5">
        <f t="shared" si="271"/>
        <v>10.186506804986951</v>
      </c>
      <c r="P2832" s="22">
        <f>O2832/Explications!$C$8</f>
        <v>0.33955022683289837</v>
      </c>
      <c r="Q2832" s="7" t="str">
        <f t="shared" si="272"/>
        <v>C81</v>
      </c>
      <c r="R2832" s="7" t="str">
        <f t="shared" si="273"/>
        <v>C44</v>
      </c>
      <c r="S2832" s="18">
        <f t="shared" si="274"/>
        <v>10.186506804986951</v>
      </c>
      <c r="T2832" s="18">
        <f>S2832/Explications!$C$8</f>
        <v>0.33955022683289837</v>
      </c>
    </row>
    <row r="2833" spans="7:20">
      <c r="G2833" s="7" t="s">
        <v>60</v>
      </c>
      <c r="H2833" s="7" t="s">
        <v>98</v>
      </c>
      <c r="I2833" s="7">
        <v>46.802900000000001</v>
      </c>
      <c r="J2833" s="7">
        <v>-71.228899999999996</v>
      </c>
      <c r="K2833" s="7">
        <v>46.795499999999997</v>
      </c>
      <c r="L2833" s="7">
        <v>-71.242900000000006</v>
      </c>
      <c r="M2833" s="10" t="str">
        <f t="shared" si="269"/>
        <v>C44</v>
      </c>
      <c r="N2833" s="10" t="str">
        <f t="shared" si="270"/>
        <v>C82</v>
      </c>
      <c r="O2833" s="5">
        <f t="shared" si="271"/>
        <v>1.3463738642598624</v>
      </c>
      <c r="P2833" s="22">
        <f>O2833/Explications!$C$8</f>
        <v>4.4879128808662079E-2</v>
      </c>
      <c r="Q2833" s="7" t="str">
        <f t="shared" si="272"/>
        <v>C82</v>
      </c>
      <c r="R2833" s="7" t="str">
        <f t="shared" si="273"/>
        <v>C44</v>
      </c>
      <c r="S2833" s="18">
        <f t="shared" si="274"/>
        <v>1.3463738642598624</v>
      </c>
      <c r="T2833" s="18">
        <f>S2833/Explications!$C$8</f>
        <v>4.4879128808662079E-2</v>
      </c>
    </row>
    <row r="2834" spans="7:20">
      <c r="G2834" s="7" t="s">
        <v>60</v>
      </c>
      <c r="H2834" s="7" t="s">
        <v>99</v>
      </c>
      <c r="I2834" s="7">
        <v>46.802900000000001</v>
      </c>
      <c r="J2834" s="7">
        <v>-71.228899999999996</v>
      </c>
      <c r="K2834" s="7">
        <v>46.8157</v>
      </c>
      <c r="L2834" s="7">
        <v>-71.201899999999995</v>
      </c>
      <c r="M2834" s="10" t="str">
        <f t="shared" si="269"/>
        <v>C44</v>
      </c>
      <c r="N2834" s="10" t="str">
        <f t="shared" si="270"/>
        <v>C83</v>
      </c>
      <c r="O2834" s="5">
        <f t="shared" si="271"/>
        <v>2.4996232526369173</v>
      </c>
      <c r="P2834" s="22">
        <f>O2834/Explications!$C$8</f>
        <v>8.3320775087897245E-2</v>
      </c>
      <c r="Q2834" s="7" t="str">
        <f t="shared" si="272"/>
        <v>C83</v>
      </c>
      <c r="R2834" s="7" t="str">
        <f t="shared" si="273"/>
        <v>C44</v>
      </c>
      <c r="S2834" s="18">
        <f t="shared" si="274"/>
        <v>2.4996232526369173</v>
      </c>
      <c r="T2834" s="18">
        <f>S2834/Explications!$C$8</f>
        <v>8.3320775087897245E-2</v>
      </c>
    </row>
    <row r="2835" spans="7:20">
      <c r="G2835" s="7" t="s">
        <v>60</v>
      </c>
      <c r="H2835" s="7" t="s">
        <v>100</v>
      </c>
      <c r="I2835" s="7">
        <v>46.802900000000001</v>
      </c>
      <c r="J2835" s="7">
        <v>-71.228899999999996</v>
      </c>
      <c r="K2835" s="7">
        <v>46.837600000000002</v>
      </c>
      <c r="L2835" s="7">
        <v>-71.196299999999994</v>
      </c>
      <c r="M2835" s="10" t="str">
        <f t="shared" si="269"/>
        <v>C44</v>
      </c>
      <c r="N2835" s="10" t="str">
        <f t="shared" si="270"/>
        <v>C84</v>
      </c>
      <c r="O2835" s="5">
        <f t="shared" si="271"/>
        <v>4.5870157217268659</v>
      </c>
      <c r="P2835" s="22">
        <f>O2835/Explications!$C$8</f>
        <v>0.15290052405756219</v>
      </c>
      <c r="Q2835" s="7" t="str">
        <f t="shared" si="272"/>
        <v>C84</v>
      </c>
      <c r="R2835" s="7" t="str">
        <f t="shared" si="273"/>
        <v>C44</v>
      </c>
      <c r="S2835" s="18">
        <f t="shared" si="274"/>
        <v>4.5870157217268659</v>
      </c>
      <c r="T2835" s="18">
        <f>S2835/Explications!$C$8</f>
        <v>0.15290052405756219</v>
      </c>
    </row>
    <row r="2836" spans="7:20">
      <c r="G2836" s="7" t="s">
        <v>60</v>
      </c>
      <c r="H2836" s="7" t="s">
        <v>101</v>
      </c>
      <c r="I2836" s="7">
        <v>46.802900000000001</v>
      </c>
      <c r="J2836" s="7">
        <v>-71.228899999999996</v>
      </c>
      <c r="K2836" s="7">
        <v>46.7988</v>
      </c>
      <c r="L2836" s="7">
        <v>-71.318200000000004</v>
      </c>
      <c r="M2836" s="10" t="str">
        <f t="shared" si="269"/>
        <v>C44</v>
      </c>
      <c r="N2836" s="10" t="str">
        <f t="shared" si="270"/>
        <v>C85</v>
      </c>
      <c r="O2836" s="5">
        <f t="shared" si="271"/>
        <v>6.8125160897927612</v>
      </c>
      <c r="P2836" s="22">
        <f>O2836/Explications!$C$8</f>
        <v>0.22708386965975871</v>
      </c>
      <c r="Q2836" s="7" t="str">
        <f t="shared" si="272"/>
        <v>C85</v>
      </c>
      <c r="R2836" s="7" t="str">
        <f t="shared" si="273"/>
        <v>C44</v>
      </c>
      <c r="S2836" s="18">
        <f t="shared" si="274"/>
        <v>6.8125160897927612</v>
      </c>
      <c r="T2836" s="18">
        <f>S2836/Explications!$C$8</f>
        <v>0.22708386965975871</v>
      </c>
    </row>
    <row r="2837" spans="7:20">
      <c r="G2837" s="7" t="s">
        <v>61</v>
      </c>
      <c r="H2837" s="7" t="s">
        <v>62</v>
      </c>
      <c r="I2837" s="7">
        <v>46.796900000000001</v>
      </c>
      <c r="J2837" s="7">
        <v>-71.3078</v>
      </c>
      <c r="K2837" s="7">
        <v>46.803600000000003</v>
      </c>
      <c r="L2837" s="7">
        <v>-71.231099999999998</v>
      </c>
      <c r="M2837" s="10" t="str">
        <f t="shared" si="269"/>
        <v>C45</v>
      </c>
      <c r="N2837" s="10" t="str">
        <f t="shared" si="270"/>
        <v>C46</v>
      </c>
      <c r="O2837" s="5">
        <f t="shared" si="271"/>
        <v>5.8855783386113085</v>
      </c>
      <c r="P2837" s="22">
        <f>O2837/Explications!$C$8</f>
        <v>0.19618594462037695</v>
      </c>
      <c r="Q2837" s="7" t="str">
        <f t="shared" si="272"/>
        <v>C46</v>
      </c>
      <c r="R2837" s="7" t="str">
        <f t="shared" si="273"/>
        <v>C45</v>
      </c>
      <c r="S2837" s="18">
        <f t="shared" si="274"/>
        <v>5.8855783386113085</v>
      </c>
      <c r="T2837" s="18">
        <f>S2837/Explications!$C$8</f>
        <v>0.19618594462037695</v>
      </c>
    </row>
    <row r="2838" spans="7:20">
      <c r="G2838" s="7" t="s">
        <v>61</v>
      </c>
      <c r="H2838" s="7" t="s">
        <v>63</v>
      </c>
      <c r="I2838" s="7">
        <v>46.796900000000001</v>
      </c>
      <c r="J2838" s="7">
        <v>-71.3078</v>
      </c>
      <c r="K2838" s="7">
        <v>46.802399999999999</v>
      </c>
      <c r="L2838" s="7">
        <v>-71.269800000000004</v>
      </c>
      <c r="M2838" s="10" t="str">
        <f t="shared" si="269"/>
        <v>C45</v>
      </c>
      <c r="N2838" s="10" t="str">
        <f t="shared" si="270"/>
        <v>C47</v>
      </c>
      <c r="O2838" s="5">
        <f t="shared" si="271"/>
        <v>2.9564554954278988</v>
      </c>
      <c r="P2838" s="22">
        <f>O2838/Explications!$C$8</f>
        <v>9.8548516514263287E-2</v>
      </c>
      <c r="Q2838" s="7" t="str">
        <f t="shared" si="272"/>
        <v>C47</v>
      </c>
      <c r="R2838" s="7" t="str">
        <f t="shared" si="273"/>
        <v>C45</v>
      </c>
      <c r="S2838" s="18">
        <f t="shared" si="274"/>
        <v>2.9564554954278988</v>
      </c>
      <c r="T2838" s="18">
        <f>S2838/Explications!$C$8</f>
        <v>9.8548516514263287E-2</v>
      </c>
    </row>
    <row r="2839" spans="7:20">
      <c r="G2839" s="7" t="s">
        <v>61</v>
      </c>
      <c r="H2839" s="7" t="s">
        <v>64</v>
      </c>
      <c r="I2839" s="7">
        <v>46.796900000000001</v>
      </c>
      <c r="J2839" s="7">
        <v>-71.3078</v>
      </c>
      <c r="K2839" s="7">
        <v>46.826799999999999</v>
      </c>
      <c r="L2839" s="7">
        <v>-71.224199999999996</v>
      </c>
      <c r="M2839" s="10" t="str">
        <f t="shared" si="269"/>
        <v>C45</v>
      </c>
      <c r="N2839" s="10" t="str">
        <f t="shared" si="270"/>
        <v>C48</v>
      </c>
      <c r="O2839" s="5">
        <f t="shared" si="271"/>
        <v>7.1784283658384282</v>
      </c>
      <c r="P2839" s="22">
        <f>O2839/Explications!$C$8</f>
        <v>0.2392809455279476</v>
      </c>
      <c r="Q2839" s="7" t="str">
        <f t="shared" si="272"/>
        <v>C48</v>
      </c>
      <c r="R2839" s="7" t="str">
        <f t="shared" si="273"/>
        <v>C45</v>
      </c>
      <c r="S2839" s="18">
        <f t="shared" si="274"/>
        <v>7.1784283658384282</v>
      </c>
      <c r="T2839" s="18">
        <f>S2839/Explications!$C$8</f>
        <v>0.2392809455279476</v>
      </c>
    </row>
    <row r="2840" spans="7:20">
      <c r="G2840" s="7" t="s">
        <v>61</v>
      </c>
      <c r="H2840" s="7" t="s">
        <v>65</v>
      </c>
      <c r="I2840" s="7">
        <v>46.796900000000001</v>
      </c>
      <c r="J2840" s="7">
        <v>-71.3078</v>
      </c>
      <c r="K2840" s="7">
        <v>46.864100000000001</v>
      </c>
      <c r="L2840" s="7">
        <v>-71.255499999999998</v>
      </c>
      <c r="M2840" s="10" t="str">
        <f t="shared" si="269"/>
        <v>C45</v>
      </c>
      <c r="N2840" s="10" t="str">
        <f t="shared" si="270"/>
        <v>C49</v>
      </c>
      <c r="O2840" s="5">
        <f t="shared" si="271"/>
        <v>8.4655466329182527</v>
      </c>
      <c r="P2840" s="22">
        <f>O2840/Explications!$C$8</f>
        <v>0.28218488776394174</v>
      </c>
      <c r="Q2840" s="7" t="str">
        <f t="shared" si="272"/>
        <v>C49</v>
      </c>
      <c r="R2840" s="7" t="str">
        <f t="shared" si="273"/>
        <v>C45</v>
      </c>
      <c r="S2840" s="18">
        <f t="shared" si="274"/>
        <v>8.4655466329182527</v>
      </c>
      <c r="T2840" s="18">
        <f>S2840/Explications!$C$8</f>
        <v>0.28218488776394174</v>
      </c>
    </row>
    <row r="2841" spans="7:20">
      <c r="G2841" s="7" t="s">
        <v>61</v>
      </c>
      <c r="H2841" s="7" t="s">
        <v>66</v>
      </c>
      <c r="I2841" s="7">
        <v>46.796900000000001</v>
      </c>
      <c r="J2841" s="7">
        <v>-71.3078</v>
      </c>
      <c r="K2841" s="7">
        <v>46.843800000000002</v>
      </c>
      <c r="L2841" s="7">
        <v>-71.247299999999996</v>
      </c>
      <c r="M2841" s="10" t="str">
        <f t="shared" si="269"/>
        <v>C45</v>
      </c>
      <c r="N2841" s="10" t="str">
        <f t="shared" si="270"/>
        <v>C50</v>
      </c>
      <c r="O2841" s="5">
        <f t="shared" si="271"/>
        <v>6.9561492821933086</v>
      </c>
      <c r="P2841" s="22">
        <f>O2841/Explications!$C$8</f>
        <v>0.23187164273977695</v>
      </c>
      <c r="Q2841" s="7" t="str">
        <f t="shared" si="272"/>
        <v>C50</v>
      </c>
      <c r="R2841" s="7" t="str">
        <f t="shared" si="273"/>
        <v>C45</v>
      </c>
      <c r="S2841" s="18">
        <f t="shared" si="274"/>
        <v>6.9561492821933086</v>
      </c>
      <c r="T2841" s="18">
        <f>S2841/Explications!$C$8</f>
        <v>0.23187164273977695</v>
      </c>
    </row>
    <row r="2842" spans="7:20">
      <c r="G2842" s="7" t="s">
        <v>61</v>
      </c>
      <c r="H2842" s="7" t="s">
        <v>67</v>
      </c>
      <c r="I2842" s="7">
        <v>46.796900000000001</v>
      </c>
      <c r="J2842" s="7">
        <v>-71.3078</v>
      </c>
      <c r="K2842" s="7">
        <v>46.765599999999999</v>
      </c>
      <c r="L2842" s="7">
        <v>-71.312100000000001</v>
      </c>
      <c r="M2842" s="10" t="str">
        <f t="shared" si="269"/>
        <v>C45</v>
      </c>
      <c r="N2842" s="10" t="str">
        <f t="shared" si="270"/>
        <v>C51</v>
      </c>
      <c r="O2842" s="5">
        <f t="shared" si="271"/>
        <v>3.4957685574026316</v>
      </c>
      <c r="P2842" s="22">
        <f>O2842/Explications!$C$8</f>
        <v>0.11652561858008773</v>
      </c>
      <c r="Q2842" s="7" t="str">
        <f t="shared" si="272"/>
        <v>C51</v>
      </c>
      <c r="R2842" s="7" t="str">
        <f t="shared" si="273"/>
        <v>C45</v>
      </c>
      <c r="S2842" s="18">
        <f t="shared" si="274"/>
        <v>3.4957685574026316</v>
      </c>
      <c r="T2842" s="18">
        <f>S2842/Explications!$C$8</f>
        <v>0.11652561858008773</v>
      </c>
    </row>
    <row r="2843" spans="7:20">
      <c r="G2843" s="7" t="s">
        <v>61</v>
      </c>
      <c r="H2843" s="7" t="s">
        <v>68</v>
      </c>
      <c r="I2843" s="7">
        <v>46.796900000000001</v>
      </c>
      <c r="J2843" s="7">
        <v>-71.3078</v>
      </c>
      <c r="K2843" s="7">
        <v>46.787599999999998</v>
      </c>
      <c r="L2843" s="7">
        <v>-71.288600000000002</v>
      </c>
      <c r="M2843" s="10" t="str">
        <f t="shared" si="269"/>
        <v>C45</v>
      </c>
      <c r="N2843" s="10" t="str">
        <f t="shared" si="270"/>
        <v>C52</v>
      </c>
      <c r="O2843" s="5">
        <f t="shared" si="271"/>
        <v>1.7905014910519914</v>
      </c>
      <c r="P2843" s="22">
        <f>O2843/Explications!$C$8</f>
        <v>5.968338303506638E-2</v>
      </c>
      <c r="Q2843" s="7" t="str">
        <f t="shared" si="272"/>
        <v>C52</v>
      </c>
      <c r="R2843" s="7" t="str">
        <f t="shared" si="273"/>
        <v>C45</v>
      </c>
      <c r="S2843" s="18">
        <f t="shared" si="274"/>
        <v>1.7905014910519914</v>
      </c>
      <c r="T2843" s="18">
        <f>S2843/Explications!$C$8</f>
        <v>5.968338303506638E-2</v>
      </c>
    </row>
    <row r="2844" spans="7:20">
      <c r="G2844" s="7" t="s">
        <v>61</v>
      </c>
      <c r="H2844" s="7" t="s">
        <v>69</v>
      </c>
      <c r="I2844" s="7">
        <v>46.796900000000001</v>
      </c>
      <c r="J2844" s="7">
        <v>-71.3078</v>
      </c>
      <c r="K2844" s="7">
        <v>46.764600000000002</v>
      </c>
      <c r="L2844" s="7">
        <v>-71.308300000000003</v>
      </c>
      <c r="M2844" s="10" t="str">
        <f t="shared" si="269"/>
        <v>C45</v>
      </c>
      <c r="N2844" s="10" t="str">
        <f t="shared" si="270"/>
        <v>C53</v>
      </c>
      <c r="O2844" s="5">
        <f t="shared" si="271"/>
        <v>3.5917979216175766</v>
      </c>
      <c r="P2844" s="22">
        <f>O2844/Explications!$C$8</f>
        <v>0.11972659738725255</v>
      </c>
      <c r="Q2844" s="7" t="str">
        <f t="shared" si="272"/>
        <v>C53</v>
      </c>
      <c r="R2844" s="7" t="str">
        <f t="shared" si="273"/>
        <v>C45</v>
      </c>
      <c r="S2844" s="18">
        <f t="shared" si="274"/>
        <v>3.5917979216175766</v>
      </c>
      <c r="T2844" s="18">
        <f>S2844/Explications!$C$8</f>
        <v>0.11972659738725255</v>
      </c>
    </row>
    <row r="2845" spans="7:20">
      <c r="G2845" s="7" t="s">
        <v>61</v>
      </c>
      <c r="H2845" s="7" t="s">
        <v>70</v>
      </c>
      <c r="I2845" s="7">
        <v>46.796900000000001</v>
      </c>
      <c r="J2845" s="7">
        <v>-71.3078</v>
      </c>
      <c r="K2845" s="7">
        <v>46.849699999999999</v>
      </c>
      <c r="L2845" s="7">
        <v>-71.097399999999993</v>
      </c>
      <c r="M2845" s="10" t="str">
        <f t="shared" si="269"/>
        <v>C45</v>
      </c>
      <c r="N2845" s="10" t="str">
        <f t="shared" si="270"/>
        <v>C54</v>
      </c>
      <c r="O2845" s="5">
        <f t="shared" si="271"/>
        <v>17.050981379611351</v>
      </c>
      <c r="P2845" s="22">
        <f>O2845/Explications!$C$8</f>
        <v>0.56836604598704499</v>
      </c>
      <c r="Q2845" s="7" t="str">
        <f t="shared" si="272"/>
        <v>C54</v>
      </c>
      <c r="R2845" s="7" t="str">
        <f t="shared" si="273"/>
        <v>C45</v>
      </c>
      <c r="S2845" s="18">
        <f t="shared" si="274"/>
        <v>17.050981379611351</v>
      </c>
      <c r="T2845" s="18">
        <f>S2845/Explications!$C$8</f>
        <v>0.56836604598704499</v>
      </c>
    </row>
    <row r="2846" spans="7:20">
      <c r="G2846" s="7" t="s">
        <v>61</v>
      </c>
      <c r="H2846" s="7" t="s">
        <v>71</v>
      </c>
      <c r="I2846" s="7">
        <v>46.796900000000001</v>
      </c>
      <c r="J2846" s="7">
        <v>-71.3078</v>
      </c>
      <c r="K2846" s="7">
        <v>46.788899999999998</v>
      </c>
      <c r="L2846" s="7">
        <v>-71.321399999999997</v>
      </c>
      <c r="M2846" s="10" t="str">
        <f t="shared" si="269"/>
        <v>C45</v>
      </c>
      <c r="N2846" s="10" t="str">
        <f t="shared" si="270"/>
        <v>C55</v>
      </c>
      <c r="O2846" s="5">
        <f t="shared" si="271"/>
        <v>1.3650100398644847</v>
      </c>
      <c r="P2846" s="22">
        <f>O2846/Explications!$C$8</f>
        <v>4.5500334662149491E-2</v>
      </c>
      <c r="Q2846" s="7" t="str">
        <f t="shared" si="272"/>
        <v>C55</v>
      </c>
      <c r="R2846" s="7" t="str">
        <f t="shared" si="273"/>
        <v>C45</v>
      </c>
      <c r="S2846" s="18">
        <f t="shared" si="274"/>
        <v>1.3650100398644847</v>
      </c>
      <c r="T2846" s="18">
        <f>S2846/Explications!$C$8</f>
        <v>4.5500334662149491E-2</v>
      </c>
    </row>
    <row r="2847" spans="7:20">
      <c r="G2847" s="7" t="s">
        <v>61</v>
      </c>
      <c r="H2847" s="7" t="s">
        <v>72</v>
      </c>
      <c r="I2847" s="7">
        <v>46.796900000000001</v>
      </c>
      <c r="J2847" s="7">
        <v>-71.3078</v>
      </c>
      <c r="K2847" s="7">
        <v>46.795400000000001</v>
      </c>
      <c r="L2847" s="7">
        <v>-71.232600000000005</v>
      </c>
      <c r="M2847" s="10" t="str">
        <f t="shared" si="269"/>
        <v>C45</v>
      </c>
      <c r="N2847" s="10" t="str">
        <f t="shared" si="270"/>
        <v>C56</v>
      </c>
      <c r="O2847" s="5">
        <f t="shared" si="271"/>
        <v>5.7269247510262371</v>
      </c>
      <c r="P2847" s="22">
        <f>O2847/Explications!$C$8</f>
        <v>0.19089749170087458</v>
      </c>
      <c r="Q2847" s="7" t="str">
        <f t="shared" si="272"/>
        <v>C56</v>
      </c>
      <c r="R2847" s="7" t="str">
        <f t="shared" si="273"/>
        <v>C45</v>
      </c>
      <c r="S2847" s="18">
        <f t="shared" si="274"/>
        <v>5.7269247510262371</v>
      </c>
      <c r="T2847" s="18">
        <f>S2847/Explications!$C$8</f>
        <v>0.19089749170087458</v>
      </c>
    </row>
    <row r="2848" spans="7:20">
      <c r="G2848" s="7" t="s">
        <v>61</v>
      </c>
      <c r="H2848" s="7" t="s">
        <v>73</v>
      </c>
      <c r="I2848" s="7">
        <v>46.796900000000001</v>
      </c>
      <c r="J2848" s="7">
        <v>-71.3078</v>
      </c>
      <c r="K2848" s="7">
        <v>46.801200000000001</v>
      </c>
      <c r="L2848" s="7">
        <v>-71.224999999999994</v>
      </c>
      <c r="M2848" s="10" t="str">
        <f t="shared" si="269"/>
        <v>C45</v>
      </c>
      <c r="N2848" s="10" t="str">
        <f t="shared" si="270"/>
        <v>C57</v>
      </c>
      <c r="O2848" s="5">
        <f t="shared" si="271"/>
        <v>6.3208054232386655</v>
      </c>
      <c r="P2848" s="22">
        <f>O2848/Explications!$C$8</f>
        <v>0.2106935141079555</v>
      </c>
      <c r="Q2848" s="7" t="str">
        <f t="shared" si="272"/>
        <v>C57</v>
      </c>
      <c r="R2848" s="7" t="str">
        <f t="shared" si="273"/>
        <v>C45</v>
      </c>
      <c r="S2848" s="18">
        <f t="shared" si="274"/>
        <v>6.3208054232386655</v>
      </c>
      <c r="T2848" s="18">
        <f>S2848/Explications!$C$8</f>
        <v>0.2106935141079555</v>
      </c>
    </row>
    <row r="2849" spans="7:20">
      <c r="G2849" s="7" t="s">
        <v>61</v>
      </c>
      <c r="H2849" s="7" t="s">
        <v>74</v>
      </c>
      <c r="I2849" s="7">
        <v>46.796900000000001</v>
      </c>
      <c r="J2849" s="7">
        <v>-71.3078</v>
      </c>
      <c r="K2849" s="7">
        <v>46.773200000000003</v>
      </c>
      <c r="L2849" s="7">
        <v>-71.275899999999993</v>
      </c>
      <c r="M2849" s="10" t="str">
        <f t="shared" si="269"/>
        <v>C45</v>
      </c>
      <c r="N2849" s="10" t="str">
        <f t="shared" si="270"/>
        <v>C58</v>
      </c>
      <c r="O2849" s="5">
        <f t="shared" si="271"/>
        <v>3.5838796503040422</v>
      </c>
      <c r="P2849" s="22">
        <f>O2849/Explications!$C$8</f>
        <v>0.11946265501013474</v>
      </c>
      <c r="Q2849" s="7" t="str">
        <f t="shared" si="272"/>
        <v>C58</v>
      </c>
      <c r="R2849" s="7" t="str">
        <f t="shared" si="273"/>
        <v>C45</v>
      </c>
      <c r="S2849" s="18">
        <f t="shared" si="274"/>
        <v>3.5838796503040422</v>
      </c>
      <c r="T2849" s="18">
        <f>S2849/Explications!$C$8</f>
        <v>0.11946265501013474</v>
      </c>
    </row>
    <row r="2850" spans="7:20">
      <c r="G2850" s="7" t="s">
        <v>61</v>
      </c>
      <c r="H2850" s="7" t="s">
        <v>75</v>
      </c>
      <c r="I2850" s="7">
        <v>46.796900000000001</v>
      </c>
      <c r="J2850" s="7">
        <v>-71.3078</v>
      </c>
      <c r="K2850" s="7">
        <v>46.814399999999999</v>
      </c>
      <c r="L2850" s="7">
        <v>-71.225700000000003</v>
      </c>
      <c r="M2850" s="10" t="str">
        <f t="shared" si="269"/>
        <v>C45</v>
      </c>
      <c r="N2850" s="10" t="str">
        <f t="shared" si="270"/>
        <v>C59</v>
      </c>
      <c r="O2850" s="5">
        <f t="shared" si="271"/>
        <v>6.5446261230054521</v>
      </c>
      <c r="P2850" s="22">
        <f>O2850/Explications!$C$8</f>
        <v>0.21815420410018174</v>
      </c>
      <c r="Q2850" s="7" t="str">
        <f t="shared" si="272"/>
        <v>C59</v>
      </c>
      <c r="R2850" s="7" t="str">
        <f t="shared" si="273"/>
        <v>C45</v>
      </c>
      <c r="S2850" s="18">
        <f t="shared" si="274"/>
        <v>6.5446261230054521</v>
      </c>
      <c r="T2850" s="18">
        <f>S2850/Explications!$C$8</f>
        <v>0.21815420410018174</v>
      </c>
    </row>
    <row r="2851" spans="7:20">
      <c r="G2851" s="7" t="s">
        <v>61</v>
      </c>
      <c r="H2851" s="7" t="s">
        <v>76</v>
      </c>
      <c r="I2851" s="7">
        <v>46.796900000000001</v>
      </c>
      <c r="J2851" s="7">
        <v>-71.3078</v>
      </c>
      <c r="K2851" s="7">
        <v>46.772500000000001</v>
      </c>
      <c r="L2851" s="7">
        <v>-71.276300000000006</v>
      </c>
      <c r="M2851" s="10" t="str">
        <f t="shared" si="269"/>
        <v>C45</v>
      </c>
      <c r="N2851" s="10" t="str">
        <f t="shared" si="270"/>
        <v>C60</v>
      </c>
      <c r="O2851" s="5">
        <f t="shared" si="271"/>
        <v>3.6212646462037257</v>
      </c>
      <c r="P2851" s="22">
        <f>O2851/Explications!$C$8</f>
        <v>0.12070882154012419</v>
      </c>
      <c r="Q2851" s="7" t="str">
        <f t="shared" si="272"/>
        <v>C60</v>
      </c>
      <c r="R2851" s="7" t="str">
        <f t="shared" si="273"/>
        <v>C45</v>
      </c>
      <c r="S2851" s="18">
        <f t="shared" si="274"/>
        <v>3.6212646462037257</v>
      </c>
      <c r="T2851" s="18">
        <f>S2851/Explications!$C$8</f>
        <v>0.12070882154012419</v>
      </c>
    </row>
    <row r="2852" spans="7:20">
      <c r="G2852" s="7" t="s">
        <v>61</v>
      </c>
      <c r="H2852" s="7" t="s">
        <v>77</v>
      </c>
      <c r="I2852" s="7">
        <v>46.796900000000001</v>
      </c>
      <c r="J2852" s="7">
        <v>-71.3078</v>
      </c>
      <c r="K2852" s="7">
        <v>46.810899999999997</v>
      </c>
      <c r="L2852" s="7">
        <v>-71.215599999999995</v>
      </c>
      <c r="M2852" s="10" t="str">
        <f t="shared" si="269"/>
        <v>C45</v>
      </c>
      <c r="N2852" s="10" t="str">
        <f t="shared" si="270"/>
        <v>C61</v>
      </c>
      <c r="O2852" s="5">
        <f t="shared" si="271"/>
        <v>7.1881787127061969</v>
      </c>
      <c r="P2852" s="22">
        <f>O2852/Explications!$C$8</f>
        <v>0.23960595709020657</v>
      </c>
      <c r="Q2852" s="7" t="str">
        <f t="shared" si="272"/>
        <v>C61</v>
      </c>
      <c r="R2852" s="7" t="str">
        <f t="shared" si="273"/>
        <v>C45</v>
      </c>
      <c r="S2852" s="18">
        <f t="shared" si="274"/>
        <v>7.1881787127061969</v>
      </c>
      <c r="T2852" s="18">
        <f>S2852/Explications!$C$8</f>
        <v>0.23960595709020657</v>
      </c>
    </row>
    <row r="2853" spans="7:20">
      <c r="G2853" s="7" t="s">
        <v>61</v>
      </c>
      <c r="H2853" s="7" t="s">
        <v>78</v>
      </c>
      <c r="I2853" s="7">
        <v>46.796900000000001</v>
      </c>
      <c r="J2853" s="7">
        <v>-71.3078</v>
      </c>
      <c r="K2853" s="7">
        <v>46.795200000000001</v>
      </c>
      <c r="L2853" s="7">
        <v>-71.245099999999994</v>
      </c>
      <c r="M2853" s="10" t="str">
        <f t="shared" si="269"/>
        <v>C45</v>
      </c>
      <c r="N2853" s="10" t="str">
        <f t="shared" si="270"/>
        <v>C62</v>
      </c>
      <c r="O2853" s="5">
        <f t="shared" si="271"/>
        <v>4.7767009925856501</v>
      </c>
      <c r="P2853" s="22">
        <f>O2853/Explications!$C$8</f>
        <v>0.15922336641952167</v>
      </c>
      <c r="Q2853" s="7" t="str">
        <f t="shared" si="272"/>
        <v>C62</v>
      </c>
      <c r="R2853" s="7" t="str">
        <f t="shared" si="273"/>
        <v>C45</v>
      </c>
      <c r="S2853" s="18">
        <f t="shared" si="274"/>
        <v>4.7767009925856501</v>
      </c>
      <c r="T2853" s="18">
        <f>S2853/Explications!$C$8</f>
        <v>0.15922336641952167</v>
      </c>
    </row>
    <row r="2854" spans="7:20">
      <c r="G2854" s="7" t="s">
        <v>61</v>
      </c>
      <c r="H2854" s="7" t="s">
        <v>79</v>
      </c>
      <c r="I2854" s="7">
        <v>46.796900000000001</v>
      </c>
      <c r="J2854" s="7">
        <v>-71.3078</v>
      </c>
      <c r="K2854" s="7">
        <v>46.822000000000003</v>
      </c>
      <c r="L2854" s="7">
        <v>-71.345699999999994</v>
      </c>
      <c r="M2854" s="10" t="str">
        <f t="shared" si="269"/>
        <v>C45</v>
      </c>
      <c r="N2854" s="10" t="str">
        <f t="shared" si="270"/>
        <v>C63</v>
      </c>
      <c r="O2854" s="5">
        <f t="shared" si="271"/>
        <v>4.013631717949913</v>
      </c>
      <c r="P2854" s="22">
        <f>O2854/Explications!$C$8</f>
        <v>0.13378772393166377</v>
      </c>
      <c r="Q2854" s="7" t="str">
        <f t="shared" si="272"/>
        <v>C63</v>
      </c>
      <c r="R2854" s="7" t="str">
        <f t="shared" si="273"/>
        <v>C45</v>
      </c>
      <c r="S2854" s="18">
        <f t="shared" si="274"/>
        <v>4.013631717949913</v>
      </c>
      <c r="T2854" s="18">
        <f>S2854/Explications!$C$8</f>
        <v>0.13378772393166377</v>
      </c>
    </row>
    <row r="2855" spans="7:20">
      <c r="G2855" s="7" t="s">
        <v>61</v>
      </c>
      <c r="H2855" s="7" t="s">
        <v>80</v>
      </c>
      <c r="I2855" s="7">
        <v>46.796900000000001</v>
      </c>
      <c r="J2855" s="7">
        <v>-71.3078</v>
      </c>
      <c r="K2855" s="7">
        <v>46.779400000000003</v>
      </c>
      <c r="L2855" s="7">
        <v>-71.350399999999993</v>
      </c>
      <c r="M2855" s="10" t="str">
        <f t="shared" si="269"/>
        <v>C45</v>
      </c>
      <c r="N2855" s="10" t="str">
        <f t="shared" si="270"/>
        <v>C64</v>
      </c>
      <c r="O2855" s="5">
        <f t="shared" si="271"/>
        <v>3.7823108912419787</v>
      </c>
      <c r="P2855" s="22">
        <f>O2855/Explications!$C$8</f>
        <v>0.12607702970806595</v>
      </c>
      <c r="Q2855" s="7" t="str">
        <f t="shared" si="272"/>
        <v>C64</v>
      </c>
      <c r="R2855" s="7" t="str">
        <f t="shared" si="273"/>
        <v>C45</v>
      </c>
      <c r="S2855" s="18">
        <f t="shared" si="274"/>
        <v>3.7823108912419787</v>
      </c>
      <c r="T2855" s="18">
        <f>S2855/Explications!$C$8</f>
        <v>0.12607702970806595</v>
      </c>
    </row>
    <row r="2856" spans="7:20">
      <c r="G2856" s="7" t="s">
        <v>61</v>
      </c>
      <c r="H2856" s="7" t="s">
        <v>81</v>
      </c>
      <c r="I2856" s="7">
        <v>46.796900000000001</v>
      </c>
      <c r="J2856" s="7">
        <v>-71.3078</v>
      </c>
      <c r="K2856" s="7">
        <v>46.772300000000001</v>
      </c>
      <c r="L2856" s="7">
        <v>-71.279799999999994</v>
      </c>
      <c r="M2856" s="10" t="str">
        <f t="shared" si="269"/>
        <v>C45</v>
      </c>
      <c r="N2856" s="10" t="str">
        <f t="shared" si="270"/>
        <v>C65</v>
      </c>
      <c r="O2856" s="5">
        <f t="shared" si="271"/>
        <v>3.4680633422898177</v>
      </c>
      <c r="P2856" s="22">
        <f>O2856/Explications!$C$8</f>
        <v>0.11560211140966059</v>
      </c>
      <c r="Q2856" s="7" t="str">
        <f t="shared" si="272"/>
        <v>C65</v>
      </c>
      <c r="R2856" s="7" t="str">
        <f t="shared" si="273"/>
        <v>C45</v>
      </c>
      <c r="S2856" s="18">
        <f t="shared" si="274"/>
        <v>3.4680633422898177</v>
      </c>
      <c r="T2856" s="18">
        <f>S2856/Explications!$C$8</f>
        <v>0.11560211140966059</v>
      </c>
    </row>
    <row r="2857" spans="7:20">
      <c r="G2857" s="7" t="s">
        <v>61</v>
      </c>
      <c r="H2857" s="7" t="s">
        <v>82</v>
      </c>
      <c r="I2857" s="7">
        <v>46.796900000000001</v>
      </c>
      <c r="J2857" s="7">
        <v>-71.3078</v>
      </c>
      <c r="K2857" s="7">
        <v>46.814900000000002</v>
      </c>
      <c r="L2857" s="7">
        <v>-71.225200000000001</v>
      </c>
      <c r="M2857" s="10" t="str">
        <f t="shared" si="269"/>
        <v>C45</v>
      </c>
      <c r="N2857" s="10" t="str">
        <f t="shared" si="270"/>
        <v>C66</v>
      </c>
      <c r="O2857" s="5">
        <f t="shared" si="271"/>
        <v>6.5975952997646843</v>
      </c>
      <c r="P2857" s="22">
        <f>O2857/Explications!$C$8</f>
        <v>0.21991984332548947</v>
      </c>
      <c r="Q2857" s="7" t="str">
        <f t="shared" si="272"/>
        <v>C66</v>
      </c>
      <c r="R2857" s="7" t="str">
        <f t="shared" si="273"/>
        <v>C45</v>
      </c>
      <c r="S2857" s="18">
        <f t="shared" si="274"/>
        <v>6.5975952997646843</v>
      </c>
      <c r="T2857" s="18">
        <f>S2857/Explications!$C$8</f>
        <v>0.21991984332548947</v>
      </c>
    </row>
    <row r="2858" spans="7:20">
      <c r="G2858" s="7" t="s">
        <v>61</v>
      </c>
      <c r="H2858" s="7" t="s">
        <v>83</v>
      </c>
      <c r="I2858" s="7">
        <v>46.796900000000001</v>
      </c>
      <c r="J2858" s="7">
        <v>-71.3078</v>
      </c>
      <c r="K2858" s="7">
        <v>46.814700000000002</v>
      </c>
      <c r="L2858" s="7">
        <v>-71.207300000000004</v>
      </c>
      <c r="M2858" s="10" t="str">
        <f t="shared" si="269"/>
        <v>C45</v>
      </c>
      <c r="N2858" s="10" t="str">
        <f t="shared" si="270"/>
        <v>C67</v>
      </c>
      <c r="O2858" s="5">
        <f t="shared" si="271"/>
        <v>7.9009795935656779</v>
      </c>
      <c r="P2858" s="22">
        <f>O2858/Explications!$C$8</f>
        <v>0.26336598645218928</v>
      </c>
      <c r="Q2858" s="7" t="str">
        <f t="shared" si="272"/>
        <v>C67</v>
      </c>
      <c r="R2858" s="7" t="str">
        <f t="shared" si="273"/>
        <v>C45</v>
      </c>
      <c r="S2858" s="18">
        <f t="shared" si="274"/>
        <v>7.9009795935656779</v>
      </c>
      <c r="T2858" s="18">
        <f>S2858/Explications!$C$8</f>
        <v>0.26336598645218928</v>
      </c>
    </row>
    <row r="2859" spans="7:20">
      <c r="G2859" s="7" t="s">
        <v>61</v>
      </c>
      <c r="H2859" s="7" t="s">
        <v>84</v>
      </c>
      <c r="I2859" s="7">
        <v>46.796900000000001</v>
      </c>
      <c r="J2859" s="7">
        <v>-71.3078</v>
      </c>
      <c r="K2859" s="7">
        <v>46.815600000000003</v>
      </c>
      <c r="L2859" s="7">
        <v>-71.2029</v>
      </c>
      <c r="M2859" s="10" t="str">
        <f t="shared" si="269"/>
        <v>C45</v>
      </c>
      <c r="N2859" s="10" t="str">
        <f t="shared" si="270"/>
        <v>C68</v>
      </c>
      <c r="O2859" s="5">
        <f t="shared" si="271"/>
        <v>8.2502007117217815</v>
      </c>
      <c r="P2859" s="22">
        <f>O2859/Explications!$C$8</f>
        <v>0.27500669039072606</v>
      </c>
      <c r="Q2859" s="7" t="str">
        <f t="shared" si="272"/>
        <v>C68</v>
      </c>
      <c r="R2859" s="7" t="str">
        <f t="shared" si="273"/>
        <v>C45</v>
      </c>
      <c r="S2859" s="18">
        <f t="shared" si="274"/>
        <v>8.2502007117217815</v>
      </c>
      <c r="T2859" s="18">
        <f>S2859/Explications!$C$8</f>
        <v>0.27500669039072606</v>
      </c>
    </row>
    <row r="2860" spans="7:20">
      <c r="G2860" s="7" t="s">
        <v>61</v>
      </c>
      <c r="H2860" s="7" t="s">
        <v>85</v>
      </c>
      <c r="I2860" s="7">
        <v>46.796900000000001</v>
      </c>
      <c r="J2860" s="7">
        <v>-71.3078</v>
      </c>
      <c r="K2860" s="7">
        <v>46.821899999999999</v>
      </c>
      <c r="L2860" s="7">
        <v>-71.249899999999997</v>
      </c>
      <c r="M2860" s="10" t="str">
        <f t="shared" si="269"/>
        <v>C45</v>
      </c>
      <c r="N2860" s="10" t="str">
        <f t="shared" si="270"/>
        <v>C69</v>
      </c>
      <c r="O2860" s="5">
        <f t="shared" si="271"/>
        <v>5.2100562101105377</v>
      </c>
      <c r="P2860" s="22">
        <f>O2860/Explications!$C$8</f>
        <v>0.17366854033701792</v>
      </c>
      <c r="Q2860" s="7" t="str">
        <f t="shared" si="272"/>
        <v>C69</v>
      </c>
      <c r="R2860" s="7" t="str">
        <f t="shared" si="273"/>
        <v>C45</v>
      </c>
      <c r="S2860" s="18">
        <f t="shared" si="274"/>
        <v>5.2100562101105377</v>
      </c>
      <c r="T2860" s="18">
        <f>S2860/Explications!$C$8</f>
        <v>0.17366854033701792</v>
      </c>
    </row>
    <row r="2861" spans="7:20">
      <c r="G2861" s="7" t="s">
        <v>61</v>
      </c>
      <c r="H2861" s="7" t="s">
        <v>86</v>
      </c>
      <c r="I2861" s="7">
        <v>46.796900000000001</v>
      </c>
      <c r="J2861" s="7">
        <v>-71.3078</v>
      </c>
      <c r="K2861" s="7">
        <v>46.8872</v>
      </c>
      <c r="L2861" s="7">
        <v>-71.27</v>
      </c>
      <c r="M2861" s="10" t="str">
        <f t="shared" si="269"/>
        <v>C45</v>
      </c>
      <c r="N2861" s="10" t="str">
        <f t="shared" si="270"/>
        <v>C70</v>
      </c>
      <c r="O2861" s="5">
        <f t="shared" si="271"/>
        <v>10.444396899037724</v>
      </c>
      <c r="P2861" s="22">
        <f>O2861/Explications!$C$8</f>
        <v>0.34814656330125743</v>
      </c>
      <c r="Q2861" s="7" t="str">
        <f t="shared" si="272"/>
        <v>C70</v>
      </c>
      <c r="R2861" s="7" t="str">
        <f t="shared" si="273"/>
        <v>C45</v>
      </c>
      <c r="S2861" s="18">
        <f t="shared" si="274"/>
        <v>10.444396899037724</v>
      </c>
      <c r="T2861" s="18">
        <f>S2861/Explications!$C$8</f>
        <v>0.34814656330125743</v>
      </c>
    </row>
    <row r="2862" spans="7:20">
      <c r="G2862" s="7" t="s">
        <v>61</v>
      </c>
      <c r="H2862" s="7" t="s">
        <v>87</v>
      </c>
      <c r="I2862" s="7">
        <v>46.796900000000001</v>
      </c>
      <c r="J2862" s="7">
        <v>-71.3078</v>
      </c>
      <c r="K2862" s="7">
        <v>46.816299999999998</v>
      </c>
      <c r="L2862" s="7">
        <v>-71.210300000000004</v>
      </c>
      <c r="M2862" s="10" t="str">
        <f t="shared" si="269"/>
        <v>C45</v>
      </c>
      <c r="N2862" s="10" t="str">
        <f t="shared" si="270"/>
        <v>C71</v>
      </c>
      <c r="O2862" s="5">
        <f t="shared" si="271"/>
        <v>7.7277995539760713</v>
      </c>
      <c r="P2862" s="22">
        <f>O2862/Explications!$C$8</f>
        <v>0.25759331846586903</v>
      </c>
      <c r="Q2862" s="7" t="str">
        <f t="shared" si="272"/>
        <v>C71</v>
      </c>
      <c r="R2862" s="7" t="str">
        <f t="shared" si="273"/>
        <v>C45</v>
      </c>
      <c r="S2862" s="18">
        <f t="shared" si="274"/>
        <v>7.7277995539760713</v>
      </c>
      <c r="T2862" s="18">
        <f>S2862/Explications!$C$8</f>
        <v>0.25759331846586903</v>
      </c>
    </row>
    <row r="2863" spans="7:20">
      <c r="G2863" s="7" t="s">
        <v>61</v>
      </c>
      <c r="H2863" s="7" t="s">
        <v>88</v>
      </c>
      <c r="I2863" s="7">
        <v>46.796900000000001</v>
      </c>
      <c r="J2863" s="7">
        <v>-71.3078</v>
      </c>
      <c r="K2863" s="7">
        <v>46.807000000000002</v>
      </c>
      <c r="L2863" s="7">
        <v>-71.3566</v>
      </c>
      <c r="M2863" s="10" t="str">
        <f t="shared" si="269"/>
        <v>C45</v>
      </c>
      <c r="N2863" s="10" t="str">
        <f t="shared" si="270"/>
        <v>C72</v>
      </c>
      <c r="O2863" s="5">
        <f t="shared" si="271"/>
        <v>3.8805008319925882</v>
      </c>
      <c r="P2863" s="22">
        <f>O2863/Explications!$C$8</f>
        <v>0.12935002773308626</v>
      </c>
      <c r="Q2863" s="7" t="str">
        <f t="shared" si="272"/>
        <v>C72</v>
      </c>
      <c r="R2863" s="7" t="str">
        <f t="shared" si="273"/>
        <v>C45</v>
      </c>
      <c r="S2863" s="18">
        <f t="shared" si="274"/>
        <v>3.8805008319925882</v>
      </c>
      <c r="T2863" s="18">
        <f>S2863/Explications!$C$8</f>
        <v>0.12935002773308626</v>
      </c>
    </row>
    <row r="2864" spans="7:20">
      <c r="G2864" s="7" t="s">
        <v>61</v>
      </c>
      <c r="H2864" s="7" t="s">
        <v>89</v>
      </c>
      <c r="I2864" s="7">
        <v>46.796900000000001</v>
      </c>
      <c r="J2864" s="7">
        <v>-71.3078</v>
      </c>
      <c r="K2864" s="7">
        <v>46.822899999999997</v>
      </c>
      <c r="L2864" s="7">
        <v>-71.341899999999995</v>
      </c>
      <c r="M2864" s="10" t="str">
        <f t="shared" si="269"/>
        <v>C45</v>
      </c>
      <c r="N2864" s="10" t="str">
        <f t="shared" si="270"/>
        <v>C73</v>
      </c>
      <c r="O2864" s="5">
        <f t="shared" si="271"/>
        <v>3.8849822362183239</v>
      </c>
      <c r="P2864" s="22">
        <f>O2864/Explications!$C$8</f>
        <v>0.12949940787394412</v>
      </c>
      <c r="Q2864" s="7" t="str">
        <f t="shared" si="272"/>
        <v>C73</v>
      </c>
      <c r="R2864" s="7" t="str">
        <f t="shared" si="273"/>
        <v>C45</v>
      </c>
      <c r="S2864" s="18">
        <f t="shared" si="274"/>
        <v>3.8849822362183239</v>
      </c>
      <c r="T2864" s="18">
        <f>S2864/Explications!$C$8</f>
        <v>0.12949940787394412</v>
      </c>
    </row>
    <row r="2865" spans="7:20">
      <c r="G2865" s="7" t="s">
        <v>61</v>
      </c>
      <c r="H2865" s="7" t="s">
        <v>90</v>
      </c>
      <c r="I2865" s="7">
        <v>46.796900000000001</v>
      </c>
      <c r="J2865" s="7">
        <v>-71.3078</v>
      </c>
      <c r="K2865" s="7">
        <v>46.730699999999999</v>
      </c>
      <c r="L2865" s="7">
        <v>-71.261099999999999</v>
      </c>
      <c r="M2865" s="10" t="str">
        <f t="shared" si="269"/>
        <v>C45</v>
      </c>
      <c r="N2865" s="10" t="str">
        <f t="shared" si="270"/>
        <v>C74</v>
      </c>
      <c r="O2865" s="5">
        <f t="shared" si="271"/>
        <v>8.1755045037702416</v>
      </c>
      <c r="P2865" s="22">
        <f>O2865/Explications!$C$8</f>
        <v>0.27251681679234141</v>
      </c>
      <c r="Q2865" s="7" t="str">
        <f t="shared" si="272"/>
        <v>C74</v>
      </c>
      <c r="R2865" s="7" t="str">
        <f t="shared" si="273"/>
        <v>C45</v>
      </c>
      <c r="S2865" s="18">
        <f t="shared" si="274"/>
        <v>8.1755045037702416</v>
      </c>
      <c r="T2865" s="18">
        <f>S2865/Explications!$C$8</f>
        <v>0.27251681679234141</v>
      </c>
    </row>
    <row r="2866" spans="7:20">
      <c r="G2866" s="7" t="s">
        <v>61</v>
      </c>
      <c r="H2866" s="7" t="s">
        <v>91</v>
      </c>
      <c r="I2866" s="7">
        <v>46.796900000000001</v>
      </c>
      <c r="J2866" s="7">
        <v>-71.3078</v>
      </c>
      <c r="K2866" s="7">
        <v>46.840600000000002</v>
      </c>
      <c r="L2866" s="7">
        <v>-71.289100000000005</v>
      </c>
      <c r="M2866" s="10" t="str">
        <f t="shared" si="269"/>
        <v>C45</v>
      </c>
      <c r="N2866" s="10" t="str">
        <f t="shared" si="270"/>
        <v>C75</v>
      </c>
      <c r="O2866" s="5">
        <f t="shared" si="271"/>
        <v>5.0632682174555264</v>
      </c>
      <c r="P2866" s="22">
        <f>O2866/Explications!$C$8</f>
        <v>0.16877560724851753</v>
      </c>
      <c r="Q2866" s="7" t="str">
        <f t="shared" si="272"/>
        <v>C75</v>
      </c>
      <c r="R2866" s="7" t="str">
        <f t="shared" si="273"/>
        <v>C45</v>
      </c>
      <c r="S2866" s="18">
        <f t="shared" si="274"/>
        <v>5.0632682174555264</v>
      </c>
      <c r="T2866" s="18">
        <f>S2866/Explications!$C$8</f>
        <v>0.16877560724851753</v>
      </c>
    </row>
    <row r="2867" spans="7:20">
      <c r="G2867" s="7" t="s">
        <v>61</v>
      </c>
      <c r="H2867" s="7" t="s">
        <v>92</v>
      </c>
      <c r="I2867" s="7">
        <v>46.796900000000001</v>
      </c>
      <c r="J2867" s="7">
        <v>-71.3078</v>
      </c>
      <c r="K2867" s="7">
        <v>46.840600000000002</v>
      </c>
      <c r="L2867" s="7">
        <v>-71.281599999999997</v>
      </c>
      <c r="M2867" s="10" t="str">
        <f t="shared" si="269"/>
        <v>C45</v>
      </c>
      <c r="N2867" s="10" t="str">
        <f t="shared" si="270"/>
        <v>C76</v>
      </c>
      <c r="O2867" s="5">
        <f t="shared" si="271"/>
        <v>5.2522800633575777</v>
      </c>
      <c r="P2867" s="22">
        <f>O2867/Explications!$C$8</f>
        <v>0.17507600211191926</v>
      </c>
      <c r="Q2867" s="7" t="str">
        <f t="shared" si="272"/>
        <v>C76</v>
      </c>
      <c r="R2867" s="7" t="str">
        <f t="shared" si="273"/>
        <v>C45</v>
      </c>
      <c r="S2867" s="18">
        <f t="shared" si="274"/>
        <v>5.2522800633575777</v>
      </c>
      <c r="T2867" s="18">
        <f>S2867/Explications!$C$8</f>
        <v>0.17507600211191926</v>
      </c>
    </row>
    <row r="2868" spans="7:20">
      <c r="G2868" s="7" t="s">
        <v>61</v>
      </c>
      <c r="H2868" s="7" t="s">
        <v>93</v>
      </c>
      <c r="I2868" s="7">
        <v>46.796900000000001</v>
      </c>
      <c r="J2868" s="7">
        <v>-71.3078</v>
      </c>
      <c r="K2868" s="7">
        <v>46.839399999999998</v>
      </c>
      <c r="L2868" s="7">
        <v>-71.282600000000002</v>
      </c>
      <c r="M2868" s="10" t="str">
        <f t="shared" si="269"/>
        <v>C45</v>
      </c>
      <c r="N2868" s="10" t="str">
        <f t="shared" si="270"/>
        <v>C77</v>
      </c>
      <c r="O2868" s="5">
        <f t="shared" si="271"/>
        <v>5.0999961632830635</v>
      </c>
      <c r="P2868" s="22">
        <f>O2868/Explications!$C$8</f>
        <v>0.16999987210943546</v>
      </c>
      <c r="Q2868" s="7" t="str">
        <f t="shared" si="272"/>
        <v>C77</v>
      </c>
      <c r="R2868" s="7" t="str">
        <f t="shared" si="273"/>
        <v>C45</v>
      </c>
      <c r="S2868" s="18">
        <f t="shared" si="274"/>
        <v>5.0999961632830635</v>
      </c>
      <c r="T2868" s="18">
        <f>S2868/Explications!$C$8</f>
        <v>0.16999987210943546</v>
      </c>
    </row>
    <row r="2869" spans="7:20">
      <c r="G2869" s="7" t="s">
        <v>61</v>
      </c>
      <c r="H2869" s="7" t="s">
        <v>94</v>
      </c>
      <c r="I2869" s="7">
        <v>46.796900000000001</v>
      </c>
      <c r="J2869" s="7">
        <v>-71.3078</v>
      </c>
      <c r="K2869" s="7">
        <v>46.788499999999999</v>
      </c>
      <c r="L2869" s="7">
        <v>-71.282399999999996</v>
      </c>
      <c r="M2869" s="10" t="str">
        <f t="shared" si="269"/>
        <v>C45</v>
      </c>
      <c r="N2869" s="10" t="str">
        <f t="shared" si="270"/>
        <v>C78</v>
      </c>
      <c r="O2869" s="5">
        <f t="shared" si="271"/>
        <v>2.1474359297323646</v>
      </c>
      <c r="P2869" s="22">
        <f>O2869/Explications!$C$8</f>
        <v>7.1581197657745482E-2</v>
      </c>
      <c r="Q2869" s="7" t="str">
        <f t="shared" si="272"/>
        <v>C78</v>
      </c>
      <c r="R2869" s="7" t="str">
        <f t="shared" si="273"/>
        <v>C45</v>
      </c>
      <c r="S2869" s="18">
        <f t="shared" si="274"/>
        <v>2.1474359297323646</v>
      </c>
      <c r="T2869" s="18">
        <f>S2869/Explications!$C$8</f>
        <v>7.1581197657745482E-2</v>
      </c>
    </row>
    <row r="2870" spans="7:20">
      <c r="G2870" s="7" t="s">
        <v>61</v>
      </c>
      <c r="H2870" s="7" t="s">
        <v>95</v>
      </c>
      <c r="I2870" s="7">
        <v>46.796900000000001</v>
      </c>
      <c r="J2870" s="7">
        <v>-71.3078</v>
      </c>
      <c r="K2870" s="7">
        <v>46.840699999999998</v>
      </c>
      <c r="L2870" s="7">
        <v>-71.325400000000002</v>
      </c>
      <c r="M2870" s="10" t="str">
        <f t="shared" si="269"/>
        <v>C45</v>
      </c>
      <c r="N2870" s="10" t="str">
        <f t="shared" si="270"/>
        <v>C79</v>
      </c>
      <c r="O2870" s="5">
        <f t="shared" si="271"/>
        <v>5.0511065411234757</v>
      </c>
      <c r="P2870" s="22">
        <f>O2870/Explications!$C$8</f>
        <v>0.1683702180374492</v>
      </c>
      <c r="Q2870" s="7" t="str">
        <f t="shared" si="272"/>
        <v>C79</v>
      </c>
      <c r="R2870" s="7" t="str">
        <f t="shared" si="273"/>
        <v>C45</v>
      </c>
      <c r="S2870" s="18">
        <f t="shared" si="274"/>
        <v>5.0511065411234757</v>
      </c>
      <c r="T2870" s="18">
        <f>S2870/Explications!$C$8</f>
        <v>0.1683702180374492</v>
      </c>
    </row>
    <row r="2871" spans="7:20">
      <c r="G2871" s="7" t="s">
        <v>61</v>
      </c>
      <c r="H2871" s="7" t="s">
        <v>96</v>
      </c>
      <c r="I2871" s="7">
        <v>46.796900000000001</v>
      </c>
      <c r="J2871" s="7">
        <v>-71.3078</v>
      </c>
      <c r="K2871" s="7">
        <v>46.798400000000001</v>
      </c>
      <c r="L2871" s="7">
        <v>-71.183199999999999</v>
      </c>
      <c r="M2871" s="10" t="str">
        <f t="shared" si="269"/>
        <v>C45</v>
      </c>
      <c r="N2871" s="10" t="str">
        <f t="shared" si="270"/>
        <v>C80</v>
      </c>
      <c r="O2871" s="5">
        <f t="shared" si="271"/>
        <v>9.4862030679212239</v>
      </c>
      <c r="P2871" s="22">
        <f>O2871/Explications!$C$8</f>
        <v>0.31620676893070748</v>
      </c>
      <c r="Q2871" s="7" t="str">
        <f t="shared" si="272"/>
        <v>C80</v>
      </c>
      <c r="R2871" s="7" t="str">
        <f t="shared" si="273"/>
        <v>C45</v>
      </c>
      <c r="S2871" s="18">
        <f t="shared" si="274"/>
        <v>9.4862030679212239</v>
      </c>
      <c r="T2871" s="18">
        <f>S2871/Explications!$C$8</f>
        <v>0.31620676893070748</v>
      </c>
    </row>
    <row r="2872" spans="7:20">
      <c r="G2872" s="7" t="s">
        <v>61</v>
      </c>
      <c r="H2872" s="7" t="s">
        <v>97</v>
      </c>
      <c r="I2872" s="7">
        <v>46.796900000000001</v>
      </c>
      <c r="J2872" s="7">
        <v>-71.3078</v>
      </c>
      <c r="K2872" s="7">
        <v>46.724800000000002</v>
      </c>
      <c r="L2872" s="7">
        <v>-71.2988</v>
      </c>
      <c r="M2872" s="10" t="str">
        <f t="shared" si="269"/>
        <v>C45</v>
      </c>
      <c r="N2872" s="10" t="str">
        <f t="shared" si="270"/>
        <v>C81</v>
      </c>
      <c r="O2872" s="5">
        <f t="shared" si="271"/>
        <v>8.0464126387395272</v>
      </c>
      <c r="P2872" s="22">
        <f>O2872/Explications!$C$8</f>
        <v>0.26821375462465091</v>
      </c>
      <c r="Q2872" s="7" t="str">
        <f t="shared" si="272"/>
        <v>C81</v>
      </c>
      <c r="R2872" s="7" t="str">
        <f t="shared" si="273"/>
        <v>C45</v>
      </c>
      <c r="S2872" s="18">
        <f t="shared" si="274"/>
        <v>8.0464126387395272</v>
      </c>
      <c r="T2872" s="18">
        <f>S2872/Explications!$C$8</f>
        <v>0.26821375462465091</v>
      </c>
    </row>
    <row r="2873" spans="7:20">
      <c r="G2873" s="7" t="s">
        <v>61</v>
      </c>
      <c r="H2873" s="7" t="s">
        <v>98</v>
      </c>
      <c r="I2873" s="7">
        <v>46.796900000000001</v>
      </c>
      <c r="J2873" s="7">
        <v>-71.3078</v>
      </c>
      <c r="K2873" s="7">
        <v>46.795499999999997</v>
      </c>
      <c r="L2873" s="7">
        <v>-71.242900000000006</v>
      </c>
      <c r="M2873" s="10" t="str">
        <f t="shared" si="269"/>
        <v>C45</v>
      </c>
      <c r="N2873" s="10" t="str">
        <f t="shared" si="270"/>
        <v>C82</v>
      </c>
      <c r="O2873" s="5">
        <f t="shared" si="271"/>
        <v>4.9428696941564061</v>
      </c>
      <c r="P2873" s="22">
        <f>O2873/Explications!$C$8</f>
        <v>0.16476232313854686</v>
      </c>
      <c r="Q2873" s="7" t="str">
        <f t="shared" si="272"/>
        <v>C82</v>
      </c>
      <c r="R2873" s="7" t="str">
        <f t="shared" si="273"/>
        <v>C45</v>
      </c>
      <c r="S2873" s="18">
        <f t="shared" si="274"/>
        <v>4.9428696941564061</v>
      </c>
      <c r="T2873" s="18">
        <f>S2873/Explications!$C$8</f>
        <v>0.16476232313854686</v>
      </c>
    </row>
    <row r="2874" spans="7:20">
      <c r="G2874" s="7" t="s">
        <v>61</v>
      </c>
      <c r="H2874" s="7" t="s">
        <v>99</v>
      </c>
      <c r="I2874" s="7">
        <v>46.796900000000001</v>
      </c>
      <c r="J2874" s="7">
        <v>-71.3078</v>
      </c>
      <c r="K2874" s="7">
        <v>46.8157</v>
      </c>
      <c r="L2874" s="7">
        <v>-71.201899999999995</v>
      </c>
      <c r="M2874" s="10" t="str">
        <f t="shared" si="269"/>
        <v>C45</v>
      </c>
      <c r="N2874" s="10" t="str">
        <f t="shared" si="270"/>
        <v>C83</v>
      </c>
      <c r="O2874" s="5">
        <f t="shared" si="271"/>
        <v>8.3266525652430268</v>
      </c>
      <c r="P2874" s="22">
        <f>O2874/Explications!$C$8</f>
        <v>0.27755508550810087</v>
      </c>
      <c r="Q2874" s="7" t="str">
        <f t="shared" si="272"/>
        <v>C83</v>
      </c>
      <c r="R2874" s="7" t="str">
        <f t="shared" si="273"/>
        <v>C45</v>
      </c>
      <c r="S2874" s="18">
        <f t="shared" si="274"/>
        <v>8.3266525652430268</v>
      </c>
      <c r="T2874" s="18">
        <f>S2874/Explications!$C$8</f>
        <v>0.27755508550810087</v>
      </c>
    </row>
    <row r="2875" spans="7:20">
      <c r="G2875" s="7" t="s">
        <v>61</v>
      </c>
      <c r="H2875" s="7" t="s">
        <v>100</v>
      </c>
      <c r="I2875" s="7">
        <v>46.796900000000001</v>
      </c>
      <c r="J2875" s="7">
        <v>-71.3078</v>
      </c>
      <c r="K2875" s="7">
        <v>46.837600000000002</v>
      </c>
      <c r="L2875" s="7">
        <v>-71.196299999999994</v>
      </c>
      <c r="M2875" s="10" t="str">
        <f t="shared" si="269"/>
        <v>C45</v>
      </c>
      <c r="N2875" s="10" t="str">
        <f t="shared" si="270"/>
        <v>C84</v>
      </c>
      <c r="O2875" s="5">
        <f t="shared" si="271"/>
        <v>9.6159915203405966</v>
      </c>
      <c r="P2875" s="22">
        <f>O2875/Explications!$C$8</f>
        <v>0.3205330506780199</v>
      </c>
      <c r="Q2875" s="7" t="str">
        <f t="shared" si="272"/>
        <v>C84</v>
      </c>
      <c r="R2875" s="7" t="str">
        <f t="shared" si="273"/>
        <v>C45</v>
      </c>
      <c r="S2875" s="18">
        <f t="shared" si="274"/>
        <v>9.6159915203405966</v>
      </c>
      <c r="T2875" s="18">
        <f>S2875/Explications!$C$8</f>
        <v>0.3205330506780199</v>
      </c>
    </row>
    <row r="2876" spans="7:20">
      <c r="G2876" s="7" t="s">
        <v>61</v>
      </c>
      <c r="H2876" s="7" t="s">
        <v>101</v>
      </c>
      <c r="I2876" s="7">
        <v>46.796900000000001</v>
      </c>
      <c r="J2876" s="7">
        <v>-71.3078</v>
      </c>
      <c r="K2876" s="7">
        <v>46.7988</v>
      </c>
      <c r="L2876" s="7">
        <v>-71.318200000000004</v>
      </c>
      <c r="M2876" s="10" t="str">
        <f t="shared" si="269"/>
        <v>C45</v>
      </c>
      <c r="N2876" s="10" t="str">
        <f t="shared" si="270"/>
        <v>C85</v>
      </c>
      <c r="O2876" s="5">
        <f t="shared" si="271"/>
        <v>0.81936658776464077</v>
      </c>
      <c r="P2876" s="22">
        <f>O2876/Explications!$C$8</f>
        <v>2.7312219592154692E-2</v>
      </c>
      <c r="Q2876" s="7" t="str">
        <f t="shared" si="272"/>
        <v>C85</v>
      </c>
      <c r="R2876" s="7" t="str">
        <f t="shared" si="273"/>
        <v>C45</v>
      </c>
      <c r="S2876" s="18">
        <f t="shared" si="274"/>
        <v>0.81936658776464077</v>
      </c>
      <c r="T2876" s="18">
        <f>S2876/Explications!$C$8</f>
        <v>2.7312219592154692E-2</v>
      </c>
    </row>
    <row r="2877" spans="7:20">
      <c r="G2877" s="7" t="s">
        <v>62</v>
      </c>
      <c r="H2877" s="7" t="s">
        <v>63</v>
      </c>
      <c r="I2877" s="7">
        <v>46.803600000000003</v>
      </c>
      <c r="J2877" s="7">
        <v>-71.231099999999998</v>
      </c>
      <c r="K2877" s="7">
        <v>46.802399999999999</v>
      </c>
      <c r="L2877" s="7">
        <v>-71.269800000000004</v>
      </c>
      <c r="M2877" s="10" t="str">
        <f t="shared" si="269"/>
        <v>C46</v>
      </c>
      <c r="N2877" s="10" t="str">
        <f t="shared" si="270"/>
        <v>C47</v>
      </c>
      <c r="O2877" s="5">
        <f t="shared" si="271"/>
        <v>2.9486293908464916</v>
      </c>
      <c r="P2877" s="22">
        <f>O2877/Explications!$C$8</f>
        <v>9.8287646361549713E-2</v>
      </c>
      <c r="Q2877" s="7" t="str">
        <f t="shared" si="272"/>
        <v>C47</v>
      </c>
      <c r="R2877" s="7" t="str">
        <f t="shared" si="273"/>
        <v>C46</v>
      </c>
      <c r="S2877" s="18">
        <f t="shared" si="274"/>
        <v>2.9486293908464916</v>
      </c>
      <c r="T2877" s="18">
        <f>S2877/Explications!$C$8</f>
        <v>9.8287646361549713E-2</v>
      </c>
    </row>
    <row r="2878" spans="7:20">
      <c r="G2878" s="7" t="s">
        <v>62</v>
      </c>
      <c r="H2878" s="7" t="s">
        <v>64</v>
      </c>
      <c r="I2878" s="7">
        <v>46.803600000000003</v>
      </c>
      <c r="J2878" s="7">
        <v>-71.231099999999998</v>
      </c>
      <c r="K2878" s="7">
        <v>46.826799999999999</v>
      </c>
      <c r="L2878" s="7">
        <v>-71.224199999999996</v>
      </c>
      <c r="M2878" s="10" t="str">
        <f t="shared" si="269"/>
        <v>C46</v>
      </c>
      <c r="N2878" s="10" t="str">
        <f t="shared" si="270"/>
        <v>C48</v>
      </c>
      <c r="O2878" s="5">
        <f t="shared" si="271"/>
        <v>2.632615128417271</v>
      </c>
      <c r="P2878" s="22">
        <f>O2878/Explications!$C$8</f>
        <v>8.7753837613909036E-2</v>
      </c>
      <c r="Q2878" s="7" t="str">
        <f t="shared" si="272"/>
        <v>C48</v>
      </c>
      <c r="R2878" s="7" t="str">
        <f t="shared" si="273"/>
        <v>C46</v>
      </c>
      <c r="S2878" s="18">
        <f t="shared" si="274"/>
        <v>2.632615128417271</v>
      </c>
      <c r="T2878" s="18">
        <f>S2878/Explications!$C$8</f>
        <v>8.7753837613909036E-2</v>
      </c>
    </row>
    <row r="2879" spans="7:20">
      <c r="G2879" s="7" t="s">
        <v>62</v>
      </c>
      <c r="H2879" s="7" t="s">
        <v>65</v>
      </c>
      <c r="I2879" s="7">
        <v>46.803600000000003</v>
      </c>
      <c r="J2879" s="7">
        <v>-71.231099999999998</v>
      </c>
      <c r="K2879" s="7">
        <v>46.864100000000001</v>
      </c>
      <c r="L2879" s="7">
        <v>-71.255499999999998</v>
      </c>
      <c r="M2879" s="10" t="str">
        <f t="shared" si="269"/>
        <v>C46</v>
      </c>
      <c r="N2879" s="10" t="str">
        <f t="shared" si="270"/>
        <v>C49</v>
      </c>
      <c r="O2879" s="5">
        <f t="shared" si="271"/>
        <v>6.9786554062171078</v>
      </c>
      <c r="P2879" s="22">
        <f>O2879/Explications!$C$8</f>
        <v>0.23262184687390358</v>
      </c>
      <c r="Q2879" s="7" t="str">
        <f t="shared" si="272"/>
        <v>C49</v>
      </c>
      <c r="R2879" s="7" t="str">
        <f t="shared" si="273"/>
        <v>C46</v>
      </c>
      <c r="S2879" s="18">
        <f t="shared" si="274"/>
        <v>6.9786554062171078</v>
      </c>
      <c r="T2879" s="18">
        <f>S2879/Explications!$C$8</f>
        <v>0.23262184687390358</v>
      </c>
    </row>
    <row r="2880" spans="7:20">
      <c r="G2880" s="7" t="s">
        <v>62</v>
      </c>
      <c r="H2880" s="7" t="s">
        <v>66</v>
      </c>
      <c r="I2880" s="7">
        <v>46.803600000000003</v>
      </c>
      <c r="J2880" s="7">
        <v>-71.231099999999998</v>
      </c>
      <c r="K2880" s="7">
        <v>46.843800000000002</v>
      </c>
      <c r="L2880" s="7">
        <v>-71.247299999999996</v>
      </c>
      <c r="M2880" s="10" t="str">
        <f t="shared" si="269"/>
        <v>C46</v>
      </c>
      <c r="N2880" s="10" t="str">
        <f t="shared" si="270"/>
        <v>C50</v>
      </c>
      <c r="O2880" s="5">
        <f t="shared" si="271"/>
        <v>4.6368581279517844</v>
      </c>
      <c r="P2880" s="22">
        <f>O2880/Explications!$C$8</f>
        <v>0.15456193759839282</v>
      </c>
      <c r="Q2880" s="7" t="str">
        <f t="shared" si="272"/>
        <v>C50</v>
      </c>
      <c r="R2880" s="7" t="str">
        <f t="shared" si="273"/>
        <v>C46</v>
      </c>
      <c r="S2880" s="18">
        <f t="shared" si="274"/>
        <v>4.6368581279517844</v>
      </c>
      <c r="T2880" s="18">
        <f>S2880/Explications!$C$8</f>
        <v>0.15456193759839282</v>
      </c>
    </row>
    <row r="2881" spans="7:20">
      <c r="G2881" s="7" t="s">
        <v>62</v>
      </c>
      <c r="H2881" s="7" t="s">
        <v>67</v>
      </c>
      <c r="I2881" s="7">
        <v>46.803600000000003</v>
      </c>
      <c r="J2881" s="7">
        <v>-71.231099999999998</v>
      </c>
      <c r="K2881" s="7">
        <v>46.765599999999999</v>
      </c>
      <c r="L2881" s="7">
        <v>-71.312100000000001</v>
      </c>
      <c r="M2881" s="10" t="str">
        <f t="shared" si="269"/>
        <v>C46</v>
      </c>
      <c r="N2881" s="10" t="str">
        <f t="shared" si="270"/>
        <v>C51</v>
      </c>
      <c r="O2881" s="5">
        <f t="shared" si="271"/>
        <v>7.4759673985445128</v>
      </c>
      <c r="P2881" s="22">
        <f>O2881/Explications!$C$8</f>
        <v>0.24919891328481708</v>
      </c>
      <c r="Q2881" s="7" t="str">
        <f t="shared" si="272"/>
        <v>C51</v>
      </c>
      <c r="R2881" s="7" t="str">
        <f t="shared" si="273"/>
        <v>C46</v>
      </c>
      <c r="S2881" s="18">
        <f t="shared" si="274"/>
        <v>7.4759673985445128</v>
      </c>
      <c r="T2881" s="18">
        <f>S2881/Explications!$C$8</f>
        <v>0.24919891328481708</v>
      </c>
    </row>
    <row r="2882" spans="7:20">
      <c r="G2882" s="7" t="s">
        <v>62</v>
      </c>
      <c r="H2882" s="7" t="s">
        <v>68</v>
      </c>
      <c r="I2882" s="7">
        <v>46.803600000000003</v>
      </c>
      <c r="J2882" s="7">
        <v>-71.231099999999998</v>
      </c>
      <c r="K2882" s="7">
        <v>46.787599999999998</v>
      </c>
      <c r="L2882" s="7">
        <v>-71.288600000000002</v>
      </c>
      <c r="M2882" s="10" t="str">
        <f t="shared" si="269"/>
        <v>C46</v>
      </c>
      <c r="N2882" s="10" t="str">
        <f t="shared" si="270"/>
        <v>C52</v>
      </c>
      <c r="O2882" s="5">
        <f t="shared" si="271"/>
        <v>4.7249048284593878</v>
      </c>
      <c r="P2882" s="22">
        <f>O2882/Explications!$C$8</f>
        <v>0.15749682761531292</v>
      </c>
      <c r="Q2882" s="7" t="str">
        <f t="shared" si="272"/>
        <v>C52</v>
      </c>
      <c r="R2882" s="7" t="str">
        <f t="shared" si="273"/>
        <v>C46</v>
      </c>
      <c r="S2882" s="18">
        <f t="shared" si="274"/>
        <v>4.7249048284593878</v>
      </c>
      <c r="T2882" s="18">
        <f>S2882/Explications!$C$8</f>
        <v>0.15749682761531292</v>
      </c>
    </row>
    <row r="2883" spans="7:20">
      <c r="G2883" s="7" t="s">
        <v>62</v>
      </c>
      <c r="H2883" s="7" t="s">
        <v>69</v>
      </c>
      <c r="I2883" s="7">
        <v>46.803600000000003</v>
      </c>
      <c r="J2883" s="7">
        <v>-71.231099999999998</v>
      </c>
      <c r="K2883" s="7">
        <v>46.764600000000002</v>
      </c>
      <c r="L2883" s="7">
        <v>-71.308300000000003</v>
      </c>
      <c r="M2883" s="10" t="str">
        <f t="shared" si="269"/>
        <v>C46</v>
      </c>
      <c r="N2883" s="10" t="str">
        <f t="shared" si="270"/>
        <v>C53</v>
      </c>
      <c r="O2883" s="5">
        <f t="shared" si="271"/>
        <v>7.3046343665395046</v>
      </c>
      <c r="P2883" s="22">
        <f>O2883/Explications!$C$8</f>
        <v>0.24348781221798349</v>
      </c>
      <c r="Q2883" s="7" t="str">
        <f t="shared" si="272"/>
        <v>C53</v>
      </c>
      <c r="R2883" s="7" t="str">
        <f t="shared" si="273"/>
        <v>C46</v>
      </c>
      <c r="S2883" s="18">
        <f t="shared" si="274"/>
        <v>7.3046343665395046</v>
      </c>
      <c r="T2883" s="18">
        <f>S2883/Explications!$C$8</f>
        <v>0.24348781221798349</v>
      </c>
    </row>
    <row r="2884" spans="7:20">
      <c r="G2884" s="7" t="s">
        <v>62</v>
      </c>
      <c r="H2884" s="7" t="s">
        <v>70</v>
      </c>
      <c r="I2884" s="7">
        <v>46.803600000000003</v>
      </c>
      <c r="J2884" s="7">
        <v>-71.231099999999998</v>
      </c>
      <c r="K2884" s="7">
        <v>46.849699999999999</v>
      </c>
      <c r="L2884" s="7">
        <v>-71.097399999999993</v>
      </c>
      <c r="M2884" s="10" t="str">
        <f t="shared" ref="M2884:M2947" si="275">G2884</f>
        <v>C46</v>
      </c>
      <c r="N2884" s="10" t="str">
        <f t="shared" ref="N2884:N2947" si="276">H2884</f>
        <v>C54</v>
      </c>
      <c r="O2884" s="5">
        <f t="shared" ref="O2884:O2947" si="277">ACOS(SIN(RADIANS(I2884))*SIN(RADIANS(K2884))+COS(RADIANS(I2884))*COS(RADIANS(K2884))*COS(RADIANS(J2884-L2884)))*6371</f>
        <v>11.390584453386683</v>
      </c>
      <c r="P2884" s="22">
        <f>O2884/Explications!$C$8</f>
        <v>0.37968614844622278</v>
      </c>
      <c r="Q2884" s="7" t="str">
        <f t="shared" ref="Q2884:Q2947" si="278">N2884</f>
        <v>C54</v>
      </c>
      <c r="R2884" s="7" t="str">
        <f t="shared" ref="R2884:R2947" si="279">M2884</f>
        <v>C46</v>
      </c>
      <c r="S2884" s="18">
        <f t="shared" ref="S2884:S2947" si="280">O2884</f>
        <v>11.390584453386683</v>
      </c>
      <c r="T2884" s="18">
        <f>S2884/Explications!$C$8</f>
        <v>0.37968614844622278</v>
      </c>
    </row>
    <row r="2885" spans="7:20">
      <c r="G2885" s="7" t="s">
        <v>62</v>
      </c>
      <c r="H2885" s="7" t="s">
        <v>71</v>
      </c>
      <c r="I2885" s="7">
        <v>46.803600000000003</v>
      </c>
      <c r="J2885" s="7">
        <v>-71.231099999999998</v>
      </c>
      <c r="K2885" s="7">
        <v>46.788899999999998</v>
      </c>
      <c r="L2885" s="7">
        <v>-71.321399999999997</v>
      </c>
      <c r="M2885" s="10" t="str">
        <f t="shared" si="275"/>
        <v>C46</v>
      </c>
      <c r="N2885" s="10" t="str">
        <f t="shared" si="276"/>
        <v>C55</v>
      </c>
      <c r="O2885" s="5">
        <f t="shared" si="277"/>
        <v>7.0656194119180942</v>
      </c>
      <c r="P2885" s="22">
        <f>O2885/Explications!$C$8</f>
        <v>0.23552064706393647</v>
      </c>
      <c r="Q2885" s="7" t="str">
        <f t="shared" si="278"/>
        <v>C55</v>
      </c>
      <c r="R2885" s="7" t="str">
        <f t="shared" si="279"/>
        <v>C46</v>
      </c>
      <c r="S2885" s="18">
        <f t="shared" si="280"/>
        <v>7.0656194119180942</v>
      </c>
      <c r="T2885" s="18">
        <f>S2885/Explications!$C$8</f>
        <v>0.23552064706393647</v>
      </c>
    </row>
    <row r="2886" spans="7:20">
      <c r="G2886" s="7" t="s">
        <v>62</v>
      </c>
      <c r="H2886" s="7" t="s">
        <v>72</v>
      </c>
      <c r="I2886" s="7">
        <v>46.803600000000003</v>
      </c>
      <c r="J2886" s="7">
        <v>-71.231099999999998</v>
      </c>
      <c r="K2886" s="7">
        <v>46.795400000000001</v>
      </c>
      <c r="L2886" s="7">
        <v>-71.232600000000005</v>
      </c>
      <c r="M2886" s="10" t="str">
        <f t="shared" si="275"/>
        <v>C46</v>
      </c>
      <c r="N2886" s="10" t="str">
        <f t="shared" si="276"/>
        <v>C56</v>
      </c>
      <c r="O2886" s="5">
        <f t="shared" si="277"/>
        <v>0.91891947819857034</v>
      </c>
      <c r="P2886" s="22">
        <f>O2886/Explications!$C$8</f>
        <v>3.0630649273285678E-2</v>
      </c>
      <c r="Q2886" s="7" t="str">
        <f t="shared" si="278"/>
        <v>C56</v>
      </c>
      <c r="R2886" s="7" t="str">
        <f t="shared" si="279"/>
        <v>C46</v>
      </c>
      <c r="S2886" s="18">
        <f t="shared" si="280"/>
        <v>0.91891947819857034</v>
      </c>
      <c r="T2886" s="18">
        <f>S2886/Explications!$C$8</f>
        <v>3.0630649273285678E-2</v>
      </c>
    </row>
    <row r="2887" spans="7:20">
      <c r="G2887" s="7" t="s">
        <v>62</v>
      </c>
      <c r="H2887" s="7" t="s">
        <v>73</v>
      </c>
      <c r="I2887" s="7">
        <v>46.803600000000003</v>
      </c>
      <c r="J2887" s="7">
        <v>-71.231099999999998</v>
      </c>
      <c r="K2887" s="7">
        <v>46.801200000000001</v>
      </c>
      <c r="L2887" s="7">
        <v>-71.224999999999994</v>
      </c>
      <c r="M2887" s="10" t="str">
        <f t="shared" si="275"/>
        <v>C46</v>
      </c>
      <c r="N2887" s="10" t="str">
        <f t="shared" si="276"/>
        <v>C57</v>
      </c>
      <c r="O2887" s="5">
        <f t="shared" si="277"/>
        <v>0.53553058818641031</v>
      </c>
      <c r="P2887" s="22">
        <f>O2887/Explications!$C$8</f>
        <v>1.7851019606213676E-2</v>
      </c>
      <c r="Q2887" s="7" t="str">
        <f t="shared" si="278"/>
        <v>C57</v>
      </c>
      <c r="R2887" s="7" t="str">
        <f t="shared" si="279"/>
        <v>C46</v>
      </c>
      <c r="S2887" s="18">
        <f t="shared" si="280"/>
        <v>0.53553058818641031</v>
      </c>
      <c r="T2887" s="18">
        <f>S2887/Explications!$C$8</f>
        <v>1.7851019606213676E-2</v>
      </c>
    </row>
    <row r="2888" spans="7:20">
      <c r="G2888" s="7" t="s">
        <v>62</v>
      </c>
      <c r="H2888" s="7" t="s">
        <v>74</v>
      </c>
      <c r="I2888" s="7">
        <v>46.803600000000003</v>
      </c>
      <c r="J2888" s="7">
        <v>-71.231099999999998</v>
      </c>
      <c r="K2888" s="7">
        <v>46.773200000000003</v>
      </c>
      <c r="L2888" s="7">
        <v>-71.275899999999993</v>
      </c>
      <c r="M2888" s="10" t="str">
        <f t="shared" si="275"/>
        <v>C46</v>
      </c>
      <c r="N2888" s="10" t="str">
        <f t="shared" si="276"/>
        <v>C58</v>
      </c>
      <c r="O2888" s="5">
        <f t="shared" si="277"/>
        <v>4.8021198261264804</v>
      </c>
      <c r="P2888" s="22">
        <f>O2888/Explications!$C$8</f>
        <v>0.16007066087088268</v>
      </c>
      <c r="Q2888" s="7" t="str">
        <f t="shared" si="278"/>
        <v>C58</v>
      </c>
      <c r="R2888" s="7" t="str">
        <f t="shared" si="279"/>
        <v>C46</v>
      </c>
      <c r="S2888" s="18">
        <f t="shared" si="280"/>
        <v>4.8021198261264804</v>
      </c>
      <c r="T2888" s="18">
        <f>S2888/Explications!$C$8</f>
        <v>0.16007066087088268</v>
      </c>
    </row>
    <row r="2889" spans="7:20">
      <c r="G2889" s="7" t="s">
        <v>62</v>
      </c>
      <c r="H2889" s="7" t="s">
        <v>75</v>
      </c>
      <c r="I2889" s="7">
        <v>46.803600000000003</v>
      </c>
      <c r="J2889" s="7">
        <v>-71.231099999999998</v>
      </c>
      <c r="K2889" s="7">
        <v>46.814399999999999</v>
      </c>
      <c r="L2889" s="7">
        <v>-71.225700000000003</v>
      </c>
      <c r="M2889" s="10" t="str">
        <f t="shared" si="275"/>
        <v>C46</v>
      </c>
      <c r="N2889" s="10" t="str">
        <f t="shared" si="276"/>
        <v>C59</v>
      </c>
      <c r="O2889" s="5">
        <f t="shared" si="277"/>
        <v>1.2692789713689012</v>
      </c>
      <c r="P2889" s="22">
        <f>O2889/Explications!$C$8</f>
        <v>4.2309299045630043E-2</v>
      </c>
      <c r="Q2889" s="7" t="str">
        <f t="shared" si="278"/>
        <v>C59</v>
      </c>
      <c r="R2889" s="7" t="str">
        <f t="shared" si="279"/>
        <v>C46</v>
      </c>
      <c r="S2889" s="18">
        <f t="shared" si="280"/>
        <v>1.2692789713689012</v>
      </c>
      <c r="T2889" s="18">
        <f>S2889/Explications!$C$8</f>
        <v>4.2309299045630043E-2</v>
      </c>
    </row>
    <row r="2890" spans="7:20">
      <c r="G2890" s="7" t="s">
        <v>62</v>
      </c>
      <c r="H2890" s="7" t="s">
        <v>76</v>
      </c>
      <c r="I2890" s="7">
        <v>46.803600000000003</v>
      </c>
      <c r="J2890" s="7">
        <v>-71.231099999999998</v>
      </c>
      <c r="K2890" s="7">
        <v>46.772500000000001</v>
      </c>
      <c r="L2890" s="7">
        <v>-71.276300000000006</v>
      </c>
      <c r="M2890" s="10" t="str">
        <f t="shared" si="275"/>
        <v>C46</v>
      </c>
      <c r="N2890" s="10" t="str">
        <f t="shared" si="276"/>
        <v>C60</v>
      </c>
      <c r="O2890" s="5">
        <f t="shared" si="277"/>
        <v>4.8786745536274054</v>
      </c>
      <c r="P2890" s="22">
        <f>O2890/Explications!$C$8</f>
        <v>0.16262248512091351</v>
      </c>
      <c r="Q2890" s="7" t="str">
        <f t="shared" si="278"/>
        <v>C60</v>
      </c>
      <c r="R2890" s="7" t="str">
        <f t="shared" si="279"/>
        <v>C46</v>
      </c>
      <c r="S2890" s="18">
        <f t="shared" si="280"/>
        <v>4.8786745536274054</v>
      </c>
      <c r="T2890" s="18">
        <f>S2890/Explications!$C$8</f>
        <v>0.16262248512091351</v>
      </c>
    </row>
    <row r="2891" spans="7:20">
      <c r="G2891" s="7" t="s">
        <v>62</v>
      </c>
      <c r="H2891" s="7" t="s">
        <v>77</v>
      </c>
      <c r="I2891" s="7">
        <v>46.803600000000003</v>
      </c>
      <c r="J2891" s="7">
        <v>-71.231099999999998</v>
      </c>
      <c r="K2891" s="7">
        <v>46.810899999999997</v>
      </c>
      <c r="L2891" s="7">
        <v>-71.215599999999995</v>
      </c>
      <c r="M2891" s="10" t="str">
        <f t="shared" si="275"/>
        <v>C46</v>
      </c>
      <c r="N2891" s="10" t="str">
        <f t="shared" si="276"/>
        <v>C61</v>
      </c>
      <c r="O2891" s="5">
        <f t="shared" si="277"/>
        <v>1.4319642225604465</v>
      </c>
      <c r="P2891" s="22">
        <f>O2891/Explications!$C$8</f>
        <v>4.7732140752014887E-2</v>
      </c>
      <c r="Q2891" s="7" t="str">
        <f t="shared" si="278"/>
        <v>C61</v>
      </c>
      <c r="R2891" s="7" t="str">
        <f t="shared" si="279"/>
        <v>C46</v>
      </c>
      <c r="S2891" s="18">
        <f t="shared" si="280"/>
        <v>1.4319642225604465</v>
      </c>
      <c r="T2891" s="18">
        <f>S2891/Explications!$C$8</f>
        <v>4.7732140752014887E-2</v>
      </c>
    </row>
    <row r="2892" spans="7:20">
      <c r="G2892" s="7" t="s">
        <v>62</v>
      </c>
      <c r="H2892" s="7" t="s">
        <v>78</v>
      </c>
      <c r="I2892" s="7">
        <v>46.803600000000003</v>
      </c>
      <c r="J2892" s="7">
        <v>-71.231099999999998</v>
      </c>
      <c r="K2892" s="7">
        <v>46.795200000000001</v>
      </c>
      <c r="L2892" s="7">
        <v>-71.245099999999994</v>
      </c>
      <c r="M2892" s="10" t="str">
        <f t="shared" si="275"/>
        <v>C46</v>
      </c>
      <c r="N2892" s="10" t="str">
        <f t="shared" si="276"/>
        <v>C62</v>
      </c>
      <c r="O2892" s="5">
        <f t="shared" si="277"/>
        <v>1.4170639609782998</v>
      </c>
      <c r="P2892" s="22">
        <f>O2892/Explications!$C$8</f>
        <v>4.7235465365943329E-2</v>
      </c>
      <c r="Q2892" s="7" t="str">
        <f t="shared" si="278"/>
        <v>C62</v>
      </c>
      <c r="R2892" s="7" t="str">
        <f t="shared" si="279"/>
        <v>C46</v>
      </c>
      <c r="S2892" s="18">
        <f t="shared" si="280"/>
        <v>1.4170639609782998</v>
      </c>
      <c r="T2892" s="18">
        <f>S2892/Explications!$C$8</f>
        <v>4.7235465365943329E-2</v>
      </c>
    </row>
    <row r="2893" spans="7:20">
      <c r="G2893" s="7" t="s">
        <v>62</v>
      </c>
      <c r="H2893" s="7" t="s">
        <v>79</v>
      </c>
      <c r="I2893" s="7">
        <v>46.803600000000003</v>
      </c>
      <c r="J2893" s="7">
        <v>-71.231099999999998</v>
      </c>
      <c r="K2893" s="7">
        <v>46.822000000000003</v>
      </c>
      <c r="L2893" s="7">
        <v>-71.345699999999994</v>
      </c>
      <c r="M2893" s="10" t="str">
        <f t="shared" si="275"/>
        <v>C46</v>
      </c>
      <c r="N2893" s="10" t="str">
        <f t="shared" si="276"/>
        <v>C63</v>
      </c>
      <c r="O2893" s="5">
        <f t="shared" si="277"/>
        <v>8.9578480810002432</v>
      </c>
      <c r="P2893" s="22">
        <f>O2893/Explications!$C$8</f>
        <v>0.29859493603334142</v>
      </c>
      <c r="Q2893" s="7" t="str">
        <f t="shared" si="278"/>
        <v>C63</v>
      </c>
      <c r="R2893" s="7" t="str">
        <f t="shared" si="279"/>
        <v>C46</v>
      </c>
      <c r="S2893" s="18">
        <f t="shared" si="280"/>
        <v>8.9578480810002432</v>
      </c>
      <c r="T2893" s="18">
        <f>S2893/Explications!$C$8</f>
        <v>0.29859493603334142</v>
      </c>
    </row>
    <row r="2894" spans="7:20">
      <c r="G2894" s="7" t="s">
        <v>62</v>
      </c>
      <c r="H2894" s="7" t="s">
        <v>80</v>
      </c>
      <c r="I2894" s="7">
        <v>46.803600000000003</v>
      </c>
      <c r="J2894" s="7">
        <v>-71.231099999999998</v>
      </c>
      <c r="K2894" s="7">
        <v>46.779400000000003</v>
      </c>
      <c r="L2894" s="7">
        <v>-71.350399999999993</v>
      </c>
      <c r="M2894" s="10" t="str">
        <f t="shared" si="275"/>
        <v>C46</v>
      </c>
      <c r="N2894" s="10" t="str">
        <f t="shared" si="276"/>
        <v>C64</v>
      </c>
      <c r="O2894" s="5">
        <f t="shared" si="277"/>
        <v>9.4725794676374377</v>
      </c>
      <c r="P2894" s="22">
        <f>O2894/Explications!$C$8</f>
        <v>0.31575264892124794</v>
      </c>
      <c r="Q2894" s="7" t="str">
        <f t="shared" si="278"/>
        <v>C64</v>
      </c>
      <c r="R2894" s="7" t="str">
        <f t="shared" si="279"/>
        <v>C46</v>
      </c>
      <c r="S2894" s="18">
        <f t="shared" si="280"/>
        <v>9.4725794676374377</v>
      </c>
      <c r="T2894" s="18">
        <f>S2894/Explications!$C$8</f>
        <v>0.31575264892124794</v>
      </c>
    </row>
    <row r="2895" spans="7:20">
      <c r="G2895" s="7" t="s">
        <v>62</v>
      </c>
      <c r="H2895" s="7" t="s">
        <v>81</v>
      </c>
      <c r="I2895" s="7">
        <v>46.803600000000003</v>
      </c>
      <c r="J2895" s="7">
        <v>-71.231099999999998</v>
      </c>
      <c r="K2895" s="7">
        <v>46.772300000000001</v>
      </c>
      <c r="L2895" s="7">
        <v>-71.279799999999994</v>
      </c>
      <c r="M2895" s="10" t="str">
        <f t="shared" si="275"/>
        <v>C46</v>
      </c>
      <c r="N2895" s="10" t="str">
        <f t="shared" si="276"/>
        <v>C65</v>
      </c>
      <c r="O2895" s="5">
        <f t="shared" si="277"/>
        <v>5.0853572655948538</v>
      </c>
      <c r="P2895" s="22">
        <f>O2895/Explications!$C$8</f>
        <v>0.16951190885316178</v>
      </c>
      <c r="Q2895" s="7" t="str">
        <f t="shared" si="278"/>
        <v>C65</v>
      </c>
      <c r="R2895" s="7" t="str">
        <f t="shared" si="279"/>
        <v>C46</v>
      </c>
      <c r="S2895" s="18">
        <f t="shared" si="280"/>
        <v>5.0853572655948538</v>
      </c>
      <c r="T2895" s="18">
        <f>S2895/Explications!$C$8</f>
        <v>0.16951190885316178</v>
      </c>
    </row>
    <row r="2896" spans="7:20">
      <c r="G2896" s="7" t="s">
        <v>62</v>
      </c>
      <c r="H2896" s="7" t="s">
        <v>82</v>
      </c>
      <c r="I2896" s="7">
        <v>46.803600000000003</v>
      </c>
      <c r="J2896" s="7">
        <v>-71.231099999999998</v>
      </c>
      <c r="K2896" s="7">
        <v>46.814900000000002</v>
      </c>
      <c r="L2896" s="7">
        <v>-71.225200000000001</v>
      </c>
      <c r="M2896" s="10" t="str">
        <f t="shared" si="275"/>
        <v>C46</v>
      </c>
      <c r="N2896" s="10" t="str">
        <f t="shared" si="276"/>
        <v>C66</v>
      </c>
      <c r="O2896" s="5">
        <f t="shared" si="277"/>
        <v>1.3343230081929289</v>
      </c>
      <c r="P2896" s="22">
        <f>O2896/Explications!$C$8</f>
        <v>4.4477433606430965E-2</v>
      </c>
      <c r="Q2896" s="7" t="str">
        <f t="shared" si="278"/>
        <v>C66</v>
      </c>
      <c r="R2896" s="7" t="str">
        <f t="shared" si="279"/>
        <v>C46</v>
      </c>
      <c r="S2896" s="18">
        <f t="shared" si="280"/>
        <v>1.3343230081929289</v>
      </c>
      <c r="T2896" s="18">
        <f>S2896/Explications!$C$8</f>
        <v>4.4477433606430965E-2</v>
      </c>
    </row>
    <row r="2897" spans="7:20">
      <c r="G2897" s="7" t="s">
        <v>62</v>
      </c>
      <c r="H2897" s="7" t="s">
        <v>83</v>
      </c>
      <c r="I2897" s="7">
        <v>46.803600000000003</v>
      </c>
      <c r="J2897" s="7">
        <v>-71.231099999999998</v>
      </c>
      <c r="K2897" s="7">
        <v>46.814700000000002</v>
      </c>
      <c r="L2897" s="7">
        <v>-71.207300000000004</v>
      </c>
      <c r="M2897" s="10" t="str">
        <f t="shared" si="275"/>
        <v>C46</v>
      </c>
      <c r="N2897" s="10" t="str">
        <f t="shared" si="276"/>
        <v>C67</v>
      </c>
      <c r="O2897" s="5">
        <f t="shared" si="277"/>
        <v>2.1918553271693479</v>
      </c>
      <c r="P2897" s="22">
        <f>O2897/Explications!$C$8</f>
        <v>7.3061844238978269E-2</v>
      </c>
      <c r="Q2897" s="7" t="str">
        <f t="shared" si="278"/>
        <v>C67</v>
      </c>
      <c r="R2897" s="7" t="str">
        <f t="shared" si="279"/>
        <v>C46</v>
      </c>
      <c r="S2897" s="18">
        <f t="shared" si="280"/>
        <v>2.1918553271693479</v>
      </c>
      <c r="T2897" s="18">
        <f>S2897/Explications!$C$8</f>
        <v>7.3061844238978269E-2</v>
      </c>
    </row>
    <row r="2898" spans="7:20">
      <c r="G2898" s="7" t="s">
        <v>62</v>
      </c>
      <c r="H2898" s="7" t="s">
        <v>84</v>
      </c>
      <c r="I2898" s="7">
        <v>46.803600000000003</v>
      </c>
      <c r="J2898" s="7">
        <v>-71.231099999999998</v>
      </c>
      <c r="K2898" s="7">
        <v>46.815600000000003</v>
      </c>
      <c r="L2898" s="7">
        <v>-71.2029</v>
      </c>
      <c r="M2898" s="10" t="str">
        <f t="shared" si="275"/>
        <v>C46</v>
      </c>
      <c r="N2898" s="10" t="str">
        <f t="shared" si="276"/>
        <v>C68</v>
      </c>
      <c r="O2898" s="5">
        <f t="shared" si="277"/>
        <v>2.5271361861072448</v>
      </c>
      <c r="P2898" s="22">
        <f>O2898/Explications!$C$8</f>
        <v>8.4237872870241495E-2</v>
      </c>
      <c r="Q2898" s="7" t="str">
        <f t="shared" si="278"/>
        <v>C68</v>
      </c>
      <c r="R2898" s="7" t="str">
        <f t="shared" si="279"/>
        <v>C46</v>
      </c>
      <c r="S2898" s="18">
        <f t="shared" si="280"/>
        <v>2.5271361861072448</v>
      </c>
      <c r="T2898" s="18">
        <f>S2898/Explications!$C$8</f>
        <v>8.4237872870241495E-2</v>
      </c>
    </row>
    <row r="2899" spans="7:20">
      <c r="G2899" s="7" t="s">
        <v>62</v>
      </c>
      <c r="H2899" s="7" t="s">
        <v>85</v>
      </c>
      <c r="I2899" s="7">
        <v>46.803600000000003</v>
      </c>
      <c r="J2899" s="7">
        <v>-71.231099999999998</v>
      </c>
      <c r="K2899" s="7">
        <v>46.821899999999999</v>
      </c>
      <c r="L2899" s="7">
        <v>-71.249899999999997</v>
      </c>
      <c r="M2899" s="10" t="str">
        <f t="shared" si="275"/>
        <v>C46</v>
      </c>
      <c r="N2899" s="10" t="str">
        <f t="shared" si="276"/>
        <v>C69</v>
      </c>
      <c r="O2899" s="5">
        <f t="shared" si="277"/>
        <v>2.4874758885829835</v>
      </c>
      <c r="P2899" s="22">
        <f>O2899/Explications!$C$8</f>
        <v>8.2915862952766123E-2</v>
      </c>
      <c r="Q2899" s="7" t="str">
        <f t="shared" si="278"/>
        <v>C69</v>
      </c>
      <c r="R2899" s="7" t="str">
        <f t="shared" si="279"/>
        <v>C46</v>
      </c>
      <c r="S2899" s="18">
        <f t="shared" si="280"/>
        <v>2.4874758885829835</v>
      </c>
      <c r="T2899" s="18">
        <f>S2899/Explications!$C$8</f>
        <v>8.2915862952766123E-2</v>
      </c>
    </row>
    <row r="2900" spans="7:20">
      <c r="G2900" s="7" t="s">
        <v>62</v>
      </c>
      <c r="H2900" s="7" t="s">
        <v>86</v>
      </c>
      <c r="I2900" s="7">
        <v>46.803600000000003</v>
      </c>
      <c r="J2900" s="7">
        <v>-71.231099999999998</v>
      </c>
      <c r="K2900" s="7">
        <v>46.8872</v>
      </c>
      <c r="L2900" s="7">
        <v>-71.27</v>
      </c>
      <c r="M2900" s="10" t="str">
        <f t="shared" si="275"/>
        <v>C46</v>
      </c>
      <c r="N2900" s="10" t="str">
        <f t="shared" si="276"/>
        <v>C70</v>
      </c>
      <c r="O2900" s="5">
        <f t="shared" si="277"/>
        <v>9.7553256587008903</v>
      </c>
      <c r="P2900" s="22">
        <f>O2900/Explications!$C$8</f>
        <v>0.32517752195669636</v>
      </c>
      <c r="Q2900" s="7" t="str">
        <f t="shared" si="278"/>
        <v>C70</v>
      </c>
      <c r="R2900" s="7" t="str">
        <f t="shared" si="279"/>
        <v>C46</v>
      </c>
      <c r="S2900" s="18">
        <f t="shared" si="280"/>
        <v>9.7553256587008903</v>
      </c>
      <c r="T2900" s="18">
        <f>S2900/Explications!$C$8</f>
        <v>0.32517752195669636</v>
      </c>
    </row>
    <row r="2901" spans="7:20">
      <c r="G2901" s="7" t="s">
        <v>62</v>
      </c>
      <c r="H2901" s="7" t="s">
        <v>87</v>
      </c>
      <c r="I2901" s="7">
        <v>46.803600000000003</v>
      </c>
      <c r="J2901" s="7">
        <v>-71.231099999999998</v>
      </c>
      <c r="K2901" s="7">
        <v>46.816299999999998</v>
      </c>
      <c r="L2901" s="7">
        <v>-71.210300000000004</v>
      </c>
      <c r="M2901" s="10" t="str">
        <f t="shared" si="275"/>
        <v>C46</v>
      </c>
      <c r="N2901" s="10" t="str">
        <f t="shared" si="276"/>
        <v>C71</v>
      </c>
      <c r="O2901" s="5">
        <f t="shared" si="277"/>
        <v>2.1213245948598249</v>
      </c>
      <c r="P2901" s="22">
        <f>O2901/Explications!$C$8</f>
        <v>7.0710819828660829E-2</v>
      </c>
      <c r="Q2901" s="7" t="str">
        <f t="shared" si="278"/>
        <v>C71</v>
      </c>
      <c r="R2901" s="7" t="str">
        <f t="shared" si="279"/>
        <v>C46</v>
      </c>
      <c r="S2901" s="18">
        <f t="shared" si="280"/>
        <v>2.1213245948598249</v>
      </c>
      <c r="T2901" s="18">
        <f>S2901/Explications!$C$8</f>
        <v>7.0710819828660829E-2</v>
      </c>
    </row>
    <row r="2902" spans="7:20">
      <c r="G2902" s="7" t="s">
        <v>62</v>
      </c>
      <c r="H2902" s="7" t="s">
        <v>88</v>
      </c>
      <c r="I2902" s="7">
        <v>46.803600000000003</v>
      </c>
      <c r="J2902" s="7">
        <v>-71.231099999999998</v>
      </c>
      <c r="K2902" s="7">
        <v>46.807000000000002</v>
      </c>
      <c r="L2902" s="7">
        <v>-71.3566</v>
      </c>
      <c r="M2902" s="10" t="str">
        <f t="shared" si="275"/>
        <v>C46</v>
      </c>
      <c r="N2902" s="10" t="str">
        <f t="shared" si="276"/>
        <v>C72</v>
      </c>
      <c r="O2902" s="5">
        <f t="shared" si="277"/>
        <v>9.5593665866282382</v>
      </c>
      <c r="P2902" s="22">
        <f>O2902/Explications!$C$8</f>
        <v>0.31864555288760793</v>
      </c>
      <c r="Q2902" s="7" t="str">
        <f t="shared" si="278"/>
        <v>C72</v>
      </c>
      <c r="R2902" s="7" t="str">
        <f t="shared" si="279"/>
        <v>C46</v>
      </c>
      <c r="S2902" s="18">
        <f t="shared" si="280"/>
        <v>9.5593665866282382</v>
      </c>
      <c r="T2902" s="18">
        <f>S2902/Explications!$C$8</f>
        <v>0.31864555288760793</v>
      </c>
    </row>
    <row r="2903" spans="7:20">
      <c r="G2903" s="7" t="s">
        <v>62</v>
      </c>
      <c r="H2903" s="7" t="s">
        <v>89</v>
      </c>
      <c r="I2903" s="7">
        <v>46.803600000000003</v>
      </c>
      <c r="J2903" s="7">
        <v>-71.231099999999998</v>
      </c>
      <c r="K2903" s="7">
        <v>46.822899999999997</v>
      </c>
      <c r="L2903" s="7">
        <v>-71.341899999999995</v>
      </c>
      <c r="M2903" s="10" t="str">
        <f t="shared" si="275"/>
        <v>C46</v>
      </c>
      <c r="N2903" s="10" t="str">
        <f t="shared" si="276"/>
        <v>C73</v>
      </c>
      <c r="O2903" s="5">
        <f t="shared" si="277"/>
        <v>8.7006368058530548</v>
      </c>
      <c r="P2903" s="22">
        <f>O2903/Explications!$C$8</f>
        <v>0.29002122686176851</v>
      </c>
      <c r="Q2903" s="7" t="str">
        <f t="shared" si="278"/>
        <v>C73</v>
      </c>
      <c r="R2903" s="7" t="str">
        <f t="shared" si="279"/>
        <v>C46</v>
      </c>
      <c r="S2903" s="18">
        <f t="shared" si="280"/>
        <v>8.7006368058530548</v>
      </c>
      <c r="T2903" s="18">
        <f>S2903/Explications!$C$8</f>
        <v>0.29002122686176851</v>
      </c>
    </row>
    <row r="2904" spans="7:20">
      <c r="G2904" s="7" t="s">
        <v>62</v>
      </c>
      <c r="H2904" s="7" t="s">
        <v>90</v>
      </c>
      <c r="I2904" s="7">
        <v>46.803600000000003</v>
      </c>
      <c r="J2904" s="7">
        <v>-71.231099999999998</v>
      </c>
      <c r="K2904" s="7">
        <v>46.730699999999999</v>
      </c>
      <c r="L2904" s="7">
        <v>-71.261099999999999</v>
      </c>
      <c r="M2904" s="10" t="str">
        <f t="shared" si="275"/>
        <v>C46</v>
      </c>
      <c r="N2904" s="10" t="str">
        <f t="shared" si="276"/>
        <v>C74</v>
      </c>
      <c r="O2904" s="5">
        <f t="shared" si="277"/>
        <v>8.4219928706252958</v>
      </c>
      <c r="P2904" s="22">
        <f>O2904/Explications!$C$8</f>
        <v>0.28073309568750987</v>
      </c>
      <c r="Q2904" s="7" t="str">
        <f t="shared" si="278"/>
        <v>C74</v>
      </c>
      <c r="R2904" s="7" t="str">
        <f t="shared" si="279"/>
        <v>C46</v>
      </c>
      <c r="S2904" s="18">
        <f t="shared" si="280"/>
        <v>8.4219928706252958</v>
      </c>
      <c r="T2904" s="18">
        <f>S2904/Explications!$C$8</f>
        <v>0.28073309568750987</v>
      </c>
    </row>
    <row r="2905" spans="7:20">
      <c r="G2905" s="7" t="s">
        <v>62</v>
      </c>
      <c r="H2905" s="7" t="s">
        <v>91</v>
      </c>
      <c r="I2905" s="7">
        <v>46.803600000000003</v>
      </c>
      <c r="J2905" s="7">
        <v>-71.231099999999998</v>
      </c>
      <c r="K2905" s="7">
        <v>46.840600000000002</v>
      </c>
      <c r="L2905" s="7">
        <v>-71.289100000000005</v>
      </c>
      <c r="M2905" s="10" t="str">
        <f t="shared" si="275"/>
        <v>C46</v>
      </c>
      <c r="N2905" s="10" t="str">
        <f t="shared" si="276"/>
        <v>C75</v>
      </c>
      <c r="O2905" s="5">
        <f t="shared" si="277"/>
        <v>6.0333787966198269</v>
      </c>
      <c r="P2905" s="22">
        <f>O2905/Explications!$C$8</f>
        <v>0.20111262655399423</v>
      </c>
      <c r="Q2905" s="7" t="str">
        <f t="shared" si="278"/>
        <v>C75</v>
      </c>
      <c r="R2905" s="7" t="str">
        <f t="shared" si="279"/>
        <v>C46</v>
      </c>
      <c r="S2905" s="18">
        <f t="shared" si="280"/>
        <v>6.0333787966198269</v>
      </c>
      <c r="T2905" s="18">
        <f>S2905/Explications!$C$8</f>
        <v>0.20111262655399423</v>
      </c>
    </row>
    <row r="2906" spans="7:20">
      <c r="G2906" s="7" t="s">
        <v>62</v>
      </c>
      <c r="H2906" s="7" t="s">
        <v>92</v>
      </c>
      <c r="I2906" s="7">
        <v>46.803600000000003</v>
      </c>
      <c r="J2906" s="7">
        <v>-71.231099999999998</v>
      </c>
      <c r="K2906" s="7">
        <v>46.840600000000002</v>
      </c>
      <c r="L2906" s="7">
        <v>-71.281599999999997</v>
      </c>
      <c r="M2906" s="10" t="str">
        <f t="shared" si="275"/>
        <v>C46</v>
      </c>
      <c r="N2906" s="10" t="str">
        <f t="shared" si="276"/>
        <v>C76</v>
      </c>
      <c r="O2906" s="5">
        <f t="shared" si="277"/>
        <v>5.6294481718695355</v>
      </c>
      <c r="P2906" s="22">
        <f>O2906/Explications!$C$8</f>
        <v>0.18764827239565118</v>
      </c>
      <c r="Q2906" s="7" t="str">
        <f t="shared" si="278"/>
        <v>C76</v>
      </c>
      <c r="R2906" s="7" t="str">
        <f t="shared" si="279"/>
        <v>C46</v>
      </c>
      <c r="S2906" s="18">
        <f t="shared" si="280"/>
        <v>5.6294481718695355</v>
      </c>
      <c r="T2906" s="18">
        <f>S2906/Explications!$C$8</f>
        <v>0.18764827239565118</v>
      </c>
    </row>
    <row r="2907" spans="7:20">
      <c r="G2907" s="7" t="s">
        <v>62</v>
      </c>
      <c r="H2907" s="7" t="s">
        <v>93</v>
      </c>
      <c r="I2907" s="7">
        <v>46.803600000000003</v>
      </c>
      <c r="J2907" s="7">
        <v>-71.231099999999998</v>
      </c>
      <c r="K2907" s="7">
        <v>46.839399999999998</v>
      </c>
      <c r="L2907" s="7">
        <v>-71.282600000000002</v>
      </c>
      <c r="M2907" s="10" t="str">
        <f t="shared" si="275"/>
        <v>C46</v>
      </c>
      <c r="N2907" s="10" t="str">
        <f t="shared" si="276"/>
        <v>C77</v>
      </c>
      <c r="O2907" s="5">
        <f t="shared" si="277"/>
        <v>5.5858198282276259</v>
      </c>
      <c r="P2907" s="22">
        <f>O2907/Explications!$C$8</f>
        <v>0.1861939942742542</v>
      </c>
      <c r="Q2907" s="7" t="str">
        <f t="shared" si="278"/>
        <v>C77</v>
      </c>
      <c r="R2907" s="7" t="str">
        <f t="shared" si="279"/>
        <v>C46</v>
      </c>
      <c r="S2907" s="18">
        <f t="shared" si="280"/>
        <v>5.5858198282276259</v>
      </c>
      <c r="T2907" s="18">
        <f>S2907/Explications!$C$8</f>
        <v>0.1861939942742542</v>
      </c>
    </row>
    <row r="2908" spans="7:20">
      <c r="G2908" s="7" t="s">
        <v>62</v>
      </c>
      <c r="H2908" s="7" t="s">
        <v>94</v>
      </c>
      <c r="I2908" s="7">
        <v>46.803600000000003</v>
      </c>
      <c r="J2908" s="7">
        <v>-71.231099999999998</v>
      </c>
      <c r="K2908" s="7">
        <v>46.788499999999999</v>
      </c>
      <c r="L2908" s="7">
        <v>-71.282399999999996</v>
      </c>
      <c r="M2908" s="10" t="str">
        <f t="shared" si="275"/>
        <v>C46</v>
      </c>
      <c r="N2908" s="10" t="str">
        <f t="shared" si="276"/>
        <v>C78</v>
      </c>
      <c r="O2908" s="5">
        <f t="shared" si="277"/>
        <v>4.2508082640493239</v>
      </c>
      <c r="P2908" s="22">
        <f>O2908/Explications!$C$8</f>
        <v>0.14169360880164414</v>
      </c>
      <c r="Q2908" s="7" t="str">
        <f t="shared" si="278"/>
        <v>C78</v>
      </c>
      <c r="R2908" s="7" t="str">
        <f t="shared" si="279"/>
        <v>C46</v>
      </c>
      <c r="S2908" s="18">
        <f t="shared" si="280"/>
        <v>4.2508082640493239</v>
      </c>
      <c r="T2908" s="18">
        <f>S2908/Explications!$C$8</f>
        <v>0.14169360880164414</v>
      </c>
    </row>
    <row r="2909" spans="7:20">
      <c r="G2909" s="7" t="s">
        <v>62</v>
      </c>
      <c r="H2909" s="7" t="s">
        <v>95</v>
      </c>
      <c r="I2909" s="7">
        <v>46.803600000000003</v>
      </c>
      <c r="J2909" s="7">
        <v>-71.231099999999998</v>
      </c>
      <c r="K2909" s="7">
        <v>46.840699999999998</v>
      </c>
      <c r="L2909" s="7">
        <v>-71.325400000000002</v>
      </c>
      <c r="M2909" s="10" t="str">
        <f t="shared" si="275"/>
        <v>C46</v>
      </c>
      <c r="N2909" s="10" t="str">
        <f t="shared" si="276"/>
        <v>C79</v>
      </c>
      <c r="O2909" s="5">
        <f t="shared" si="277"/>
        <v>8.2763997664937001</v>
      </c>
      <c r="P2909" s="22">
        <f>O2909/Explications!$C$8</f>
        <v>0.27587999221645665</v>
      </c>
      <c r="Q2909" s="7" t="str">
        <f t="shared" si="278"/>
        <v>C79</v>
      </c>
      <c r="R2909" s="7" t="str">
        <f t="shared" si="279"/>
        <v>C46</v>
      </c>
      <c r="S2909" s="18">
        <f t="shared" si="280"/>
        <v>8.2763997664937001</v>
      </c>
      <c r="T2909" s="18">
        <f>S2909/Explications!$C$8</f>
        <v>0.27587999221645665</v>
      </c>
    </row>
    <row r="2910" spans="7:20">
      <c r="G2910" s="7" t="s">
        <v>62</v>
      </c>
      <c r="H2910" s="7" t="s">
        <v>96</v>
      </c>
      <c r="I2910" s="7">
        <v>46.803600000000003</v>
      </c>
      <c r="J2910" s="7">
        <v>-71.231099999999998</v>
      </c>
      <c r="K2910" s="7">
        <v>46.798400000000001</v>
      </c>
      <c r="L2910" s="7">
        <v>-71.183199999999999</v>
      </c>
      <c r="M2910" s="10" t="str">
        <f t="shared" si="275"/>
        <v>C46</v>
      </c>
      <c r="N2910" s="10" t="str">
        <f t="shared" si="276"/>
        <v>C80</v>
      </c>
      <c r="O2910" s="5">
        <f t="shared" si="277"/>
        <v>3.6915566825970307</v>
      </c>
      <c r="P2910" s="22">
        <f>O2910/Explications!$C$8</f>
        <v>0.12305188941990103</v>
      </c>
      <c r="Q2910" s="7" t="str">
        <f t="shared" si="278"/>
        <v>C80</v>
      </c>
      <c r="R2910" s="7" t="str">
        <f t="shared" si="279"/>
        <v>C46</v>
      </c>
      <c r="S2910" s="18">
        <f t="shared" si="280"/>
        <v>3.6915566825970307</v>
      </c>
      <c r="T2910" s="18">
        <f>S2910/Explications!$C$8</f>
        <v>0.12305188941990103</v>
      </c>
    </row>
    <row r="2911" spans="7:20">
      <c r="G2911" s="7" t="s">
        <v>62</v>
      </c>
      <c r="H2911" s="7" t="s">
        <v>97</v>
      </c>
      <c r="I2911" s="7">
        <v>46.803600000000003</v>
      </c>
      <c r="J2911" s="7">
        <v>-71.231099999999998</v>
      </c>
      <c r="K2911" s="7">
        <v>46.724800000000002</v>
      </c>
      <c r="L2911" s="7">
        <v>-71.2988</v>
      </c>
      <c r="M2911" s="10" t="str">
        <f t="shared" si="275"/>
        <v>C46</v>
      </c>
      <c r="N2911" s="10" t="str">
        <f t="shared" si="276"/>
        <v>C81</v>
      </c>
      <c r="O2911" s="5">
        <f t="shared" si="277"/>
        <v>10.166918889564954</v>
      </c>
      <c r="P2911" s="22">
        <f>O2911/Explications!$C$8</f>
        <v>0.33889729631883181</v>
      </c>
      <c r="Q2911" s="7" t="str">
        <f t="shared" si="278"/>
        <v>C81</v>
      </c>
      <c r="R2911" s="7" t="str">
        <f t="shared" si="279"/>
        <v>C46</v>
      </c>
      <c r="S2911" s="18">
        <f t="shared" si="280"/>
        <v>10.166918889564954</v>
      </c>
      <c r="T2911" s="18">
        <f>S2911/Explications!$C$8</f>
        <v>0.33889729631883181</v>
      </c>
    </row>
    <row r="2912" spans="7:20">
      <c r="G2912" s="7" t="s">
        <v>62</v>
      </c>
      <c r="H2912" s="7" t="s">
        <v>98</v>
      </c>
      <c r="I2912" s="7">
        <v>46.803600000000003</v>
      </c>
      <c r="J2912" s="7">
        <v>-71.231099999999998</v>
      </c>
      <c r="K2912" s="7">
        <v>46.795499999999997</v>
      </c>
      <c r="L2912" s="7">
        <v>-71.242900000000006</v>
      </c>
      <c r="M2912" s="10" t="str">
        <f t="shared" si="275"/>
        <v>C46</v>
      </c>
      <c r="N2912" s="10" t="str">
        <f t="shared" si="276"/>
        <v>C82</v>
      </c>
      <c r="O2912" s="5">
        <f t="shared" si="277"/>
        <v>1.2720019915698353</v>
      </c>
      <c r="P2912" s="22">
        <f>O2912/Explications!$C$8</f>
        <v>4.2400066385661177E-2</v>
      </c>
      <c r="Q2912" s="7" t="str">
        <f t="shared" si="278"/>
        <v>C82</v>
      </c>
      <c r="R2912" s="7" t="str">
        <f t="shared" si="279"/>
        <v>C46</v>
      </c>
      <c r="S2912" s="18">
        <f t="shared" si="280"/>
        <v>1.2720019915698353</v>
      </c>
      <c r="T2912" s="18">
        <f>S2912/Explications!$C$8</f>
        <v>4.2400066385661177E-2</v>
      </c>
    </row>
    <row r="2913" spans="7:20">
      <c r="G2913" s="7" t="s">
        <v>62</v>
      </c>
      <c r="H2913" s="7" t="s">
        <v>99</v>
      </c>
      <c r="I2913" s="7">
        <v>46.803600000000003</v>
      </c>
      <c r="J2913" s="7">
        <v>-71.231099999999998</v>
      </c>
      <c r="K2913" s="7">
        <v>46.8157</v>
      </c>
      <c r="L2913" s="7">
        <v>-71.201899999999995</v>
      </c>
      <c r="M2913" s="10" t="str">
        <f t="shared" si="275"/>
        <v>C46</v>
      </c>
      <c r="N2913" s="10" t="str">
        <f t="shared" si="276"/>
        <v>C83</v>
      </c>
      <c r="O2913" s="5">
        <f t="shared" si="277"/>
        <v>2.5978186220356485</v>
      </c>
      <c r="P2913" s="22">
        <f>O2913/Explications!$C$8</f>
        <v>8.6593954067854945E-2</v>
      </c>
      <c r="Q2913" s="7" t="str">
        <f t="shared" si="278"/>
        <v>C83</v>
      </c>
      <c r="R2913" s="7" t="str">
        <f t="shared" si="279"/>
        <v>C46</v>
      </c>
      <c r="S2913" s="18">
        <f t="shared" si="280"/>
        <v>2.5978186220356485</v>
      </c>
      <c r="T2913" s="18">
        <f>S2913/Explications!$C$8</f>
        <v>8.6593954067854945E-2</v>
      </c>
    </row>
    <row r="2914" spans="7:20">
      <c r="G2914" s="7" t="s">
        <v>62</v>
      </c>
      <c r="H2914" s="7" t="s">
        <v>100</v>
      </c>
      <c r="I2914" s="7">
        <v>46.803600000000003</v>
      </c>
      <c r="J2914" s="7">
        <v>-71.231099999999998</v>
      </c>
      <c r="K2914" s="7">
        <v>46.837600000000002</v>
      </c>
      <c r="L2914" s="7">
        <v>-71.196299999999994</v>
      </c>
      <c r="M2914" s="10" t="str">
        <f t="shared" si="275"/>
        <v>C46</v>
      </c>
      <c r="N2914" s="10" t="str">
        <f t="shared" si="276"/>
        <v>C84</v>
      </c>
      <c r="O2914" s="5">
        <f t="shared" si="277"/>
        <v>4.615680451932989</v>
      </c>
      <c r="P2914" s="22">
        <f>O2914/Explications!$C$8</f>
        <v>0.15385601506443297</v>
      </c>
      <c r="Q2914" s="7" t="str">
        <f t="shared" si="278"/>
        <v>C84</v>
      </c>
      <c r="R2914" s="7" t="str">
        <f t="shared" si="279"/>
        <v>C46</v>
      </c>
      <c r="S2914" s="18">
        <f t="shared" si="280"/>
        <v>4.615680451932989</v>
      </c>
      <c r="T2914" s="18">
        <f>S2914/Explications!$C$8</f>
        <v>0.15385601506443297</v>
      </c>
    </row>
    <row r="2915" spans="7:20">
      <c r="G2915" s="7" t="s">
        <v>62</v>
      </c>
      <c r="H2915" s="7" t="s">
        <v>101</v>
      </c>
      <c r="I2915" s="7">
        <v>46.803600000000003</v>
      </c>
      <c r="J2915" s="7">
        <v>-71.231099999999998</v>
      </c>
      <c r="K2915" s="7">
        <v>46.7988</v>
      </c>
      <c r="L2915" s="7">
        <v>-71.318200000000004</v>
      </c>
      <c r="M2915" s="10" t="str">
        <f t="shared" si="275"/>
        <v>C46</v>
      </c>
      <c r="N2915" s="10" t="str">
        <f t="shared" si="276"/>
        <v>C85</v>
      </c>
      <c r="O2915" s="5">
        <f t="shared" si="277"/>
        <v>6.6511937959575773</v>
      </c>
      <c r="P2915" s="22">
        <f>O2915/Explications!$C$8</f>
        <v>0.22170645986525259</v>
      </c>
      <c r="Q2915" s="7" t="str">
        <f t="shared" si="278"/>
        <v>C85</v>
      </c>
      <c r="R2915" s="7" t="str">
        <f t="shared" si="279"/>
        <v>C46</v>
      </c>
      <c r="S2915" s="18">
        <f t="shared" si="280"/>
        <v>6.6511937959575773</v>
      </c>
      <c r="T2915" s="18">
        <f>S2915/Explications!$C$8</f>
        <v>0.22170645986525259</v>
      </c>
    </row>
    <row r="2916" spans="7:20">
      <c r="G2916" s="7" t="s">
        <v>63</v>
      </c>
      <c r="H2916" s="7" t="s">
        <v>64</v>
      </c>
      <c r="I2916" s="7">
        <v>46.802399999999999</v>
      </c>
      <c r="J2916" s="7">
        <v>-71.269800000000004</v>
      </c>
      <c r="K2916" s="7">
        <v>46.826799999999999</v>
      </c>
      <c r="L2916" s="7">
        <v>-71.224199999999996</v>
      </c>
      <c r="M2916" s="10" t="str">
        <f t="shared" si="275"/>
        <v>C47</v>
      </c>
      <c r="N2916" s="10" t="str">
        <f t="shared" si="276"/>
        <v>C48</v>
      </c>
      <c r="O2916" s="5">
        <f t="shared" si="277"/>
        <v>4.4048197689844217</v>
      </c>
      <c r="P2916" s="22">
        <f>O2916/Explications!$C$8</f>
        <v>0.14682732563281406</v>
      </c>
      <c r="Q2916" s="7" t="str">
        <f t="shared" si="278"/>
        <v>C48</v>
      </c>
      <c r="R2916" s="7" t="str">
        <f t="shared" si="279"/>
        <v>C47</v>
      </c>
      <c r="S2916" s="18">
        <f t="shared" si="280"/>
        <v>4.4048197689844217</v>
      </c>
      <c r="T2916" s="18">
        <f>S2916/Explications!$C$8</f>
        <v>0.14682732563281406</v>
      </c>
    </row>
    <row r="2917" spans="7:20">
      <c r="G2917" s="7" t="s">
        <v>63</v>
      </c>
      <c r="H2917" s="7" t="s">
        <v>65</v>
      </c>
      <c r="I2917" s="7">
        <v>46.802399999999999</v>
      </c>
      <c r="J2917" s="7">
        <v>-71.269800000000004</v>
      </c>
      <c r="K2917" s="7">
        <v>46.864100000000001</v>
      </c>
      <c r="L2917" s="7">
        <v>-71.255499999999998</v>
      </c>
      <c r="M2917" s="10" t="str">
        <f t="shared" si="275"/>
        <v>C47</v>
      </c>
      <c r="N2917" s="10" t="str">
        <f t="shared" si="276"/>
        <v>C49</v>
      </c>
      <c r="O2917" s="5">
        <f t="shared" si="277"/>
        <v>6.9464321588130336</v>
      </c>
      <c r="P2917" s="22">
        <f>O2917/Explications!$C$8</f>
        <v>0.23154773862710112</v>
      </c>
      <c r="Q2917" s="7" t="str">
        <f t="shared" si="278"/>
        <v>C49</v>
      </c>
      <c r="R2917" s="7" t="str">
        <f t="shared" si="279"/>
        <v>C47</v>
      </c>
      <c r="S2917" s="18">
        <f t="shared" si="280"/>
        <v>6.9464321588130336</v>
      </c>
      <c r="T2917" s="18">
        <f>S2917/Explications!$C$8</f>
        <v>0.23154773862710112</v>
      </c>
    </row>
    <row r="2918" spans="7:20">
      <c r="G2918" s="7" t="s">
        <v>63</v>
      </c>
      <c r="H2918" s="7" t="s">
        <v>66</v>
      </c>
      <c r="I2918" s="7">
        <v>46.802399999999999</v>
      </c>
      <c r="J2918" s="7">
        <v>-71.269800000000004</v>
      </c>
      <c r="K2918" s="7">
        <v>46.843800000000002</v>
      </c>
      <c r="L2918" s="7">
        <v>-71.247299999999996</v>
      </c>
      <c r="M2918" s="10" t="str">
        <f t="shared" si="275"/>
        <v>C47</v>
      </c>
      <c r="N2918" s="10" t="str">
        <f t="shared" si="276"/>
        <v>C50</v>
      </c>
      <c r="O2918" s="5">
        <f t="shared" si="277"/>
        <v>4.9114780270538425</v>
      </c>
      <c r="P2918" s="22">
        <f>O2918/Explications!$C$8</f>
        <v>0.16371593423512809</v>
      </c>
      <c r="Q2918" s="7" t="str">
        <f t="shared" si="278"/>
        <v>C50</v>
      </c>
      <c r="R2918" s="7" t="str">
        <f t="shared" si="279"/>
        <v>C47</v>
      </c>
      <c r="S2918" s="18">
        <f t="shared" si="280"/>
        <v>4.9114780270538425</v>
      </c>
      <c r="T2918" s="18">
        <f>S2918/Explications!$C$8</f>
        <v>0.16371593423512809</v>
      </c>
    </row>
    <row r="2919" spans="7:20">
      <c r="G2919" s="7" t="s">
        <v>63</v>
      </c>
      <c r="H2919" s="7" t="s">
        <v>67</v>
      </c>
      <c r="I2919" s="7">
        <v>46.802399999999999</v>
      </c>
      <c r="J2919" s="7">
        <v>-71.269800000000004</v>
      </c>
      <c r="K2919" s="7">
        <v>46.765599999999999</v>
      </c>
      <c r="L2919" s="7">
        <v>-71.312100000000001</v>
      </c>
      <c r="M2919" s="10" t="str">
        <f t="shared" si="275"/>
        <v>C47</v>
      </c>
      <c r="N2919" s="10" t="str">
        <f t="shared" si="276"/>
        <v>C51</v>
      </c>
      <c r="O2919" s="5">
        <f t="shared" si="277"/>
        <v>5.2074476714431288</v>
      </c>
      <c r="P2919" s="22">
        <f>O2919/Explications!$C$8</f>
        <v>0.17358158904810431</v>
      </c>
      <c r="Q2919" s="7" t="str">
        <f t="shared" si="278"/>
        <v>C51</v>
      </c>
      <c r="R2919" s="7" t="str">
        <f t="shared" si="279"/>
        <v>C47</v>
      </c>
      <c r="S2919" s="18">
        <f t="shared" si="280"/>
        <v>5.2074476714431288</v>
      </c>
      <c r="T2919" s="18">
        <f>S2919/Explications!$C$8</f>
        <v>0.17358158904810431</v>
      </c>
    </row>
    <row r="2920" spans="7:20">
      <c r="G2920" s="7" t="s">
        <v>63</v>
      </c>
      <c r="H2920" s="7" t="s">
        <v>68</v>
      </c>
      <c r="I2920" s="7">
        <v>46.802399999999999</v>
      </c>
      <c r="J2920" s="7">
        <v>-71.269800000000004</v>
      </c>
      <c r="K2920" s="7">
        <v>46.787599999999998</v>
      </c>
      <c r="L2920" s="7">
        <v>-71.288600000000002</v>
      </c>
      <c r="M2920" s="10" t="str">
        <f t="shared" si="275"/>
        <v>C47</v>
      </c>
      <c r="N2920" s="10" t="str">
        <f t="shared" si="276"/>
        <v>C52</v>
      </c>
      <c r="O2920" s="5">
        <f t="shared" si="277"/>
        <v>2.1809360232724684</v>
      </c>
      <c r="P2920" s="22">
        <f>O2920/Explications!$C$8</f>
        <v>7.2697867442415617E-2</v>
      </c>
      <c r="Q2920" s="7" t="str">
        <f t="shared" si="278"/>
        <v>C52</v>
      </c>
      <c r="R2920" s="7" t="str">
        <f t="shared" si="279"/>
        <v>C47</v>
      </c>
      <c r="S2920" s="18">
        <f t="shared" si="280"/>
        <v>2.1809360232724684</v>
      </c>
      <c r="T2920" s="18">
        <f>S2920/Explications!$C$8</f>
        <v>7.2697867442415617E-2</v>
      </c>
    </row>
    <row r="2921" spans="7:20">
      <c r="G2921" s="7" t="s">
        <v>63</v>
      </c>
      <c r="H2921" s="7" t="s">
        <v>69</v>
      </c>
      <c r="I2921" s="7">
        <v>46.802399999999999</v>
      </c>
      <c r="J2921" s="7">
        <v>-71.269800000000004</v>
      </c>
      <c r="K2921" s="7">
        <v>46.764600000000002</v>
      </c>
      <c r="L2921" s="7">
        <v>-71.308300000000003</v>
      </c>
      <c r="M2921" s="10" t="str">
        <f t="shared" si="275"/>
        <v>C47</v>
      </c>
      <c r="N2921" s="10" t="str">
        <f t="shared" si="276"/>
        <v>C53</v>
      </c>
      <c r="O2921" s="5">
        <f t="shared" si="277"/>
        <v>5.1244520330962295</v>
      </c>
      <c r="P2921" s="22">
        <f>O2921/Explications!$C$8</f>
        <v>0.17081506776987432</v>
      </c>
      <c r="Q2921" s="7" t="str">
        <f t="shared" si="278"/>
        <v>C53</v>
      </c>
      <c r="R2921" s="7" t="str">
        <f t="shared" si="279"/>
        <v>C47</v>
      </c>
      <c r="S2921" s="18">
        <f t="shared" si="280"/>
        <v>5.1244520330962295</v>
      </c>
      <c r="T2921" s="18">
        <f>S2921/Explications!$C$8</f>
        <v>0.17081506776987432</v>
      </c>
    </row>
    <row r="2922" spans="7:20">
      <c r="G2922" s="7" t="s">
        <v>63</v>
      </c>
      <c r="H2922" s="7" t="s">
        <v>70</v>
      </c>
      <c r="I2922" s="7">
        <v>46.802399999999999</v>
      </c>
      <c r="J2922" s="7">
        <v>-71.269800000000004</v>
      </c>
      <c r="K2922" s="7">
        <v>46.849699999999999</v>
      </c>
      <c r="L2922" s="7">
        <v>-71.097399999999993</v>
      </c>
      <c r="M2922" s="10" t="str">
        <f t="shared" si="275"/>
        <v>C47</v>
      </c>
      <c r="N2922" s="10" t="str">
        <f t="shared" si="276"/>
        <v>C54</v>
      </c>
      <c r="O2922" s="5">
        <f t="shared" si="277"/>
        <v>14.131625104002252</v>
      </c>
      <c r="P2922" s="22">
        <f>O2922/Explications!$C$8</f>
        <v>0.47105417013340839</v>
      </c>
      <c r="Q2922" s="7" t="str">
        <f t="shared" si="278"/>
        <v>C54</v>
      </c>
      <c r="R2922" s="7" t="str">
        <f t="shared" si="279"/>
        <v>C47</v>
      </c>
      <c r="S2922" s="18">
        <f t="shared" si="280"/>
        <v>14.131625104002252</v>
      </c>
      <c r="T2922" s="18">
        <f>S2922/Explications!$C$8</f>
        <v>0.47105417013340839</v>
      </c>
    </row>
    <row r="2923" spans="7:20">
      <c r="G2923" s="7" t="s">
        <v>63</v>
      </c>
      <c r="H2923" s="7" t="s">
        <v>71</v>
      </c>
      <c r="I2923" s="7">
        <v>46.802399999999999</v>
      </c>
      <c r="J2923" s="7">
        <v>-71.269800000000004</v>
      </c>
      <c r="K2923" s="7">
        <v>46.788899999999998</v>
      </c>
      <c r="L2923" s="7">
        <v>-71.321399999999997</v>
      </c>
      <c r="M2923" s="10" t="str">
        <f t="shared" si="275"/>
        <v>C47</v>
      </c>
      <c r="N2923" s="10" t="str">
        <f t="shared" si="276"/>
        <v>C55</v>
      </c>
      <c r="O2923" s="5">
        <f t="shared" si="277"/>
        <v>4.2050797504787303</v>
      </c>
      <c r="P2923" s="22">
        <f>O2923/Explications!$C$8</f>
        <v>0.14016932501595766</v>
      </c>
      <c r="Q2923" s="7" t="str">
        <f t="shared" si="278"/>
        <v>C55</v>
      </c>
      <c r="R2923" s="7" t="str">
        <f t="shared" si="279"/>
        <v>C47</v>
      </c>
      <c r="S2923" s="18">
        <f t="shared" si="280"/>
        <v>4.2050797504787303</v>
      </c>
      <c r="T2923" s="18">
        <f>S2923/Explications!$C$8</f>
        <v>0.14016932501595766</v>
      </c>
    </row>
    <row r="2924" spans="7:20">
      <c r="G2924" s="7" t="s">
        <v>63</v>
      </c>
      <c r="H2924" s="7" t="s">
        <v>72</v>
      </c>
      <c r="I2924" s="7">
        <v>46.802399999999999</v>
      </c>
      <c r="J2924" s="7">
        <v>-71.269800000000004</v>
      </c>
      <c r="K2924" s="7">
        <v>46.795400000000001</v>
      </c>
      <c r="L2924" s="7">
        <v>-71.232600000000005</v>
      </c>
      <c r="M2924" s="10" t="str">
        <f t="shared" si="275"/>
        <v>C47</v>
      </c>
      <c r="N2924" s="10" t="str">
        <f t="shared" si="276"/>
        <v>C56</v>
      </c>
      <c r="O2924" s="5">
        <f t="shared" si="277"/>
        <v>2.9366840820840237</v>
      </c>
      <c r="P2924" s="22">
        <f>O2924/Explications!$C$8</f>
        <v>9.7889469402800786E-2</v>
      </c>
      <c r="Q2924" s="7" t="str">
        <f t="shared" si="278"/>
        <v>C56</v>
      </c>
      <c r="R2924" s="7" t="str">
        <f t="shared" si="279"/>
        <v>C47</v>
      </c>
      <c r="S2924" s="18">
        <f t="shared" si="280"/>
        <v>2.9366840820840237</v>
      </c>
      <c r="T2924" s="18">
        <f>S2924/Explications!$C$8</f>
        <v>9.7889469402800786E-2</v>
      </c>
    </row>
    <row r="2925" spans="7:20">
      <c r="G2925" s="7" t="s">
        <v>63</v>
      </c>
      <c r="H2925" s="7" t="s">
        <v>73</v>
      </c>
      <c r="I2925" s="7">
        <v>46.802399999999999</v>
      </c>
      <c r="J2925" s="7">
        <v>-71.269800000000004</v>
      </c>
      <c r="K2925" s="7">
        <v>46.801200000000001</v>
      </c>
      <c r="L2925" s="7">
        <v>-71.224999999999994</v>
      </c>
      <c r="M2925" s="10" t="str">
        <f t="shared" si="275"/>
        <v>C47</v>
      </c>
      <c r="N2925" s="10" t="str">
        <f t="shared" si="276"/>
        <v>C57</v>
      </c>
      <c r="O2925" s="5">
        <f t="shared" si="277"/>
        <v>3.412589333398913</v>
      </c>
      <c r="P2925" s="22">
        <f>O2925/Explications!$C$8</f>
        <v>0.11375297777996377</v>
      </c>
      <c r="Q2925" s="7" t="str">
        <f t="shared" si="278"/>
        <v>C57</v>
      </c>
      <c r="R2925" s="7" t="str">
        <f t="shared" si="279"/>
        <v>C47</v>
      </c>
      <c r="S2925" s="18">
        <f t="shared" si="280"/>
        <v>3.412589333398913</v>
      </c>
      <c r="T2925" s="18">
        <f>S2925/Explications!$C$8</f>
        <v>0.11375297777996377</v>
      </c>
    </row>
    <row r="2926" spans="7:20">
      <c r="G2926" s="7" t="s">
        <v>63</v>
      </c>
      <c r="H2926" s="7" t="s">
        <v>74</v>
      </c>
      <c r="I2926" s="7">
        <v>46.802399999999999</v>
      </c>
      <c r="J2926" s="7">
        <v>-71.269800000000004</v>
      </c>
      <c r="K2926" s="7">
        <v>46.773200000000003</v>
      </c>
      <c r="L2926" s="7">
        <v>-71.275899999999993</v>
      </c>
      <c r="M2926" s="10" t="str">
        <f t="shared" si="275"/>
        <v>C47</v>
      </c>
      <c r="N2926" s="10" t="str">
        <f t="shared" si="276"/>
        <v>C58</v>
      </c>
      <c r="O2926" s="5">
        <f t="shared" si="277"/>
        <v>3.2799387650990059</v>
      </c>
      <c r="P2926" s="22">
        <f>O2926/Explications!$C$8</f>
        <v>0.10933129216996687</v>
      </c>
      <c r="Q2926" s="7" t="str">
        <f t="shared" si="278"/>
        <v>C58</v>
      </c>
      <c r="R2926" s="7" t="str">
        <f t="shared" si="279"/>
        <v>C47</v>
      </c>
      <c r="S2926" s="18">
        <f t="shared" si="280"/>
        <v>3.2799387650990059</v>
      </c>
      <c r="T2926" s="18">
        <f>S2926/Explications!$C$8</f>
        <v>0.10933129216996687</v>
      </c>
    </row>
    <row r="2927" spans="7:20">
      <c r="G2927" s="7" t="s">
        <v>63</v>
      </c>
      <c r="H2927" s="7" t="s">
        <v>75</v>
      </c>
      <c r="I2927" s="7">
        <v>46.802399999999999</v>
      </c>
      <c r="J2927" s="7">
        <v>-71.269800000000004</v>
      </c>
      <c r="K2927" s="7">
        <v>46.814399999999999</v>
      </c>
      <c r="L2927" s="7">
        <v>-71.225700000000003</v>
      </c>
      <c r="M2927" s="10" t="str">
        <f t="shared" si="275"/>
        <v>C47</v>
      </c>
      <c r="N2927" s="10" t="str">
        <f t="shared" si="276"/>
        <v>C59</v>
      </c>
      <c r="O2927" s="5">
        <f t="shared" si="277"/>
        <v>3.6118032472799122</v>
      </c>
      <c r="P2927" s="22">
        <f>O2927/Explications!$C$8</f>
        <v>0.12039344157599707</v>
      </c>
      <c r="Q2927" s="7" t="str">
        <f t="shared" si="278"/>
        <v>C59</v>
      </c>
      <c r="R2927" s="7" t="str">
        <f t="shared" si="279"/>
        <v>C47</v>
      </c>
      <c r="S2927" s="18">
        <f t="shared" si="280"/>
        <v>3.6118032472799122</v>
      </c>
      <c r="T2927" s="18">
        <f>S2927/Explications!$C$8</f>
        <v>0.12039344157599707</v>
      </c>
    </row>
    <row r="2928" spans="7:20">
      <c r="G2928" s="7" t="s">
        <v>63</v>
      </c>
      <c r="H2928" s="7" t="s">
        <v>76</v>
      </c>
      <c r="I2928" s="7">
        <v>46.802399999999999</v>
      </c>
      <c r="J2928" s="7">
        <v>-71.269800000000004</v>
      </c>
      <c r="K2928" s="7">
        <v>46.772500000000001</v>
      </c>
      <c r="L2928" s="7">
        <v>-71.276300000000006</v>
      </c>
      <c r="M2928" s="10" t="str">
        <f t="shared" si="275"/>
        <v>C47</v>
      </c>
      <c r="N2928" s="10" t="str">
        <f t="shared" si="276"/>
        <v>C60</v>
      </c>
      <c r="O2928" s="5">
        <f t="shared" si="277"/>
        <v>3.3613580478240932</v>
      </c>
      <c r="P2928" s="22">
        <f>O2928/Explications!$C$8</f>
        <v>0.1120452682608031</v>
      </c>
      <c r="Q2928" s="7" t="str">
        <f t="shared" si="278"/>
        <v>C60</v>
      </c>
      <c r="R2928" s="7" t="str">
        <f t="shared" si="279"/>
        <v>C47</v>
      </c>
      <c r="S2928" s="18">
        <f t="shared" si="280"/>
        <v>3.3613580478240932</v>
      </c>
      <c r="T2928" s="18">
        <f>S2928/Explications!$C$8</f>
        <v>0.1120452682608031</v>
      </c>
    </row>
    <row r="2929" spans="7:20">
      <c r="G2929" s="7" t="s">
        <v>63</v>
      </c>
      <c r="H2929" s="7" t="s">
        <v>77</v>
      </c>
      <c r="I2929" s="7">
        <v>46.802399999999999</v>
      </c>
      <c r="J2929" s="7">
        <v>-71.269800000000004</v>
      </c>
      <c r="K2929" s="7">
        <v>46.810899999999997</v>
      </c>
      <c r="L2929" s="7">
        <v>-71.215599999999995</v>
      </c>
      <c r="M2929" s="10" t="str">
        <f t="shared" si="275"/>
        <v>C47</v>
      </c>
      <c r="N2929" s="10" t="str">
        <f t="shared" si="276"/>
        <v>C61</v>
      </c>
      <c r="O2929" s="5">
        <f t="shared" si="277"/>
        <v>4.2319884598279067</v>
      </c>
      <c r="P2929" s="22">
        <f>O2929/Explications!$C$8</f>
        <v>0.14106628199426355</v>
      </c>
      <c r="Q2929" s="7" t="str">
        <f t="shared" si="278"/>
        <v>C61</v>
      </c>
      <c r="R2929" s="7" t="str">
        <f t="shared" si="279"/>
        <v>C47</v>
      </c>
      <c r="S2929" s="18">
        <f t="shared" si="280"/>
        <v>4.2319884598279067</v>
      </c>
      <c r="T2929" s="18">
        <f>S2929/Explications!$C$8</f>
        <v>0.14106628199426355</v>
      </c>
    </row>
    <row r="2930" spans="7:20">
      <c r="G2930" s="7" t="s">
        <v>63</v>
      </c>
      <c r="H2930" s="7" t="s">
        <v>78</v>
      </c>
      <c r="I2930" s="7">
        <v>46.802399999999999</v>
      </c>
      <c r="J2930" s="7">
        <v>-71.269800000000004</v>
      </c>
      <c r="K2930" s="7">
        <v>46.795200000000001</v>
      </c>
      <c r="L2930" s="7">
        <v>-71.245099999999994</v>
      </c>
      <c r="M2930" s="10" t="str">
        <f t="shared" si="275"/>
        <v>C47</v>
      </c>
      <c r="N2930" s="10" t="str">
        <f t="shared" si="276"/>
        <v>C62</v>
      </c>
      <c r="O2930" s="5">
        <f t="shared" si="277"/>
        <v>2.0435189723850007</v>
      </c>
      <c r="P2930" s="22">
        <f>O2930/Explications!$C$8</f>
        <v>6.8117299079500024E-2</v>
      </c>
      <c r="Q2930" s="7" t="str">
        <f t="shared" si="278"/>
        <v>C62</v>
      </c>
      <c r="R2930" s="7" t="str">
        <f t="shared" si="279"/>
        <v>C47</v>
      </c>
      <c r="S2930" s="18">
        <f t="shared" si="280"/>
        <v>2.0435189723850007</v>
      </c>
      <c r="T2930" s="18">
        <f>S2930/Explications!$C$8</f>
        <v>6.8117299079500024E-2</v>
      </c>
    </row>
    <row r="2931" spans="7:20">
      <c r="G2931" s="7" t="s">
        <v>63</v>
      </c>
      <c r="H2931" s="7" t="s">
        <v>79</v>
      </c>
      <c r="I2931" s="7">
        <v>46.802399999999999</v>
      </c>
      <c r="J2931" s="7">
        <v>-71.269800000000004</v>
      </c>
      <c r="K2931" s="7">
        <v>46.822000000000003</v>
      </c>
      <c r="L2931" s="7">
        <v>-71.345699999999994</v>
      </c>
      <c r="M2931" s="10" t="str">
        <f t="shared" si="275"/>
        <v>C47</v>
      </c>
      <c r="N2931" s="10" t="str">
        <f t="shared" si="276"/>
        <v>C63</v>
      </c>
      <c r="O2931" s="5">
        <f t="shared" si="277"/>
        <v>6.1735502724459623</v>
      </c>
      <c r="P2931" s="22">
        <f>O2931/Explications!$C$8</f>
        <v>0.20578500908153208</v>
      </c>
      <c r="Q2931" s="7" t="str">
        <f t="shared" si="278"/>
        <v>C63</v>
      </c>
      <c r="R2931" s="7" t="str">
        <f t="shared" si="279"/>
        <v>C47</v>
      </c>
      <c r="S2931" s="18">
        <f t="shared" si="280"/>
        <v>6.1735502724459623</v>
      </c>
      <c r="T2931" s="18">
        <f>S2931/Explications!$C$8</f>
        <v>0.20578500908153208</v>
      </c>
    </row>
    <row r="2932" spans="7:20">
      <c r="G2932" s="7" t="s">
        <v>63</v>
      </c>
      <c r="H2932" s="7" t="s">
        <v>80</v>
      </c>
      <c r="I2932" s="7">
        <v>46.802399999999999</v>
      </c>
      <c r="J2932" s="7">
        <v>-71.269800000000004</v>
      </c>
      <c r="K2932" s="7">
        <v>46.779400000000003</v>
      </c>
      <c r="L2932" s="7">
        <v>-71.350399999999993</v>
      </c>
      <c r="M2932" s="10" t="str">
        <f t="shared" si="275"/>
        <v>C47</v>
      </c>
      <c r="N2932" s="10" t="str">
        <f t="shared" si="276"/>
        <v>C64</v>
      </c>
      <c r="O2932" s="5">
        <f t="shared" si="277"/>
        <v>6.6477962929246699</v>
      </c>
      <c r="P2932" s="22">
        <f>O2932/Explications!$C$8</f>
        <v>0.22159320976415567</v>
      </c>
      <c r="Q2932" s="7" t="str">
        <f t="shared" si="278"/>
        <v>C64</v>
      </c>
      <c r="R2932" s="7" t="str">
        <f t="shared" si="279"/>
        <v>C47</v>
      </c>
      <c r="S2932" s="18">
        <f t="shared" si="280"/>
        <v>6.6477962929246699</v>
      </c>
      <c r="T2932" s="18">
        <f>S2932/Explications!$C$8</f>
        <v>0.22159320976415567</v>
      </c>
    </row>
    <row r="2933" spans="7:20">
      <c r="G2933" s="7" t="s">
        <v>63</v>
      </c>
      <c r="H2933" s="7" t="s">
        <v>81</v>
      </c>
      <c r="I2933" s="7">
        <v>46.802399999999999</v>
      </c>
      <c r="J2933" s="7">
        <v>-71.269800000000004</v>
      </c>
      <c r="K2933" s="7">
        <v>46.772300000000001</v>
      </c>
      <c r="L2933" s="7">
        <v>-71.279799999999994</v>
      </c>
      <c r="M2933" s="10" t="str">
        <f t="shared" si="275"/>
        <v>C47</v>
      </c>
      <c r="N2933" s="10" t="str">
        <f t="shared" si="276"/>
        <v>C65</v>
      </c>
      <c r="O2933" s="5">
        <f t="shared" si="277"/>
        <v>3.4324714046786715</v>
      </c>
      <c r="P2933" s="22">
        <f>O2933/Explications!$C$8</f>
        <v>0.11441571348928906</v>
      </c>
      <c r="Q2933" s="7" t="str">
        <f t="shared" si="278"/>
        <v>C65</v>
      </c>
      <c r="R2933" s="7" t="str">
        <f t="shared" si="279"/>
        <v>C47</v>
      </c>
      <c r="S2933" s="18">
        <f t="shared" si="280"/>
        <v>3.4324714046786715</v>
      </c>
      <c r="T2933" s="18">
        <f>S2933/Explications!$C$8</f>
        <v>0.11441571348928906</v>
      </c>
    </row>
    <row r="2934" spans="7:20">
      <c r="G2934" s="7" t="s">
        <v>63</v>
      </c>
      <c r="H2934" s="7" t="s">
        <v>82</v>
      </c>
      <c r="I2934" s="7">
        <v>46.802399999999999</v>
      </c>
      <c r="J2934" s="7">
        <v>-71.269800000000004</v>
      </c>
      <c r="K2934" s="7">
        <v>46.814900000000002</v>
      </c>
      <c r="L2934" s="7">
        <v>-71.225200000000001</v>
      </c>
      <c r="M2934" s="10" t="str">
        <f t="shared" si="275"/>
        <v>C47</v>
      </c>
      <c r="N2934" s="10" t="str">
        <f t="shared" si="276"/>
        <v>C66</v>
      </c>
      <c r="O2934" s="5">
        <f t="shared" si="277"/>
        <v>3.6678823527382174</v>
      </c>
      <c r="P2934" s="22">
        <f>O2934/Explications!$C$8</f>
        <v>0.12226274509127391</v>
      </c>
      <c r="Q2934" s="7" t="str">
        <f t="shared" si="278"/>
        <v>C66</v>
      </c>
      <c r="R2934" s="7" t="str">
        <f t="shared" si="279"/>
        <v>C47</v>
      </c>
      <c r="S2934" s="18">
        <f t="shared" si="280"/>
        <v>3.6678823527382174</v>
      </c>
      <c r="T2934" s="18">
        <f>S2934/Explications!$C$8</f>
        <v>0.12226274509127391</v>
      </c>
    </row>
    <row r="2935" spans="7:20">
      <c r="G2935" s="7" t="s">
        <v>63</v>
      </c>
      <c r="H2935" s="7" t="s">
        <v>83</v>
      </c>
      <c r="I2935" s="7">
        <v>46.802399999999999</v>
      </c>
      <c r="J2935" s="7">
        <v>-71.269800000000004</v>
      </c>
      <c r="K2935" s="7">
        <v>46.814700000000002</v>
      </c>
      <c r="L2935" s="7">
        <v>-71.207300000000004</v>
      </c>
      <c r="M2935" s="10" t="str">
        <f t="shared" si="275"/>
        <v>C47</v>
      </c>
      <c r="N2935" s="10" t="str">
        <f t="shared" si="276"/>
        <v>C67</v>
      </c>
      <c r="O2935" s="5">
        <f t="shared" si="277"/>
        <v>4.9493552368884153</v>
      </c>
      <c r="P2935" s="22">
        <f>O2935/Explications!$C$8</f>
        <v>0.16497850789628052</v>
      </c>
      <c r="Q2935" s="7" t="str">
        <f t="shared" si="278"/>
        <v>C67</v>
      </c>
      <c r="R2935" s="7" t="str">
        <f t="shared" si="279"/>
        <v>C47</v>
      </c>
      <c r="S2935" s="18">
        <f t="shared" si="280"/>
        <v>4.9493552368884153</v>
      </c>
      <c r="T2935" s="18">
        <f>S2935/Explications!$C$8</f>
        <v>0.16497850789628052</v>
      </c>
    </row>
    <row r="2936" spans="7:20">
      <c r="G2936" s="7" t="s">
        <v>63</v>
      </c>
      <c r="H2936" s="7" t="s">
        <v>84</v>
      </c>
      <c r="I2936" s="7">
        <v>46.802399999999999</v>
      </c>
      <c r="J2936" s="7">
        <v>-71.269800000000004</v>
      </c>
      <c r="K2936" s="7">
        <v>46.815600000000003</v>
      </c>
      <c r="L2936" s="7">
        <v>-71.2029</v>
      </c>
      <c r="M2936" s="10" t="str">
        <f t="shared" si="275"/>
        <v>C47</v>
      </c>
      <c r="N2936" s="10" t="str">
        <f t="shared" si="276"/>
        <v>C68</v>
      </c>
      <c r="O2936" s="5">
        <f t="shared" si="277"/>
        <v>5.2987973338273182</v>
      </c>
      <c r="P2936" s="22">
        <f>O2936/Explications!$C$8</f>
        <v>0.17662657779424393</v>
      </c>
      <c r="Q2936" s="7" t="str">
        <f t="shared" si="278"/>
        <v>C68</v>
      </c>
      <c r="R2936" s="7" t="str">
        <f t="shared" si="279"/>
        <v>C47</v>
      </c>
      <c r="S2936" s="18">
        <f t="shared" si="280"/>
        <v>5.2987973338273182</v>
      </c>
      <c r="T2936" s="18">
        <f>S2936/Explications!$C$8</f>
        <v>0.17662657779424393</v>
      </c>
    </row>
    <row r="2937" spans="7:20">
      <c r="G2937" s="7" t="s">
        <v>63</v>
      </c>
      <c r="H2937" s="7" t="s">
        <v>85</v>
      </c>
      <c r="I2937" s="7">
        <v>46.802399999999999</v>
      </c>
      <c r="J2937" s="7">
        <v>-71.269800000000004</v>
      </c>
      <c r="K2937" s="7">
        <v>46.821899999999999</v>
      </c>
      <c r="L2937" s="7">
        <v>-71.249899999999997</v>
      </c>
      <c r="M2937" s="10" t="str">
        <f t="shared" si="275"/>
        <v>C47</v>
      </c>
      <c r="N2937" s="10" t="str">
        <f t="shared" si="276"/>
        <v>C69</v>
      </c>
      <c r="O2937" s="5">
        <f t="shared" si="277"/>
        <v>2.6447996583314488</v>
      </c>
      <c r="P2937" s="22">
        <f>O2937/Explications!$C$8</f>
        <v>8.815998861104829E-2</v>
      </c>
      <c r="Q2937" s="7" t="str">
        <f t="shared" si="278"/>
        <v>C69</v>
      </c>
      <c r="R2937" s="7" t="str">
        <f t="shared" si="279"/>
        <v>C47</v>
      </c>
      <c r="S2937" s="18">
        <f t="shared" si="280"/>
        <v>2.6447996583314488</v>
      </c>
      <c r="T2937" s="18">
        <f>S2937/Explications!$C$8</f>
        <v>8.815998861104829E-2</v>
      </c>
    </row>
    <row r="2938" spans="7:20">
      <c r="G2938" s="7" t="s">
        <v>63</v>
      </c>
      <c r="H2938" s="7" t="s">
        <v>86</v>
      </c>
      <c r="I2938" s="7">
        <v>46.802399999999999</v>
      </c>
      <c r="J2938" s="7">
        <v>-71.269800000000004</v>
      </c>
      <c r="K2938" s="7">
        <v>46.8872</v>
      </c>
      <c r="L2938" s="7">
        <v>-71.27</v>
      </c>
      <c r="M2938" s="10" t="str">
        <f t="shared" si="275"/>
        <v>C47</v>
      </c>
      <c r="N2938" s="10" t="str">
        <f t="shared" si="276"/>
        <v>C70</v>
      </c>
      <c r="O2938" s="5">
        <f t="shared" si="277"/>
        <v>9.4293420476344014</v>
      </c>
      <c r="P2938" s="22">
        <f>O2938/Explications!$C$8</f>
        <v>0.3143114015878134</v>
      </c>
      <c r="Q2938" s="7" t="str">
        <f t="shared" si="278"/>
        <v>C70</v>
      </c>
      <c r="R2938" s="7" t="str">
        <f t="shared" si="279"/>
        <v>C47</v>
      </c>
      <c r="S2938" s="18">
        <f t="shared" si="280"/>
        <v>9.4293420476344014</v>
      </c>
      <c r="T2938" s="18">
        <f>S2938/Explications!$C$8</f>
        <v>0.3143114015878134</v>
      </c>
    </row>
    <row r="2939" spans="7:20">
      <c r="G2939" s="7" t="s">
        <v>63</v>
      </c>
      <c r="H2939" s="7" t="s">
        <v>87</v>
      </c>
      <c r="I2939" s="7">
        <v>46.802399999999999</v>
      </c>
      <c r="J2939" s="7">
        <v>-71.269800000000004</v>
      </c>
      <c r="K2939" s="7">
        <v>46.816299999999998</v>
      </c>
      <c r="L2939" s="7">
        <v>-71.210300000000004</v>
      </c>
      <c r="M2939" s="10" t="str">
        <f t="shared" si="275"/>
        <v>C47</v>
      </c>
      <c r="N2939" s="10" t="str">
        <f t="shared" si="276"/>
        <v>C71</v>
      </c>
      <c r="O2939" s="5">
        <f t="shared" si="277"/>
        <v>4.7847568869462602</v>
      </c>
      <c r="P2939" s="22">
        <f>O2939/Explications!$C$8</f>
        <v>0.159491896231542</v>
      </c>
      <c r="Q2939" s="7" t="str">
        <f t="shared" si="278"/>
        <v>C71</v>
      </c>
      <c r="R2939" s="7" t="str">
        <f t="shared" si="279"/>
        <v>C47</v>
      </c>
      <c r="S2939" s="18">
        <f t="shared" si="280"/>
        <v>4.7847568869462602</v>
      </c>
      <c r="T2939" s="18">
        <f>S2939/Explications!$C$8</f>
        <v>0.159491896231542</v>
      </c>
    </row>
    <row r="2940" spans="7:20">
      <c r="G2940" s="7" t="s">
        <v>63</v>
      </c>
      <c r="H2940" s="7" t="s">
        <v>88</v>
      </c>
      <c r="I2940" s="7">
        <v>46.802399999999999</v>
      </c>
      <c r="J2940" s="7">
        <v>-71.269800000000004</v>
      </c>
      <c r="K2940" s="7">
        <v>46.807000000000002</v>
      </c>
      <c r="L2940" s="7">
        <v>-71.3566</v>
      </c>
      <c r="M2940" s="10" t="str">
        <f t="shared" si="275"/>
        <v>C47</v>
      </c>
      <c r="N2940" s="10" t="str">
        <f t="shared" si="276"/>
        <v>C72</v>
      </c>
      <c r="O2940" s="5">
        <f t="shared" si="277"/>
        <v>6.6262505687393629</v>
      </c>
      <c r="P2940" s="22">
        <f>O2940/Explications!$C$8</f>
        <v>0.22087501895797876</v>
      </c>
      <c r="Q2940" s="7" t="str">
        <f t="shared" si="278"/>
        <v>C72</v>
      </c>
      <c r="R2940" s="7" t="str">
        <f t="shared" si="279"/>
        <v>C47</v>
      </c>
      <c r="S2940" s="18">
        <f t="shared" si="280"/>
        <v>6.6262505687393629</v>
      </c>
      <c r="T2940" s="18">
        <f>S2940/Explications!$C$8</f>
        <v>0.22087501895797876</v>
      </c>
    </row>
    <row r="2941" spans="7:20">
      <c r="G2941" s="7" t="s">
        <v>63</v>
      </c>
      <c r="H2941" s="7" t="s">
        <v>89</v>
      </c>
      <c r="I2941" s="7">
        <v>46.802399999999999</v>
      </c>
      <c r="J2941" s="7">
        <v>-71.269800000000004</v>
      </c>
      <c r="K2941" s="7">
        <v>46.822899999999997</v>
      </c>
      <c r="L2941" s="7">
        <v>-71.341899999999995</v>
      </c>
      <c r="M2941" s="10" t="str">
        <f t="shared" si="275"/>
        <v>C47</v>
      </c>
      <c r="N2941" s="10" t="str">
        <f t="shared" si="276"/>
        <v>C73</v>
      </c>
      <c r="O2941" s="5">
        <f t="shared" si="277"/>
        <v>5.9414976066256511</v>
      </c>
      <c r="P2941" s="22">
        <f>O2941/Explications!$C$8</f>
        <v>0.19804992022085505</v>
      </c>
      <c r="Q2941" s="7" t="str">
        <f t="shared" si="278"/>
        <v>C73</v>
      </c>
      <c r="R2941" s="7" t="str">
        <f t="shared" si="279"/>
        <v>C47</v>
      </c>
      <c r="S2941" s="18">
        <f t="shared" si="280"/>
        <v>5.9414976066256511</v>
      </c>
      <c r="T2941" s="18">
        <f>S2941/Explications!$C$8</f>
        <v>0.19804992022085505</v>
      </c>
    </row>
    <row r="2942" spans="7:20">
      <c r="G2942" s="7" t="s">
        <v>63</v>
      </c>
      <c r="H2942" s="7" t="s">
        <v>90</v>
      </c>
      <c r="I2942" s="7">
        <v>46.802399999999999</v>
      </c>
      <c r="J2942" s="7">
        <v>-71.269800000000004</v>
      </c>
      <c r="K2942" s="7">
        <v>46.730699999999999</v>
      </c>
      <c r="L2942" s="7">
        <v>-71.261099999999999</v>
      </c>
      <c r="M2942" s="10" t="str">
        <f t="shared" si="275"/>
        <v>C47</v>
      </c>
      <c r="N2942" s="10" t="str">
        <f t="shared" si="276"/>
        <v>C74</v>
      </c>
      <c r="O2942" s="5">
        <f t="shared" si="277"/>
        <v>8.0001660896888698</v>
      </c>
      <c r="P2942" s="22">
        <f>O2942/Explications!$C$8</f>
        <v>0.26667220298962901</v>
      </c>
      <c r="Q2942" s="7" t="str">
        <f t="shared" si="278"/>
        <v>C74</v>
      </c>
      <c r="R2942" s="7" t="str">
        <f t="shared" si="279"/>
        <v>C47</v>
      </c>
      <c r="S2942" s="18">
        <f t="shared" si="280"/>
        <v>8.0001660896888698</v>
      </c>
      <c r="T2942" s="18">
        <f>S2942/Explications!$C$8</f>
        <v>0.26667220298962901</v>
      </c>
    </row>
    <row r="2943" spans="7:20">
      <c r="G2943" s="7" t="s">
        <v>63</v>
      </c>
      <c r="H2943" s="7" t="s">
        <v>91</v>
      </c>
      <c r="I2943" s="7">
        <v>46.802399999999999</v>
      </c>
      <c r="J2943" s="7">
        <v>-71.269800000000004</v>
      </c>
      <c r="K2943" s="7">
        <v>46.840600000000002</v>
      </c>
      <c r="L2943" s="7">
        <v>-71.289100000000005</v>
      </c>
      <c r="M2943" s="10" t="str">
        <f t="shared" si="275"/>
        <v>C47</v>
      </c>
      <c r="N2943" s="10" t="str">
        <f t="shared" si="276"/>
        <v>C75</v>
      </c>
      <c r="O2943" s="5">
        <f t="shared" si="277"/>
        <v>4.4943265184773757</v>
      </c>
      <c r="P2943" s="22">
        <f>O2943/Explications!$C$8</f>
        <v>0.14981088394924585</v>
      </c>
      <c r="Q2943" s="7" t="str">
        <f t="shared" si="278"/>
        <v>C75</v>
      </c>
      <c r="R2943" s="7" t="str">
        <f t="shared" si="279"/>
        <v>C47</v>
      </c>
      <c r="S2943" s="18">
        <f t="shared" si="280"/>
        <v>4.4943265184773757</v>
      </c>
      <c r="T2943" s="18">
        <f>S2943/Explications!$C$8</f>
        <v>0.14981088394924585</v>
      </c>
    </row>
    <row r="2944" spans="7:20">
      <c r="G2944" s="7" t="s">
        <v>63</v>
      </c>
      <c r="H2944" s="7" t="s">
        <v>92</v>
      </c>
      <c r="I2944" s="7">
        <v>46.802399999999999</v>
      </c>
      <c r="J2944" s="7">
        <v>-71.269800000000004</v>
      </c>
      <c r="K2944" s="7">
        <v>46.840600000000002</v>
      </c>
      <c r="L2944" s="7">
        <v>-71.281599999999997</v>
      </c>
      <c r="M2944" s="10" t="str">
        <f t="shared" si="275"/>
        <v>C47</v>
      </c>
      <c r="N2944" s="10" t="str">
        <f t="shared" si="276"/>
        <v>C76</v>
      </c>
      <c r="O2944" s="5">
        <f t="shared" si="277"/>
        <v>4.3414981786933513</v>
      </c>
      <c r="P2944" s="22">
        <f>O2944/Explications!$C$8</f>
        <v>0.14471660595644503</v>
      </c>
      <c r="Q2944" s="7" t="str">
        <f t="shared" si="278"/>
        <v>C76</v>
      </c>
      <c r="R2944" s="7" t="str">
        <f t="shared" si="279"/>
        <v>C47</v>
      </c>
      <c r="S2944" s="18">
        <f t="shared" si="280"/>
        <v>4.3414981786933513</v>
      </c>
      <c r="T2944" s="18">
        <f>S2944/Explications!$C$8</f>
        <v>0.14471660595644503</v>
      </c>
    </row>
    <row r="2945" spans="7:20">
      <c r="G2945" s="7" t="s">
        <v>63</v>
      </c>
      <c r="H2945" s="7" t="s">
        <v>93</v>
      </c>
      <c r="I2945" s="7">
        <v>46.802399999999999</v>
      </c>
      <c r="J2945" s="7">
        <v>-71.269800000000004</v>
      </c>
      <c r="K2945" s="7">
        <v>46.839399999999998</v>
      </c>
      <c r="L2945" s="7">
        <v>-71.282600000000002</v>
      </c>
      <c r="M2945" s="10" t="str">
        <f t="shared" si="275"/>
        <v>C47</v>
      </c>
      <c r="N2945" s="10" t="str">
        <f t="shared" si="276"/>
        <v>C77</v>
      </c>
      <c r="O2945" s="5">
        <f t="shared" si="277"/>
        <v>4.2279179248595122</v>
      </c>
      <c r="P2945" s="22">
        <f>O2945/Explications!$C$8</f>
        <v>0.14093059749531708</v>
      </c>
      <c r="Q2945" s="7" t="str">
        <f t="shared" si="278"/>
        <v>C77</v>
      </c>
      <c r="R2945" s="7" t="str">
        <f t="shared" si="279"/>
        <v>C47</v>
      </c>
      <c r="S2945" s="18">
        <f t="shared" si="280"/>
        <v>4.2279179248595122</v>
      </c>
      <c r="T2945" s="18">
        <f>S2945/Explications!$C$8</f>
        <v>0.14093059749531708</v>
      </c>
    </row>
    <row r="2946" spans="7:20">
      <c r="G2946" s="7" t="s">
        <v>63</v>
      </c>
      <c r="H2946" s="7" t="s">
        <v>94</v>
      </c>
      <c r="I2946" s="7">
        <v>46.802399999999999</v>
      </c>
      <c r="J2946" s="7">
        <v>-71.269800000000004</v>
      </c>
      <c r="K2946" s="7">
        <v>46.788499999999999</v>
      </c>
      <c r="L2946" s="7">
        <v>-71.282399999999996</v>
      </c>
      <c r="M2946" s="10" t="str">
        <f t="shared" si="275"/>
        <v>C47</v>
      </c>
      <c r="N2946" s="10" t="str">
        <f t="shared" si="276"/>
        <v>C78</v>
      </c>
      <c r="O2946" s="5">
        <f t="shared" si="277"/>
        <v>1.8190425245425554</v>
      </c>
      <c r="P2946" s="22">
        <f>O2946/Explications!$C$8</f>
        <v>6.0634750818085184E-2</v>
      </c>
      <c r="Q2946" s="7" t="str">
        <f t="shared" si="278"/>
        <v>C78</v>
      </c>
      <c r="R2946" s="7" t="str">
        <f t="shared" si="279"/>
        <v>C47</v>
      </c>
      <c r="S2946" s="18">
        <f t="shared" si="280"/>
        <v>1.8190425245425554</v>
      </c>
      <c r="T2946" s="18">
        <f>S2946/Explications!$C$8</f>
        <v>6.0634750818085184E-2</v>
      </c>
    </row>
    <row r="2947" spans="7:20">
      <c r="G2947" s="7" t="s">
        <v>63</v>
      </c>
      <c r="H2947" s="7" t="s">
        <v>95</v>
      </c>
      <c r="I2947" s="7">
        <v>46.802399999999999</v>
      </c>
      <c r="J2947" s="7">
        <v>-71.269800000000004</v>
      </c>
      <c r="K2947" s="7">
        <v>46.840699999999998</v>
      </c>
      <c r="L2947" s="7">
        <v>-71.325400000000002</v>
      </c>
      <c r="M2947" s="10" t="str">
        <f t="shared" si="275"/>
        <v>C47</v>
      </c>
      <c r="N2947" s="10" t="str">
        <f t="shared" si="276"/>
        <v>C79</v>
      </c>
      <c r="O2947" s="5">
        <f t="shared" si="277"/>
        <v>6.0028323996964259</v>
      </c>
      <c r="P2947" s="22">
        <f>O2947/Explications!$C$8</f>
        <v>0.2000944133232142</v>
      </c>
      <c r="Q2947" s="7" t="str">
        <f t="shared" si="278"/>
        <v>C79</v>
      </c>
      <c r="R2947" s="7" t="str">
        <f t="shared" si="279"/>
        <v>C47</v>
      </c>
      <c r="S2947" s="18">
        <f t="shared" si="280"/>
        <v>6.0028323996964259</v>
      </c>
      <c r="T2947" s="18">
        <f>S2947/Explications!$C$8</f>
        <v>0.2000944133232142</v>
      </c>
    </row>
    <row r="2948" spans="7:20">
      <c r="G2948" s="7" t="s">
        <v>63</v>
      </c>
      <c r="H2948" s="7" t="s">
        <v>96</v>
      </c>
      <c r="I2948" s="7">
        <v>46.802399999999999</v>
      </c>
      <c r="J2948" s="7">
        <v>-71.269800000000004</v>
      </c>
      <c r="K2948" s="7">
        <v>46.798400000000001</v>
      </c>
      <c r="L2948" s="7">
        <v>-71.183199999999999</v>
      </c>
      <c r="M2948" s="10" t="str">
        <f t="shared" ref="M2948:M3011" si="281">G2948</f>
        <v>C47</v>
      </c>
      <c r="N2948" s="10" t="str">
        <f t="shared" ref="N2948:N3011" si="282">H2948</f>
        <v>C80</v>
      </c>
      <c r="O2948" s="5">
        <f t="shared" ref="O2948:O3011" si="283">ACOS(SIN(RADIANS(I2948))*SIN(RADIANS(K2948))+COS(RADIANS(I2948))*COS(RADIANS(K2948))*COS(RADIANS(J2948-L2948)))*6371</f>
        <v>6.6067724474519025</v>
      </c>
      <c r="P2948" s="22">
        <f>O2948/Explications!$C$8</f>
        <v>0.22022574824839675</v>
      </c>
      <c r="Q2948" s="7" t="str">
        <f t="shared" ref="Q2948:Q3011" si="284">N2948</f>
        <v>C80</v>
      </c>
      <c r="R2948" s="7" t="str">
        <f t="shared" ref="R2948:R3011" si="285">M2948</f>
        <v>C47</v>
      </c>
      <c r="S2948" s="18">
        <f t="shared" ref="S2948:S3011" si="286">O2948</f>
        <v>6.6067724474519025</v>
      </c>
      <c r="T2948" s="18">
        <f>S2948/Explications!$C$8</f>
        <v>0.22022574824839675</v>
      </c>
    </row>
    <row r="2949" spans="7:20">
      <c r="G2949" s="7" t="s">
        <v>63</v>
      </c>
      <c r="H2949" s="7" t="s">
        <v>97</v>
      </c>
      <c r="I2949" s="7">
        <v>46.802399999999999</v>
      </c>
      <c r="J2949" s="7">
        <v>-71.269800000000004</v>
      </c>
      <c r="K2949" s="7">
        <v>46.724800000000002</v>
      </c>
      <c r="L2949" s="7">
        <v>-71.2988</v>
      </c>
      <c r="M2949" s="10" t="str">
        <f t="shared" si="281"/>
        <v>C47</v>
      </c>
      <c r="N2949" s="10" t="str">
        <f t="shared" si="282"/>
        <v>C81</v>
      </c>
      <c r="O2949" s="5">
        <f t="shared" si="283"/>
        <v>8.9069770807861079</v>
      </c>
      <c r="P2949" s="22">
        <f>O2949/Explications!$C$8</f>
        <v>0.29689923602620361</v>
      </c>
      <c r="Q2949" s="7" t="str">
        <f t="shared" si="284"/>
        <v>C81</v>
      </c>
      <c r="R2949" s="7" t="str">
        <f t="shared" si="285"/>
        <v>C47</v>
      </c>
      <c r="S2949" s="18">
        <f t="shared" si="286"/>
        <v>8.9069770807861079</v>
      </c>
      <c r="T2949" s="18">
        <f>S2949/Explications!$C$8</f>
        <v>0.29689923602620361</v>
      </c>
    </row>
    <row r="2950" spans="7:20">
      <c r="G2950" s="7" t="s">
        <v>63</v>
      </c>
      <c r="H2950" s="7" t="s">
        <v>98</v>
      </c>
      <c r="I2950" s="7">
        <v>46.802399999999999</v>
      </c>
      <c r="J2950" s="7">
        <v>-71.269800000000004</v>
      </c>
      <c r="K2950" s="7">
        <v>46.795499999999997</v>
      </c>
      <c r="L2950" s="7">
        <v>-71.242900000000006</v>
      </c>
      <c r="M2950" s="10" t="str">
        <f t="shared" si="281"/>
        <v>C47</v>
      </c>
      <c r="N2950" s="10" t="str">
        <f t="shared" si="282"/>
        <v>C82</v>
      </c>
      <c r="O2950" s="5">
        <f t="shared" si="283"/>
        <v>2.1866428060052803</v>
      </c>
      <c r="P2950" s="22">
        <f>O2950/Explications!$C$8</f>
        <v>7.2888093533509349E-2</v>
      </c>
      <c r="Q2950" s="7" t="str">
        <f t="shared" si="284"/>
        <v>C82</v>
      </c>
      <c r="R2950" s="7" t="str">
        <f t="shared" si="285"/>
        <v>C47</v>
      </c>
      <c r="S2950" s="18">
        <f t="shared" si="286"/>
        <v>2.1866428060052803</v>
      </c>
      <c r="T2950" s="18">
        <f>S2950/Explications!$C$8</f>
        <v>7.2888093533509349E-2</v>
      </c>
    </row>
    <row r="2951" spans="7:20">
      <c r="G2951" s="7" t="s">
        <v>63</v>
      </c>
      <c r="H2951" s="7" t="s">
        <v>99</v>
      </c>
      <c r="I2951" s="7">
        <v>46.802399999999999</v>
      </c>
      <c r="J2951" s="7">
        <v>-71.269800000000004</v>
      </c>
      <c r="K2951" s="7">
        <v>46.8157</v>
      </c>
      <c r="L2951" s="7">
        <v>-71.201899999999995</v>
      </c>
      <c r="M2951" s="10" t="str">
        <f t="shared" si="281"/>
        <v>C47</v>
      </c>
      <c r="N2951" s="10" t="str">
        <f t="shared" si="282"/>
        <v>C83</v>
      </c>
      <c r="O2951" s="5">
        <f t="shared" si="283"/>
        <v>5.3750102690726012</v>
      </c>
      <c r="P2951" s="22">
        <f>O2951/Explications!$C$8</f>
        <v>0.17916700896908672</v>
      </c>
      <c r="Q2951" s="7" t="str">
        <f t="shared" si="284"/>
        <v>C83</v>
      </c>
      <c r="R2951" s="7" t="str">
        <f t="shared" si="285"/>
        <v>C47</v>
      </c>
      <c r="S2951" s="18">
        <f t="shared" si="286"/>
        <v>5.3750102690726012</v>
      </c>
      <c r="T2951" s="18">
        <f>S2951/Explications!$C$8</f>
        <v>0.17916700896908672</v>
      </c>
    </row>
    <row r="2952" spans="7:20">
      <c r="G2952" s="7" t="s">
        <v>63</v>
      </c>
      <c r="H2952" s="7" t="s">
        <v>100</v>
      </c>
      <c r="I2952" s="7">
        <v>46.802399999999999</v>
      </c>
      <c r="J2952" s="7">
        <v>-71.269800000000004</v>
      </c>
      <c r="K2952" s="7">
        <v>46.837600000000002</v>
      </c>
      <c r="L2952" s="7">
        <v>-71.196299999999994</v>
      </c>
      <c r="M2952" s="10" t="str">
        <f t="shared" si="281"/>
        <v>C47</v>
      </c>
      <c r="N2952" s="10" t="str">
        <f t="shared" si="282"/>
        <v>C84</v>
      </c>
      <c r="O2952" s="5">
        <f t="shared" si="283"/>
        <v>6.8262070474187908</v>
      </c>
      <c r="P2952" s="22">
        <f>O2952/Explications!$C$8</f>
        <v>0.22754023491395969</v>
      </c>
      <c r="Q2952" s="7" t="str">
        <f t="shared" si="284"/>
        <v>C84</v>
      </c>
      <c r="R2952" s="7" t="str">
        <f t="shared" si="285"/>
        <v>C47</v>
      </c>
      <c r="S2952" s="18">
        <f t="shared" si="286"/>
        <v>6.8262070474187908</v>
      </c>
      <c r="T2952" s="18">
        <f>S2952/Explications!$C$8</f>
        <v>0.22754023491395969</v>
      </c>
    </row>
    <row r="2953" spans="7:20">
      <c r="G2953" s="7" t="s">
        <v>63</v>
      </c>
      <c r="H2953" s="7" t="s">
        <v>101</v>
      </c>
      <c r="I2953" s="7">
        <v>46.802399999999999</v>
      </c>
      <c r="J2953" s="7">
        <v>-71.269800000000004</v>
      </c>
      <c r="K2953" s="7">
        <v>46.7988</v>
      </c>
      <c r="L2953" s="7">
        <v>-71.318200000000004</v>
      </c>
      <c r="M2953" s="10" t="str">
        <f t="shared" si="281"/>
        <v>C47</v>
      </c>
      <c r="N2953" s="10" t="str">
        <f t="shared" si="282"/>
        <v>C85</v>
      </c>
      <c r="O2953" s="5">
        <f t="shared" si="283"/>
        <v>3.7057620773143247</v>
      </c>
      <c r="P2953" s="22">
        <f>O2953/Explications!$C$8</f>
        <v>0.12352540257714416</v>
      </c>
      <c r="Q2953" s="7" t="str">
        <f t="shared" si="284"/>
        <v>C85</v>
      </c>
      <c r="R2953" s="7" t="str">
        <f t="shared" si="285"/>
        <v>C47</v>
      </c>
      <c r="S2953" s="18">
        <f t="shared" si="286"/>
        <v>3.7057620773143247</v>
      </c>
      <c r="T2953" s="18">
        <f>S2953/Explications!$C$8</f>
        <v>0.12352540257714416</v>
      </c>
    </row>
    <row r="2954" spans="7:20">
      <c r="G2954" s="7" t="s">
        <v>64</v>
      </c>
      <c r="H2954" s="7" t="s">
        <v>65</v>
      </c>
      <c r="I2954" s="7">
        <v>46.826799999999999</v>
      </c>
      <c r="J2954" s="7">
        <v>-71.224199999999996</v>
      </c>
      <c r="K2954" s="7">
        <v>46.864100000000001</v>
      </c>
      <c r="L2954" s="7">
        <v>-71.255499999999998</v>
      </c>
      <c r="M2954" s="10" t="str">
        <f t="shared" si="281"/>
        <v>C48</v>
      </c>
      <c r="N2954" s="10" t="str">
        <f t="shared" si="282"/>
        <v>C49</v>
      </c>
      <c r="O2954" s="5">
        <f t="shared" si="283"/>
        <v>4.7821597997024412</v>
      </c>
      <c r="P2954" s="22">
        <f>O2954/Explications!$C$8</f>
        <v>0.15940532665674803</v>
      </c>
      <c r="Q2954" s="7" t="str">
        <f t="shared" si="284"/>
        <v>C49</v>
      </c>
      <c r="R2954" s="7" t="str">
        <f t="shared" si="285"/>
        <v>C48</v>
      </c>
      <c r="S2954" s="18">
        <f t="shared" si="286"/>
        <v>4.7821597997024412</v>
      </c>
      <c r="T2954" s="18">
        <f>S2954/Explications!$C$8</f>
        <v>0.15940532665674803</v>
      </c>
    </row>
    <row r="2955" spans="7:20">
      <c r="G2955" s="7" t="s">
        <v>64</v>
      </c>
      <c r="H2955" s="7" t="s">
        <v>66</v>
      </c>
      <c r="I2955" s="7">
        <v>46.826799999999999</v>
      </c>
      <c r="J2955" s="7">
        <v>-71.224199999999996</v>
      </c>
      <c r="K2955" s="7">
        <v>46.843800000000002</v>
      </c>
      <c r="L2955" s="7">
        <v>-71.247299999999996</v>
      </c>
      <c r="M2955" s="10" t="str">
        <f t="shared" si="281"/>
        <v>C48</v>
      </c>
      <c r="N2955" s="10" t="str">
        <f t="shared" si="282"/>
        <v>C50</v>
      </c>
      <c r="O2955" s="5">
        <f t="shared" si="283"/>
        <v>2.5808820822555374</v>
      </c>
      <c r="P2955" s="22">
        <f>O2955/Explications!$C$8</f>
        <v>8.6029402741851252E-2</v>
      </c>
      <c r="Q2955" s="7" t="str">
        <f t="shared" si="284"/>
        <v>C50</v>
      </c>
      <c r="R2955" s="7" t="str">
        <f t="shared" si="285"/>
        <v>C48</v>
      </c>
      <c r="S2955" s="18">
        <f t="shared" si="286"/>
        <v>2.5808820822555374</v>
      </c>
      <c r="T2955" s="18">
        <f>S2955/Explications!$C$8</f>
        <v>8.6029402741851252E-2</v>
      </c>
    </row>
    <row r="2956" spans="7:20">
      <c r="G2956" s="7" t="s">
        <v>64</v>
      </c>
      <c r="H2956" s="7" t="s">
        <v>67</v>
      </c>
      <c r="I2956" s="7">
        <v>46.826799999999999</v>
      </c>
      <c r="J2956" s="7">
        <v>-71.224199999999996</v>
      </c>
      <c r="K2956" s="7">
        <v>46.765599999999999</v>
      </c>
      <c r="L2956" s="7">
        <v>-71.312100000000001</v>
      </c>
      <c r="M2956" s="10" t="str">
        <f t="shared" si="281"/>
        <v>C48</v>
      </c>
      <c r="N2956" s="10" t="str">
        <f t="shared" si="282"/>
        <v>C51</v>
      </c>
      <c r="O2956" s="5">
        <f t="shared" si="283"/>
        <v>9.5437264558870769</v>
      </c>
      <c r="P2956" s="22">
        <f>O2956/Explications!$C$8</f>
        <v>0.3181242151962359</v>
      </c>
      <c r="Q2956" s="7" t="str">
        <f t="shared" si="284"/>
        <v>C51</v>
      </c>
      <c r="R2956" s="7" t="str">
        <f t="shared" si="285"/>
        <v>C48</v>
      </c>
      <c r="S2956" s="18">
        <f t="shared" si="286"/>
        <v>9.5437264558870769</v>
      </c>
      <c r="T2956" s="18">
        <f>S2956/Explications!$C$8</f>
        <v>0.3181242151962359</v>
      </c>
    </row>
    <row r="2957" spans="7:20">
      <c r="G2957" s="7" t="s">
        <v>64</v>
      </c>
      <c r="H2957" s="7" t="s">
        <v>68</v>
      </c>
      <c r="I2957" s="7">
        <v>46.826799999999999</v>
      </c>
      <c r="J2957" s="7">
        <v>-71.224199999999996</v>
      </c>
      <c r="K2957" s="7">
        <v>46.787599999999998</v>
      </c>
      <c r="L2957" s="7">
        <v>-71.288600000000002</v>
      </c>
      <c r="M2957" s="10" t="str">
        <f t="shared" si="281"/>
        <v>C48</v>
      </c>
      <c r="N2957" s="10" t="str">
        <f t="shared" si="282"/>
        <v>C52</v>
      </c>
      <c r="O2957" s="5">
        <f t="shared" si="283"/>
        <v>6.5591737117407334</v>
      </c>
      <c r="P2957" s="22">
        <f>O2957/Explications!$C$8</f>
        <v>0.2186391237246911</v>
      </c>
      <c r="Q2957" s="7" t="str">
        <f t="shared" si="284"/>
        <v>C52</v>
      </c>
      <c r="R2957" s="7" t="str">
        <f t="shared" si="285"/>
        <v>C48</v>
      </c>
      <c r="S2957" s="18">
        <f t="shared" si="286"/>
        <v>6.5591737117407334</v>
      </c>
      <c r="T2957" s="18">
        <f>S2957/Explications!$C$8</f>
        <v>0.2186391237246911</v>
      </c>
    </row>
    <row r="2958" spans="7:20">
      <c r="G2958" s="7" t="s">
        <v>64</v>
      </c>
      <c r="H2958" s="7" t="s">
        <v>69</v>
      </c>
      <c r="I2958" s="7">
        <v>46.826799999999999</v>
      </c>
      <c r="J2958" s="7">
        <v>-71.224199999999996</v>
      </c>
      <c r="K2958" s="7">
        <v>46.764600000000002</v>
      </c>
      <c r="L2958" s="7">
        <v>-71.308300000000003</v>
      </c>
      <c r="M2958" s="10" t="str">
        <f t="shared" si="281"/>
        <v>C48</v>
      </c>
      <c r="N2958" s="10" t="str">
        <f t="shared" si="282"/>
        <v>C53</v>
      </c>
      <c r="O2958" s="5">
        <f t="shared" si="283"/>
        <v>9.4245295439004533</v>
      </c>
      <c r="P2958" s="22">
        <f>O2958/Explications!$C$8</f>
        <v>0.3141509847966818</v>
      </c>
      <c r="Q2958" s="7" t="str">
        <f t="shared" si="284"/>
        <v>C53</v>
      </c>
      <c r="R2958" s="7" t="str">
        <f t="shared" si="285"/>
        <v>C48</v>
      </c>
      <c r="S2958" s="18">
        <f t="shared" si="286"/>
        <v>9.4245295439004533</v>
      </c>
      <c r="T2958" s="18">
        <f>S2958/Explications!$C$8</f>
        <v>0.3141509847966818</v>
      </c>
    </row>
    <row r="2959" spans="7:20">
      <c r="G2959" s="7" t="s">
        <v>64</v>
      </c>
      <c r="H2959" s="7" t="s">
        <v>70</v>
      </c>
      <c r="I2959" s="7">
        <v>46.826799999999999</v>
      </c>
      <c r="J2959" s="7">
        <v>-71.224199999999996</v>
      </c>
      <c r="K2959" s="7">
        <v>46.849699999999999</v>
      </c>
      <c r="L2959" s="7">
        <v>-71.097399999999993</v>
      </c>
      <c r="M2959" s="10" t="str">
        <f t="shared" si="281"/>
        <v>C48</v>
      </c>
      <c r="N2959" s="10" t="str">
        <f t="shared" si="282"/>
        <v>C54</v>
      </c>
      <c r="O2959" s="5">
        <f t="shared" si="283"/>
        <v>9.9753906302643394</v>
      </c>
      <c r="P2959" s="22">
        <f>O2959/Explications!$C$8</f>
        <v>0.3325130210088113</v>
      </c>
      <c r="Q2959" s="7" t="str">
        <f t="shared" si="284"/>
        <v>C54</v>
      </c>
      <c r="R2959" s="7" t="str">
        <f t="shared" si="285"/>
        <v>C48</v>
      </c>
      <c r="S2959" s="18">
        <f t="shared" si="286"/>
        <v>9.9753906302643394</v>
      </c>
      <c r="T2959" s="18">
        <f>S2959/Explications!$C$8</f>
        <v>0.3325130210088113</v>
      </c>
    </row>
    <row r="2960" spans="7:20">
      <c r="G2960" s="7" t="s">
        <v>64</v>
      </c>
      <c r="H2960" s="7" t="s">
        <v>71</v>
      </c>
      <c r="I2960" s="7">
        <v>46.826799999999999</v>
      </c>
      <c r="J2960" s="7">
        <v>-71.224199999999996</v>
      </c>
      <c r="K2960" s="7">
        <v>46.788899999999998</v>
      </c>
      <c r="L2960" s="7">
        <v>-71.321399999999997</v>
      </c>
      <c r="M2960" s="10" t="str">
        <f t="shared" si="281"/>
        <v>C48</v>
      </c>
      <c r="N2960" s="10" t="str">
        <f t="shared" si="282"/>
        <v>C55</v>
      </c>
      <c r="O2960" s="5">
        <f t="shared" si="283"/>
        <v>8.5137994846886151</v>
      </c>
      <c r="P2960" s="22">
        <f>O2960/Explications!$C$8</f>
        <v>0.28379331615628717</v>
      </c>
      <c r="Q2960" s="7" t="str">
        <f t="shared" si="284"/>
        <v>C55</v>
      </c>
      <c r="R2960" s="7" t="str">
        <f t="shared" si="285"/>
        <v>C48</v>
      </c>
      <c r="S2960" s="18">
        <f t="shared" si="286"/>
        <v>8.5137994846886151</v>
      </c>
      <c r="T2960" s="18">
        <f>S2960/Explications!$C$8</f>
        <v>0.28379331615628717</v>
      </c>
    </row>
    <row r="2961" spans="7:20">
      <c r="G2961" s="7" t="s">
        <v>64</v>
      </c>
      <c r="H2961" s="7" t="s">
        <v>72</v>
      </c>
      <c r="I2961" s="7">
        <v>46.826799999999999</v>
      </c>
      <c r="J2961" s="7">
        <v>-71.224199999999996</v>
      </c>
      <c r="K2961" s="7">
        <v>46.795400000000001</v>
      </c>
      <c r="L2961" s="7">
        <v>-71.232600000000005</v>
      </c>
      <c r="M2961" s="10" t="str">
        <f t="shared" si="281"/>
        <v>C48</v>
      </c>
      <c r="N2961" s="10" t="str">
        <f t="shared" si="282"/>
        <v>C56</v>
      </c>
      <c r="O2961" s="5">
        <f t="shared" si="283"/>
        <v>3.549559257612132</v>
      </c>
      <c r="P2961" s="22">
        <f>O2961/Explications!$C$8</f>
        <v>0.11831864192040439</v>
      </c>
      <c r="Q2961" s="7" t="str">
        <f t="shared" si="284"/>
        <v>C56</v>
      </c>
      <c r="R2961" s="7" t="str">
        <f t="shared" si="285"/>
        <v>C48</v>
      </c>
      <c r="S2961" s="18">
        <f t="shared" si="286"/>
        <v>3.549559257612132</v>
      </c>
      <c r="T2961" s="18">
        <f>S2961/Explications!$C$8</f>
        <v>0.11831864192040439</v>
      </c>
    </row>
    <row r="2962" spans="7:20">
      <c r="G2962" s="7" t="s">
        <v>64</v>
      </c>
      <c r="H2962" s="7" t="s">
        <v>73</v>
      </c>
      <c r="I2962" s="7">
        <v>46.826799999999999</v>
      </c>
      <c r="J2962" s="7">
        <v>-71.224199999999996</v>
      </c>
      <c r="K2962" s="7">
        <v>46.801200000000001</v>
      </c>
      <c r="L2962" s="7">
        <v>-71.224999999999994</v>
      </c>
      <c r="M2962" s="10" t="str">
        <f t="shared" si="281"/>
        <v>C48</v>
      </c>
      <c r="N2962" s="10" t="str">
        <f t="shared" si="282"/>
        <v>C57</v>
      </c>
      <c r="O2962" s="5">
        <f t="shared" si="283"/>
        <v>2.847241037759666</v>
      </c>
      <c r="P2962" s="22">
        <f>O2962/Explications!$C$8</f>
        <v>9.4908034591988863E-2</v>
      </c>
      <c r="Q2962" s="7" t="str">
        <f t="shared" si="284"/>
        <v>C57</v>
      </c>
      <c r="R2962" s="7" t="str">
        <f t="shared" si="285"/>
        <v>C48</v>
      </c>
      <c r="S2962" s="18">
        <f t="shared" si="286"/>
        <v>2.847241037759666</v>
      </c>
      <c r="T2962" s="18">
        <f>S2962/Explications!$C$8</f>
        <v>9.4908034591988863E-2</v>
      </c>
    </row>
    <row r="2963" spans="7:20">
      <c r="G2963" s="7" t="s">
        <v>64</v>
      </c>
      <c r="H2963" s="7" t="s">
        <v>74</v>
      </c>
      <c r="I2963" s="7">
        <v>46.826799999999999</v>
      </c>
      <c r="J2963" s="7">
        <v>-71.224199999999996</v>
      </c>
      <c r="K2963" s="7">
        <v>46.773200000000003</v>
      </c>
      <c r="L2963" s="7">
        <v>-71.275899999999993</v>
      </c>
      <c r="M2963" s="10" t="str">
        <f t="shared" si="281"/>
        <v>C48</v>
      </c>
      <c r="N2963" s="10" t="str">
        <f t="shared" si="282"/>
        <v>C58</v>
      </c>
      <c r="O2963" s="5">
        <f t="shared" si="283"/>
        <v>7.142046309908018</v>
      </c>
      <c r="P2963" s="22">
        <f>O2963/Explications!$C$8</f>
        <v>0.23806821033026726</v>
      </c>
      <c r="Q2963" s="7" t="str">
        <f t="shared" si="284"/>
        <v>C58</v>
      </c>
      <c r="R2963" s="7" t="str">
        <f t="shared" si="285"/>
        <v>C48</v>
      </c>
      <c r="S2963" s="18">
        <f t="shared" si="286"/>
        <v>7.142046309908018</v>
      </c>
      <c r="T2963" s="18">
        <f>S2963/Explications!$C$8</f>
        <v>0.23806821033026726</v>
      </c>
    </row>
    <row r="2964" spans="7:20">
      <c r="G2964" s="7" t="s">
        <v>64</v>
      </c>
      <c r="H2964" s="7" t="s">
        <v>75</v>
      </c>
      <c r="I2964" s="7">
        <v>46.826799999999999</v>
      </c>
      <c r="J2964" s="7">
        <v>-71.224199999999996</v>
      </c>
      <c r="K2964" s="7">
        <v>46.814399999999999</v>
      </c>
      <c r="L2964" s="7">
        <v>-71.225700000000003</v>
      </c>
      <c r="M2964" s="10" t="str">
        <f t="shared" si="281"/>
        <v>C48</v>
      </c>
      <c r="N2964" s="10" t="str">
        <f t="shared" si="282"/>
        <v>C59</v>
      </c>
      <c r="O2964" s="5">
        <f t="shared" si="283"/>
        <v>1.3835328050123015</v>
      </c>
      <c r="P2964" s="22">
        <f>O2964/Explications!$C$8</f>
        <v>4.6117760167076714E-2</v>
      </c>
      <c r="Q2964" s="7" t="str">
        <f t="shared" si="284"/>
        <v>C59</v>
      </c>
      <c r="R2964" s="7" t="str">
        <f t="shared" si="285"/>
        <v>C48</v>
      </c>
      <c r="S2964" s="18">
        <f t="shared" si="286"/>
        <v>1.3835328050123015</v>
      </c>
      <c r="T2964" s="18">
        <f>S2964/Explications!$C$8</f>
        <v>4.6117760167076714E-2</v>
      </c>
    </row>
    <row r="2965" spans="7:20">
      <c r="G2965" s="7" t="s">
        <v>64</v>
      </c>
      <c r="H2965" s="7" t="s">
        <v>76</v>
      </c>
      <c r="I2965" s="7">
        <v>46.826799999999999</v>
      </c>
      <c r="J2965" s="7">
        <v>-71.224199999999996</v>
      </c>
      <c r="K2965" s="7">
        <v>46.772500000000001</v>
      </c>
      <c r="L2965" s="7">
        <v>-71.276300000000006</v>
      </c>
      <c r="M2965" s="10" t="str">
        <f t="shared" si="281"/>
        <v>C48</v>
      </c>
      <c r="N2965" s="10" t="str">
        <f t="shared" si="282"/>
        <v>C60</v>
      </c>
      <c r="O2965" s="5">
        <f t="shared" si="283"/>
        <v>7.2238128565378705</v>
      </c>
      <c r="P2965" s="22">
        <f>O2965/Explications!$C$8</f>
        <v>0.2407937618845957</v>
      </c>
      <c r="Q2965" s="7" t="str">
        <f t="shared" si="284"/>
        <v>C60</v>
      </c>
      <c r="R2965" s="7" t="str">
        <f t="shared" si="285"/>
        <v>C48</v>
      </c>
      <c r="S2965" s="18">
        <f t="shared" si="286"/>
        <v>7.2238128565378705</v>
      </c>
      <c r="T2965" s="18">
        <f>S2965/Explications!$C$8</f>
        <v>0.2407937618845957</v>
      </c>
    </row>
    <row r="2966" spans="7:20">
      <c r="G2966" s="7" t="s">
        <v>64</v>
      </c>
      <c r="H2966" s="7" t="s">
        <v>77</v>
      </c>
      <c r="I2966" s="7">
        <v>46.826799999999999</v>
      </c>
      <c r="J2966" s="7">
        <v>-71.224199999999996</v>
      </c>
      <c r="K2966" s="7">
        <v>46.810899999999997</v>
      </c>
      <c r="L2966" s="7">
        <v>-71.215599999999995</v>
      </c>
      <c r="M2966" s="10" t="str">
        <f t="shared" si="281"/>
        <v>C48</v>
      </c>
      <c r="N2966" s="10" t="str">
        <f t="shared" si="282"/>
        <v>C61</v>
      </c>
      <c r="O2966" s="5">
        <f t="shared" si="283"/>
        <v>1.885217167697129</v>
      </c>
      <c r="P2966" s="22">
        <f>O2966/Explications!$C$8</f>
        <v>6.284057225657097E-2</v>
      </c>
      <c r="Q2966" s="7" t="str">
        <f t="shared" si="284"/>
        <v>C61</v>
      </c>
      <c r="R2966" s="7" t="str">
        <f t="shared" si="285"/>
        <v>C48</v>
      </c>
      <c r="S2966" s="18">
        <f t="shared" si="286"/>
        <v>1.885217167697129</v>
      </c>
      <c r="T2966" s="18">
        <f>S2966/Explications!$C$8</f>
        <v>6.284057225657097E-2</v>
      </c>
    </row>
    <row r="2967" spans="7:20">
      <c r="G2967" s="7" t="s">
        <v>64</v>
      </c>
      <c r="H2967" s="7" t="s">
        <v>78</v>
      </c>
      <c r="I2967" s="7">
        <v>46.826799999999999</v>
      </c>
      <c r="J2967" s="7">
        <v>-71.224199999999996</v>
      </c>
      <c r="K2967" s="7">
        <v>46.795200000000001</v>
      </c>
      <c r="L2967" s="7">
        <v>-71.245099999999994</v>
      </c>
      <c r="M2967" s="10" t="str">
        <f t="shared" si="281"/>
        <v>C48</v>
      </c>
      <c r="N2967" s="10" t="str">
        <f t="shared" si="282"/>
        <v>C62</v>
      </c>
      <c r="O2967" s="5">
        <f t="shared" si="283"/>
        <v>3.8569856397805653</v>
      </c>
      <c r="P2967" s="22">
        <f>O2967/Explications!$C$8</f>
        <v>0.12856618799268552</v>
      </c>
      <c r="Q2967" s="7" t="str">
        <f t="shared" si="284"/>
        <v>C62</v>
      </c>
      <c r="R2967" s="7" t="str">
        <f t="shared" si="285"/>
        <v>C48</v>
      </c>
      <c r="S2967" s="18">
        <f t="shared" si="286"/>
        <v>3.8569856397805653</v>
      </c>
      <c r="T2967" s="18">
        <f>S2967/Explications!$C$8</f>
        <v>0.12856618799268552</v>
      </c>
    </row>
    <row r="2968" spans="7:20">
      <c r="G2968" s="7" t="s">
        <v>64</v>
      </c>
      <c r="H2968" s="7" t="s">
        <v>79</v>
      </c>
      <c r="I2968" s="7">
        <v>46.826799999999999</v>
      </c>
      <c r="J2968" s="7">
        <v>-71.224199999999996</v>
      </c>
      <c r="K2968" s="7">
        <v>46.822000000000003</v>
      </c>
      <c r="L2968" s="7">
        <v>-71.345699999999994</v>
      </c>
      <c r="M2968" s="10" t="str">
        <f t="shared" si="281"/>
        <v>C48</v>
      </c>
      <c r="N2968" s="10" t="str">
        <f t="shared" si="282"/>
        <v>C63</v>
      </c>
      <c r="O2968" s="5">
        <f t="shared" si="283"/>
        <v>9.2595567047478831</v>
      </c>
      <c r="P2968" s="22">
        <f>O2968/Explications!$C$8</f>
        <v>0.30865189015826278</v>
      </c>
      <c r="Q2968" s="7" t="str">
        <f t="shared" si="284"/>
        <v>C63</v>
      </c>
      <c r="R2968" s="7" t="str">
        <f t="shared" si="285"/>
        <v>C48</v>
      </c>
      <c r="S2968" s="18">
        <f t="shared" si="286"/>
        <v>9.2595567047478831</v>
      </c>
      <c r="T2968" s="18">
        <f>S2968/Explications!$C$8</f>
        <v>0.30865189015826278</v>
      </c>
    </row>
    <row r="2969" spans="7:20">
      <c r="G2969" s="7" t="s">
        <v>64</v>
      </c>
      <c r="H2969" s="7" t="s">
        <v>80</v>
      </c>
      <c r="I2969" s="7">
        <v>46.826799999999999</v>
      </c>
      <c r="J2969" s="7">
        <v>-71.224199999999996</v>
      </c>
      <c r="K2969" s="7">
        <v>46.779400000000003</v>
      </c>
      <c r="L2969" s="7">
        <v>-71.350399999999993</v>
      </c>
      <c r="M2969" s="10" t="str">
        <f t="shared" si="281"/>
        <v>C48</v>
      </c>
      <c r="N2969" s="10" t="str">
        <f t="shared" si="282"/>
        <v>C64</v>
      </c>
      <c r="O2969" s="5">
        <f t="shared" si="283"/>
        <v>10.956567031284395</v>
      </c>
      <c r="P2969" s="22">
        <f>O2969/Explications!$C$8</f>
        <v>0.36521890104281318</v>
      </c>
      <c r="Q2969" s="7" t="str">
        <f t="shared" si="284"/>
        <v>C64</v>
      </c>
      <c r="R2969" s="7" t="str">
        <f t="shared" si="285"/>
        <v>C48</v>
      </c>
      <c r="S2969" s="18">
        <f t="shared" si="286"/>
        <v>10.956567031284395</v>
      </c>
      <c r="T2969" s="18">
        <f>S2969/Explications!$C$8</f>
        <v>0.36521890104281318</v>
      </c>
    </row>
    <row r="2970" spans="7:20">
      <c r="G2970" s="7" t="s">
        <v>64</v>
      </c>
      <c r="H2970" s="7" t="s">
        <v>81</v>
      </c>
      <c r="I2970" s="7">
        <v>46.826799999999999</v>
      </c>
      <c r="J2970" s="7">
        <v>-71.224199999999996</v>
      </c>
      <c r="K2970" s="7">
        <v>46.772300000000001</v>
      </c>
      <c r="L2970" s="7">
        <v>-71.279799999999994</v>
      </c>
      <c r="M2970" s="10" t="str">
        <f t="shared" si="281"/>
        <v>C48</v>
      </c>
      <c r="N2970" s="10" t="str">
        <f t="shared" si="282"/>
        <v>C65</v>
      </c>
      <c r="O2970" s="5">
        <f t="shared" si="283"/>
        <v>7.3916610157086424</v>
      </c>
      <c r="P2970" s="22">
        <f>O2970/Explications!$C$8</f>
        <v>0.24638870052362141</v>
      </c>
      <c r="Q2970" s="7" t="str">
        <f t="shared" si="284"/>
        <v>C65</v>
      </c>
      <c r="R2970" s="7" t="str">
        <f t="shared" si="285"/>
        <v>C48</v>
      </c>
      <c r="S2970" s="18">
        <f t="shared" si="286"/>
        <v>7.3916610157086424</v>
      </c>
      <c r="T2970" s="18">
        <f>S2970/Explications!$C$8</f>
        <v>0.24638870052362141</v>
      </c>
    </row>
    <row r="2971" spans="7:20">
      <c r="G2971" s="7" t="s">
        <v>64</v>
      </c>
      <c r="H2971" s="7" t="s">
        <v>82</v>
      </c>
      <c r="I2971" s="7">
        <v>46.826799999999999</v>
      </c>
      <c r="J2971" s="7">
        <v>-71.224199999999996</v>
      </c>
      <c r="K2971" s="7">
        <v>46.814900000000002</v>
      </c>
      <c r="L2971" s="7">
        <v>-71.225200000000001</v>
      </c>
      <c r="M2971" s="10" t="str">
        <f t="shared" si="281"/>
        <v>C48</v>
      </c>
      <c r="N2971" s="10" t="str">
        <f t="shared" si="282"/>
        <v>C66</v>
      </c>
      <c r="O2971" s="5">
        <f t="shared" si="283"/>
        <v>1.3254054706939034</v>
      </c>
      <c r="P2971" s="22">
        <f>O2971/Explications!$C$8</f>
        <v>4.4180182356463447E-2</v>
      </c>
      <c r="Q2971" s="7" t="str">
        <f t="shared" si="284"/>
        <v>C66</v>
      </c>
      <c r="R2971" s="7" t="str">
        <f t="shared" si="285"/>
        <v>C48</v>
      </c>
      <c r="S2971" s="18">
        <f t="shared" si="286"/>
        <v>1.3254054706939034</v>
      </c>
      <c r="T2971" s="18">
        <f>S2971/Explications!$C$8</f>
        <v>4.4180182356463447E-2</v>
      </c>
    </row>
    <row r="2972" spans="7:20">
      <c r="G2972" s="7" t="s">
        <v>64</v>
      </c>
      <c r="H2972" s="7" t="s">
        <v>83</v>
      </c>
      <c r="I2972" s="7">
        <v>46.826799999999999</v>
      </c>
      <c r="J2972" s="7">
        <v>-71.224199999999996</v>
      </c>
      <c r="K2972" s="7">
        <v>46.814700000000002</v>
      </c>
      <c r="L2972" s="7">
        <v>-71.207300000000004</v>
      </c>
      <c r="M2972" s="10" t="str">
        <f t="shared" si="281"/>
        <v>C48</v>
      </c>
      <c r="N2972" s="10" t="str">
        <f t="shared" si="282"/>
        <v>C67</v>
      </c>
      <c r="O2972" s="5">
        <f t="shared" si="283"/>
        <v>1.8611286097780662</v>
      </c>
      <c r="P2972" s="22">
        <f>O2972/Explications!$C$8</f>
        <v>6.2037620325935537E-2</v>
      </c>
      <c r="Q2972" s="7" t="str">
        <f t="shared" si="284"/>
        <v>C67</v>
      </c>
      <c r="R2972" s="7" t="str">
        <f t="shared" si="285"/>
        <v>C48</v>
      </c>
      <c r="S2972" s="18">
        <f t="shared" si="286"/>
        <v>1.8611286097780662</v>
      </c>
      <c r="T2972" s="18">
        <f>S2972/Explications!$C$8</f>
        <v>6.2037620325935537E-2</v>
      </c>
    </row>
    <row r="2973" spans="7:20">
      <c r="G2973" s="7" t="s">
        <v>64</v>
      </c>
      <c r="H2973" s="7" t="s">
        <v>84</v>
      </c>
      <c r="I2973" s="7">
        <v>46.826799999999999</v>
      </c>
      <c r="J2973" s="7">
        <v>-71.224199999999996</v>
      </c>
      <c r="K2973" s="7">
        <v>46.815600000000003</v>
      </c>
      <c r="L2973" s="7">
        <v>-71.2029</v>
      </c>
      <c r="M2973" s="10" t="str">
        <f t="shared" si="281"/>
        <v>C48</v>
      </c>
      <c r="N2973" s="10" t="str">
        <f t="shared" si="282"/>
        <v>C68</v>
      </c>
      <c r="O2973" s="5">
        <f t="shared" si="283"/>
        <v>2.0439120103922472</v>
      </c>
      <c r="P2973" s="22">
        <f>O2973/Explications!$C$8</f>
        <v>6.8130400346408243E-2</v>
      </c>
      <c r="Q2973" s="7" t="str">
        <f t="shared" si="284"/>
        <v>C68</v>
      </c>
      <c r="R2973" s="7" t="str">
        <f t="shared" si="285"/>
        <v>C48</v>
      </c>
      <c r="S2973" s="18">
        <f t="shared" si="286"/>
        <v>2.0439120103922472</v>
      </c>
      <c r="T2973" s="18">
        <f>S2973/Explications!$C$8</f>
        <v>6.8130400346408243E-2</v>
      </c>
    </row>
    <row r="2974" spans="7:20">
      <c r="G2974" s="7" t="s">
        <v>64</v>
      </c>
      <c r="H2974" s="7" t="s">
        <v>85</v>
      </c>
      <c r="I2974" s="7">
        <v>46.826799999999999</v>
      </c>
      <c r="J2974" s="7">
        <v>-71.224199999999996</v>
      </c>
      <c r="K2974" s="7">
        <v>46.821899999999999</v>
      </c>
      <c r="L2974" s="7">
        <v>-71.249899999999997</v>
      </c>
      <c r="M2974" s="10" t="str">
        <f t="shared" si="281"/>
        <v>C48</v>
      </c>
      <c r="N2974" s="10" t="str">
        <f t="shared" si="282"/>
        <v>C69</v>
      </c>
      <c r="O2974" s="5">
        <f t="shared" si="283"/>
        <v>2.0298438253610014</v>
      </c>
      <c r="P2974" s="22">
        <f>O2974/Explications!$C$8</f>
        <v>6.7661460845366714E-2</v>
      </c>
      <c r="Q2974" s="7" t="str">
        <f t="shared" si="284"/>
        <v>C69</v>
      </c>
      <c r="R2974" s="7" t="str">
        <f t="shared" si="285"/>
        <v>C48</v>
      </c>
      <c r="S2974" s="18">
        <f t="shared" si="286"/>
        <v>2.0298438253610014</v>
      </c>
      <c r="T2974" s="18">
        <f>S2974/Explications!$C$8</f>
        <v>6.7661460845366714E-2</v>
      </c>
    </row>
    <row r="2975" spans="7:20">
      <c r="G2975" s="7" t="s">
        <v>64</v>
      </c>
      <c r="H2975" s="7" t="s">
        <v>86</v>
      </c>
      <c r="I2975" s="7">
        <v>46.826799999999999</v>
      </c>
      <c r="J2975" s="7">
        <v>-71.224199999999996</v>
      </c>
      <c r="K2975" s="7">
        <v>46.8872</v>
      </c>
      <c r="L2975" s="7">
        <v>-71.27</v>
      </c>
      <c r="M2975" s="10" t="str">
        <f t="shared" si="281"/>
        <v>C48</v>
      </c>
      <c r="N2975" s="10" t="str">
        <f t="shared" si="282"/>
        <v>C70</v>
      </c>
      <c r="O2975" s="5">
        <f t="shared" si="283"/>
        <v>7.5653755059987065</v>
      </c>
      <c r="P2975" s="22">
        <f>O2975/Explications!$C$8</f>
        <v>0.25217918353329022</v>
      </c>
      <c r="Q2975" s="7" t="str">
        <f t="shared" si="284"/>
        <v>C70</v>
      </c>
      <c r="R2975" s="7" t="str">
        <f t="shared" si="285"/>
        <v>C48</v>
      </c>
      <c r="S2975" s="18">
        <f t="shared" si="286"/>
        <v>7.5653755059987065</v>
      </c>
      <c r="T2975" s="18">
        <f>S2975/Explications!$C$8</f>
        <v>0.25217918353329022</v>
      </c>
    </row>
    <row r="2976" spans="7:20">
      <c r="G2976" s="7" t="s">
        <v>64</v>
      </c>
      <c r="H2976" s="7" t="s">
        <v>87</v>
      </c>
      <c r="I2976" s="7">
        <v>46.826799999999999</v>
      </c>
      <c r="J2976" s="7">
        <v>-71.224199999999996</v>
      </c>
      <c r="K2976" s="7">
        <v>46.816299999999998</v>
      </c>
      <c r="L2976" s="7">
        <v>-71.210300000000004</v>
      </c>
      <c r="M2976" s="10" t="str">
        <f t="shared" si="281"/>
        <v>C48</v>
      </c>
      <c r="N2976" s="10" t="str">
        <f t="shared" si="282"/>
        <v>C71</v>
      </c>
      <c r="O2976" s="5">
        <f t="shared" si="283"/>
        <v>1.5753483918857722</v>
      </c>
      <c r="P2976" s="22">
        <f>O2976/Explications!$C$8</f>
        <v>5.2511613062859078E-2</v>
      </c>
      <c r="Q2976" s="7" t="str">
        <f t="shared" si="284"/>
        <v>C71</v>
      </c>
      <c r="R2976" s="7" t="str">
        <f t="shared" si="285"/>
        <v>C48</v>
      </c>
      <c r="S2976" s="18">
        <f t="shared" si="286"/>
        <v>1.5753483918857722</v>
      </c>
      <c r="T2976" s="18">
        <f>S2976/Explications!$C$8</f>
        <v>5.2511613062859078E-2</v>
      </c>
    </row>
    <row r="2977" spans="7:20">
      <c r="G2977" s="7" t="s">
        <v>64</v>
      </c>
      <c r="H2977" s="7" t="s">
        <v>88</v>
      </c>
      <c r="I2977" s="7">
        <v>46.826799999999999</v>
      </c>
      <c r="J2977" s="7">
        <v>-71.224199999999996</v>
      </c>
      <c r="K2977" s="7">
        <v>46.807000000000002</v>
      </c>
      <c r="L2977" s="7">
        <v>-71.3566</v>
      </c>
      <c r="M2977" s="10" t="str">
        <f t="shared" si="281"/>
        <v>C48</v>
      </c>
      <c r="N2977" s="10" t="str">
        <f t="shared" si="282"/>
        <v>C72</v>
      </c>
      <c r="O2977" s="5">
        <f t="shared" si="283"/>
        <v>10.312636201436066</v>
      </c>
      <c r="P2977" s="22">
        <f>O2977/Explications!$C$8</f>
        <v>0.34375454004786887</v>
      </c>
      <c r="Q2977" s="7" t="str">
        <f t="shared" si="284"/>
        <v>C72</v>
      </c>
      <c r="R2977" s="7" t="str">
        <f t="shared" si="285"/>
        <v>C48</v>
      </c>
      <c r="S2977" s="18">
        <f t="shared" si="286"/>
        <v>10.312636201436066</v>
      </c>
      <c r="T2977" s="18">
        <f>S2977/Explications!$C$8</f>
        <v>0.34375454004786887</v>
      </c>
    </row>
    <row r="2978" spans="7:20">
      <c r="G2978" s="7" t="s">
        <v>64</v>
      </c>
      <c r="H2978" s="7" t="s">
        <v>89</v>
      </c>
      <c r="I2978" s="7">
        <v>46.826799999999999</v>
      </c>
      <c r="J2978" s="7">
        <v>-71.224199999999996</v>
      </c>
      <c r="K2978" s="7">
        <v>46.822899999999997</v>
      </c>
      <c r="L2978" s="7">
        <v>-71.341899999999995</v>
      </c>
      <c r="M2978" s="10" t="str">
        <f t="shared" si="281"/>
        <v>C48</v>
      </c>
      <c r="N2978" s="10" t="str">
        <f t="shared" si="282"/>
        <v>C73</v>
      </c>
      <c r="O2978" s="5">
        <f t="shared" si="283"/>
        <v>8.965462749726111</v>
      </c>
      <c r="P2978" s="22">
        <f>O2978/Explications!$C$8</f>
        <v>0.29884875832420371</v>
      </c>
      <c r="Q2978" s="7" t="str">
        <f t="shared" si="284"/>
        <v>C73</v>
      </c>
      <c r="R2978" s="7" t="str">
        <f t="shared" si="285"/>
        <v>C48</v>
      </c>
      <c r="S2978" s="18">
        <f t="shared" si="286"/>
        <v>8.965462749726111</v>
      </c>
      <c r="T2978" s="18">
        <f>S2978/Explications!$C$8</f>
        <v>0.29884875832420371</v>
      </c>
    </row>
    <row r="2979" spans="7:20">
      <c r="G2979" s="7" t="s">
        <v>64</v>
      </c>
      <c r="H2979" s="7" t="s">
        <v>90</v>
      </c>
      <c r="I2979" s="7">
        <v>46.826799999999999</v>
      </c>
      <c r="J2979" s="7">
        <v>-71.224199999999996</v>
      </c>
      <c r="K2979" s="7">
        <v>46.730699999999999</v>
      </c>
      <c r="L2979" s="7">
        <v>-71.261099999999999</v>
      </c>
      <c r="M2979" s="10" t="str">
        <f t="shared" si="281"/>
        <v>C48</v>
      </c>
      <c r="N2979" s="10" t="str">
        <f t="shared" si="282"/>
        <v>C74</v>
      </c>
      <c r="O2979" s="5">
        <f t="shared" si="283"/>
        <v>11.049089240731595</v>
      </c>
      <c r="P2979" s="22">
        <f>O2979/Explications!$C$8</f>
        <v>0.36830297469105316</v>
      </c>
      <c r="Q2979" s="7" t="str">
        <f t="shared" si="284"/>
        <v>C74</v>
      </c>
      <c r="R2979" s="7" t="str">
        <f t="shared" si="285"/>
        <v>C48</v>
      </c>
      <c r="S2979" s="18">
        <f t="shared" si="286"/>
        <v>11.049089240731595</v>
      </c>
      <c r="T2979" s="18">
        <f>S2979/Explications!$C$8</f>
        <v>0.36830297469105316</v>
      </c>
    </row>
    <row r="2980" spans="7:20">
      <c r="G2980" s="7" t="s">
        <v>64</v>
      </c>
      <c r="H2980" s="7" t="s">
        <v>91</v>
      </c>
      <c r="I2980" s="7">
        <v>46.826799999999999</v>
      </c>
      <c r="J2980" s="7">
        <v>-71.224199999999996</v>
      </c>
      <c r="K2980" s="7">
        <v>46.840600000000002</v>
      </c>
      <c r="L2980" s="7">
        <v>-71.289100000000005</v>
      </c>
      <c r="M2980" s="10" t="str">
        <f t="shared" si="281"/>
        <v>C48</v>
      </c>
      <c r="N2980" s="10" t="str">
        <f t="shared" si="282"/>
        <v>C75</v>
      </c>
      <c r="O2980" s="5">
        <f t="shared" si="283"/>
        <v>5.1699486245730455</v>
      </c>
      <c r="P2980" s="22">
        <f>O2980/Explications!$C$8</f>
        <v>0.17233162081910153</v>
      </c>
      <c r="Q2980" s="7" t="str">
        <f t="shared" si="284"/>
        <v>C75</v>
      </c>
      <c r="R2980" s="7" t="str">
        <f t="shared" si="285"/>
        <v>C48</v>
      </c>
      <c r="S2980" s="18">
        <f t="shared" si="286"/>
        <v>5.1699486245730455</v>
      </c>
      <c r="T2980" s="18">
        <f>S2980/Explications!$C$8</f>
        <v>0.17233162081910153</v>
      </c>
    </row>
    <row r="2981" spans="7:20">
      <c r="G2981" s="7" t="s">
        <v>64</v>
      </c>
      <c r="H2981" s="7" t="s">
        <v>92</v>
      </c>
      <c r="I2981" s="7">
        <v>46.826799999999999</v>
      </c>
      <c r="J2981" s="7">
        <v>-71.224199999999996</v>
      </c>
      <c r="K2981" s="7">
        <v>46.840600000000002</v>
      </c>
      <c r="L2981" s="7">
        <v>-71.281599999999997</v>
      </c>
      <c r="M2981" s="10" t="str">
        <f t="shared" si="281"/>
        <v>C48</v>
      </c>
      <c r="N2981" s="10" t="str">
        <f t="shared" si="282"/>
        <v>C76</v>
      </c>
      <c r="O2981" s="5">
        <f t="shared" si="283"/>
        <v>4.6282289253286706</v>
      </c>
      <c r="P2981" s="22">
        <f>O2981/Explications!$C$8</f>
        <v>0.1542742975109557</v>
      </c>
      <c r="Q2981" s="7" t="str">
        <f t="shared" si="284"/>
        <v>C76</v>
      </c>
      <c r="R2981" s="7" t="str">
        <f t="shared" si="285"/>
        <v>C48</v>
      </c>
      <c r="S2981" s="18">
        <f t="shared" si="286"/>
        <v>4.6282289253286706</v>
      </c>
      <c r="T2981" s="18">
        <f>S2981/Explications!$C$8</f>
        <v>0.1542742975109557</v>
      </c>
    </row>
    <row r="2982" spans="7:20">
      <c r="G2982" s="7" t="s">
        <v>64</v>
      </c>
      <c r="H2982" s="7" t="s">
        <v>93</v>
      </c>
      <c r="I2982" s="7">
        <v>46.826799999999999</v>
      </c>
      <c r="J2982" s="7">
        <v>-71.224199999999996</v>
      </c>
      <c r="K2982" s="7">
        <v>46.839399999999998</v>
      </c>
      <c r="L2982" s="7">
        <v>-71.282600000000002</v>
      </c>
      <c r="M2982" s="10" t="str">
        <f t="shared" si="281"/>
        <v>C48</v>
      </c>
      <c r="N2982" s="10" t="str">
        <f t="shared" si="282"/>
        <v>C77</v>
      </c>
      <c r="O2982" s="5">
        <f t="shared" si="283"/>
        <v>4.6582554826850551</v>
      </c>
      <c r="P2982" s="22">
        <f>O2982/Explications!$C$8</f>
        <v>0.1552751827561685</v>
      </c>
      <c r="Q2982" s="7" t="str">
        <f t="shared" si="284"/>
        <v>C77</v>
      </c>
      <c r="R2982" s="7" t="str">
        <f t="shared" si="285"/>
        <v>C48</v>
      </c>
      <c r="S2982" s="18">
        <f t="shared" si="286"/>
        <v>4.6582554826850551</v>
      </c>
      <c r="T2982" s="18">
        <f>S2982/Explications!$C$8</f>
        <v>0.1552751827561685</v>
      </c>
    </row>
    <row r="2983" spans="7:20">
      <c r="G2983" s="7" t="s">
        <v>64</v>
      </c>
      <c r="H2983" s="7" t="s">
        <v>94</v>
      </c>
      <c r="I2983" s="7">
        <v>46.826799999999999</v>
      </c>
      <c r="J2983" s="7">
        <v>-71.224199999999996</v>
      </c>
      <c r="K2983" s="7">
        <v>46.788499999999999</v>
      </c>
      <c r="L2983" s="7">
        <v>-71.282399999999996</v>
      </c>
      <c r="M2983" s="10" t="str">
        <f t="shared" si="281"/>
        <v>C48</v>
      </c>
      <c r="N2983" s="10" t="str">
        <f t="shared" si="282"/>
        <v>C78</v>
      </c>
      <c r="O2983" s="5">
        <f t="shared" si="283"/>
        <v>6.1446793634231076</v>
      </c>
      <c r="P2983" s="22">
        <f>O2983/Explications!$C$8</f>
        <v>0.20482264544743692</v>
      </c>
      <c r="Q2983" s="7" t="str">
        <f t="shared" si="284"/>
        <v>C78</v>
      </c>
      <c r="R2983" s="7" t="str">
        <f t="shared" si="285"/>
        <v>C48</v>
      </c>
      <c r="S2983" s="18">
        <f t="shared" si="286"/>
        <v>6.1446793634231076</v>
      </c>
      <c r="T2983" s="18">
        <f>S2983/Explications!$C$8</f>
        <v>0.20482264544743692</v>
      </c>
    </row>
    <row r="2984" spans="7:20">
      <c r="G2984" s="7" t="s">
        <v>64</v>
      </c>
      <c r="H2984" s="7" t="s">
        <v>95</v>
      </c>
      <c r="I2984" s="7">
        <v>46.826799999999999</v>
      </c>
      <c r="J2984" s="7">
        <v>-71.224199999999996</v>
      </c>
      <c r="K2984" s="7">
        <v>46.840699999999998</v>
      </c>
      <c r="L2984" s="7">
        <v>-71.325400000000002</v>
      </c>
      <c r="M2984" s="10" t="str">
        <f t="shared" si="281"/>
        <v>C48</v>
      </c>
      <c r="N2984" s="10" t="str">
        <f t="shared" si="282"/>
        <v>C79</v>
      </c>
      <c r="O2984" s="5">
        <f t="shared" si="283"/>
        <v>7.8519492493912422</v>
      </c>
      <c r="P2984" s="22">
        <f>O2984/Explications!$C$8</f>
        <v>0.26173164164637475</v>
      </c>
      <c r="Q2984" s="7" t="str">
        <f t="shared" si="284"/>
        <v>C79</v>
      </c>
      <c r="R2984" s="7" t="str">
        <f t="shared" si="285"/>
        <v>C48</v>
      </c>
      <c r="S2984" s="18">
        <f t="shared" si="286"/>
        <v>7.8519492493912422</v>
      </c>
      <c r="T2984" s="18">
        <f>S2984/Explications!$C$8</f>
        <v>0.26173164164637475</v>
      </c>
    </row>
    <row r="2985" spans="7:20">
      <c r="G2985" s="7" t="s">
        <v>64</v>
      </c>
      <c r="H2985" s="7" t="s">
        <v>96</v>
      </c>
      <c r="I2985" s="7">
        <v>46.826799999999999</v>
      </c>
      <c r="J2985" s="7">
        <v>-71.224199999999996</v>
      </c>
      <c r="K2985" s="7">
        <v>46.798400000000001</v>
      </c>
      <c r="L2985" s="7">
        <v>-71.183199999999999</v>
      </c>
      <c r="M2985" s="10" t="str">
        <f t="shared" si="281"/>
        <v>C48</v>
      </c>
      <c r="N2985" s="10" t="str">
        <f t="shared" si="282"/>
        <v>C80</v>
      </c>
      <c r="O2985" s="5">
        <f t="shared" si="283"/>
        <v>4.4393320001398795</v>
      </c>
      <c r="P2985" s="22">
        <f>O2985/Explications!$C$8</f>
        <v>0.14797773333799599</v>
      </c>
      <c r="Q2985" s="7" t="str">
        <f t="shared" si="284"/>
        <v>C80</v>
      </c>
      <c r="R2985" s="7" t="str">
        <f t="shared" si="285"/>
        <v>C48</v>
      </c>
      <c r="S2985" s="18">
        <f t="shared" si="286"/>
        <v>4.4393320001398795</v>
      </c>
      <c r="T2985" s="18">
        <f>S2985/Explications!$C$8</f>
        <v>0.14797773333799599</v>
      </c>
    </row>
    <row r="2986" spans="7:20">
      <c r="G2986" s="7" t="s">
        <v>64</v>
      </c>
      <c r="H2986" s="7" t="s">
        <v>97</v>
      </c>
      <c r="I2986" s="7">
        <v>46.826799999999999</v>
      </c>
      <c r="J2986" s="7">
        <v>-71.224199999999996</v>
      </c>
      <c r="K2986" s="7">
        <v>46.724800000000002</v>
      </c>
      <c r="L2986" s="7">
        <v>-71.2988</v>
      </c>
      <c r="M2986" s="10" t="str">
        <f t="shared" si="281"/>
        <v>C48</v>
      </c>
      <c r="N2986" s="10" t="str">
        <f t="shared" si="282"/>
        <v>C81</v>
      </c>
      <c r="O2986" s="5">
        <f t="shared" si="283"/>
        <v>12.685096132933799</v>
      </c>
      <c r="P2986" s="22">
        <f>O2986/Explications!$C$8</f>
        <v>0.42283653776445995</v>
      </c>
      <c r="Q2986" s="7" t="str">
        <f t="shared" si="284"/>
        <v>C81</v>
      </c>
      <c r="R2986" s="7" t="str">
        <f t="shared" si="285"/>
        <v>C48</v>
      </c>
      <c r="S2986" s="18">
        <f t="shared" si="286"/>
        <v>12.685096132933799</v>
      </c>
      <c r="T2986" s="18">
        <f>S2986/Explications!$C$8</f>
        <v>0.42283653776445995</v>
      </c>
    </row>
    <row r="2987" spans="7:20">
      <c r="G2987" s="7" t="s">
        <v>64</v>
      </c>
      <c r="H2987" s="7" t="s">
        <v>98</v>
      </c>
      <c r="I2987" s="7">
        <v>46.826799999999999</v>
      </c>
      <c r="J2987" s="7">
        <v>-71.224199999999996</v>
      </c>
      <c r="K2987" s="7">
        <v>46.795499999999997</v>
      </c>
      <c r="L2987" s="7">
        <v>-71.242900000000006</v>
      </c>
      <c r="M2987" s="10" t="str">
        <f t="shared" si="281"/>
        <v>C48</v>
      </c>
      <c r="N2987" s="10" t="str">
        <f t="shared" si="282"/>
        <v>C82</v>
      </c>
      <c r="O2987" s="5">
        <f t="shared" si="283"/>
        <v>3.760112725883384</v>
      </c>
      <c r="P2987" s="22">
        <f>O2987/Explications!$C$8</f>
        <v>0.12533709086277947</v>
      </c>
      <c r="Q2987" s="7" t="str">
        <f t="shared" si="284"/>
        <v>C82</v>
      </c>
      <c r="R2987" s="7" t="str">
        <f t="shared" si="285"/>
        <v>C48</v>
      </c>
      <c r="S2987" s="18">
        <f t="shared" si="286"/>
        <v>3.760112725883384</v>
      </c>
      <c r="T2987" s="18">
        <f>S2987/Explications!$C$8</f>
        <v>0.12533709086277947</v>
      </c>
    </row>
    <row r="2988" spans="7:20">
      <c r="G2988" s="7" t="s">
        <v>64</v>
      </c>
      <c r="H2988" s="7" t="s">
        <v>99</v>
      </c>
      <c r="I2988" s="7">
        <v>46.826799999999999</v>
      </c>
      <c r="J2988" s="7">
        <v>-71.224199999999996</v>
      </c>
      <c r="K2988" s="7">
        <v>46.8157</v>
      </c>
      <c r="L2988" s="7">
        <v>-71.201899999999995</v>
      </c>
      <c r="M2988" s="10" t="str">
        <f t="shared" si="281"/>
        <v>C48</v>
      </c>
      <c r="N2988" s="10" t="str">
        <f t="shared" si="282"/>
        <v>C83</v>
      </c>
      <c r="O2988" s="5">
        <f t="shared" si="283"/>
        <v>2.0981936936402654</v>
      </c>
      <c r="P2988" s="22">
        <f>O2988/Explications!$C$8</f>
        <v>6.9939789788008841E-2</v>
      </c>
      <c r="Q2988" s="7" t="str">
        <f t="shared" si="284"/>
        <v>C83</v>
      </c>
      <c r="R2988" s="7" t="str">
        <f t="shared" si="285"/>
        <v>C48</v>
      </c>
      <c r="S2988" s="18">
        <f t="shared" si="286"/>
        <v>2.0981936936402654</v>
      </c>
      <c r="T2988" s="18">
        <f>S2988/Explications!$C$8</f>
        <v>6.9939789788008841E-2</v>
      </c>
    </row>
    <row r="2989" spans="7:20">
      <c r="G2989" s="7" t="s">
        <v>64</v>
      </c>
      <c r="H2989" s="7" t="s">
        <v>100</v>
      </c>
      <c r="I2989" s="7">
        <v>46.826799999999999</v>
      </c>
      <c r="J2989" s="7">
        <v>-71.224199999999996</v>
      </c>
      <c r="K2989" s="7">
        <v>46.837600000000002</v>
      </c>
      <c r="L2989" s="7">
        <v>-71.196299999999994</v>
      </c>
      <c r="M2989" s="10" t="str">
        <f t="shared" si="281"/>
        <v>C48</v>
      </c>
      <c r="N2989" s="10" t="str">
        <f t="shared" si="282"/>
        <v>C84</v>
      </c>
      <c r="O2989" s="5">
        <f t="shared" si="283"/>
        <v>2.4386191331357088</v>
      </c>
      <c r="P2989" s="22">
        <f>O2989/Explications!$C$8</f>
        <v>8.1287304437856964E-2</v>
      </c>
      <c r="Q2989" s="7" t="str">
        <f t="shared" si="284"/>
        <v>C84</v>
      </c>
      <c r="R2989" s="7" t="str">
        <f t="shared" si="285"/>
        <v>C48</v>
      </c>
      <c r="S2989" s="18">
        <f t="shared" si="286"/>
        <v>2.4386191331357088</v>
      </c>
      <c r="T2989" s="18">
        <f>S2989/Explications!$C$8</f>
        <v>8.1287304437856964E-2</v>
      </c>
    </row>
    <row r="2990" spans="7:20">
      <c r="G2990" s="7" t="s">
        <v>64</v>
      </c>
      <c r="H2990" s="7" t="s">
        <v>101</v>
      </c>
      <c r="I2990" s="7">
        <v>46.826799999999999</v>
      </c>
      <c r="J2990" s="7">
        <v>-71.224199999999996</v>
      </c>
      <c r="K2990" s="7">
        <v>46.7988</v>
      </c>
      <c r="L2990" s="7">
        <v>-71.318200000000004</v>
      </c>
      <c r="M2990" s="10" t="str">
        <f t="shared" si="281"/>
        <v>C48</v>
      </c>
      <c r="N2990" s="10" t="str">
        <f t="shared" si="282"/>
        <v>C85</v>
      </c>
      <c r="O2990" s="5">
        <f t="shared" si="283"/>
        <v>7.8015905537147212</v>
      </c>
      <c r="P2990" s="22">
        <f>O2990/Explications!$C$8</f>
        <v>0.26005301845715739</v>
      </c>
      <c r="Q2990" s="7" t="str">
        <f t="shared" si="284"/>
        <v>C85</v>
      </c>
      <c r="R2990" s="7" t="str">
        <f t="shared" si="285"/>
        <v>C48</v>
      </c>
      <c r="S2990" s="18">
        <f t="shared" si="286"/>
        <v>7.8015905537147212</v>
      </c>
      <c r="T2990" s="18">
        <f>S2990/Explications!$C$8</f>
        <v>0.26005301845715739</v>
      </c>
    </row>
    <row r="2991" spans="7:20">
      <c r="G2991" s="7" t="s">
        <v>65</v>
      </c>
      <c r="H2991" s="7" t="s">
        <v>66</v>
      </c>
      <c r="I2991" s="7">
        <v>46.864100000000001</v>
      </c>
      <c r="J2991" s="7">
        <v>-71.255499999999998</v>
      </c>
      <c r="K2991" s="7">
        <v>46.843800000000002</v>
      </c>
      <c r="L2991" s="7">
        <v>-71.247299999999996</v>
      </c>
      <c r="M2991" s="10" t="str">
        <f t="shared" si="281"/>
        <v>C49</v>
      </c>
      <c r="N2991" s="10" t="str">
        <f t="shared" si="282"/>
        <v>C50</v>
      </c>
      <c r="O2991" s="5">
        <f t="shared" si="283"/>
        <v>2.3417973515157025</v>
      </c>
      <c r="P2991" s="22">
        <f>O2991/Explications!$C$8</f>
        <v>7.8059911717190081E-2</v>
      </c>
      <c r="Q2991" s="7" t="str">
        <f t="shared" si="284"/>
        <v>C50</v>
      </c>
      <c r="R2991" s="7" t="str">
        <f t="shared" si="285"/>
        <v>C49</v>
      </c>
      <c r="S2991" s="18">
        <f t="shared" si="286"/>
        <v>2.3417973515157025</v>
      </c>
      <c r="T2991" s="18">
        <f>S2991/Explications!$C$8</f>
        <v>7.8059911717190081E-2</v>
      </c>
    </row>
    <row r="2992" spans="7:20">
      <c r="G2992" s="7" t="s">
        <v>65</v>
      </c>
      <c r="H2992" s="7" t="s">
        <v>67</v>
      </c>
      <c r="I2992" s="7">
        <v>46.864100000000001</v>
      </c>
      <c r="J2992" s="7">
        <v>-71.255499999999998</v>
      </c>
      <c r="K2992" s="7">
        <v>46.765599999999999</v>
      </c>
      <c r="L2992" s="7">
        <v>-71.312100000000001</v>
      </c>
      <c r="M2992" s="10" t="str">
        <f t="shared" si="281"/>
        <v>C49</v>
      </c>
      <c r="N2992" s="10" t="str">
        <f t="shared" si="282"/>
        <v>C51</v>
      </c>
      <c r="O2992" s="5">
        <f t="shared" si="283"/>
        <v>11.769142851708784</v>
      </c>
      <c r="P2992" s="22">
        <f>O2992/Explications!$C$8</f>
        <v>0.39230476172362611</v>
      </c>
      <c r="Q2992" s="7" t="str">
        <f t="shared" si="284"/>
        <v>C51</v>
      </c>
      <c r="R2992" s="7" t="str">
        <f t="shared" si="285"/>
        <v>C49</v>
      </c>
      <c r="S2992" s="18">
        <f t="shared" si="286"/>
        <v>11.769142851708784</v>
      </c>
      <c r="T2992" s="18">
        <f>S2992/Explications!$C$8</f>
        <v>0.39230476172362611</v>
      </c>
    </row>
    <row r="2993" spans="7:20">
      <c r="G2993" s="7" t="s">
        <v>65</v>
      </c>
      <c r="H2993" s="7" t="s">
        <v>68</v>
      </c>
      <c r="I2993" s="7">
        <v>46.864100000000001</v>
      </c>
      <c r="J2993" s="7">
        <v>-71.255499999999998</v>
      </c>
      <c r="K2993" s="7">
        <v>46.787599999999998</v>
      </c>
      <c r="L2993" s="7">
        <v>-71.288600000000002</v>
      </c>
      <c r="M2993" s="10" t="str">
        <f t="shared" si="281"/>
        <v>C49</v>
      </c>
      <c r="N2993" s="10" t="str">
        <f t="shared" si="282"/>
        <v>C52</v>
      </c>
      <c r="O2993" s="5">
        <f t="shared" si="283"/>
        <v>8.8713514480416027</v>
      </c>
      <c r="P2993" s="22">
        <f>O2993/Explications!$C$8</f>
        <v>0.29571171493472009</v>
      </c>
      <c r="Q2993" s="7" t="str">
        <f t="shared" si="284"/>
        <v>C52</v>
      </c>
      <c r="R2993" s="7" t="str">
        <f t="shared" si="285"/>
        <v>C49</v>
      </c>
      <c r="S2993" s="18">
        <f t="shared" si="286"/>
        <v>8.8713514480416027</v>
      </c>
      <c r="T2993" s="18">
        <f>S2993/Explications!$C$8</f>
        <v>0.29571171493472009</v>
      </c>
    </row>
    <row r="2994" spans="7:20">
      <c r="G2994" s="7" t="s">
        <v>65</v>
      </c>
      <c r="H2994" s="7" t="s">
        <v>69</v>
      </c>
      <c r="I2994" s="7">
        <v>46.864100000000001</v>
      </c>
      <c r="J2994" s="7">
        <v>-71.255499999999998</v>
      </c>
      <c r="K2994" s="7">
        <v>46.764600000000002</v>
      </c>
      <c r="L2994" s="7">
        <v>-71.308300000000003</v>
      </c>
      <c r="M2994" s="10" t="str">
        <f t="shared" si="281"/>
        <v>C49</v>
      </c>
      <c r="N2994" s="10" t="str">
        <f t="shared" si="282"/>
        <v>C53</v>
      </c>
      <c r="O2994" s="5">
        <f t="shared" si="283"/>
        <v>11.770888584885258</v>
      </c>
      <c r="P2994" s="22">
        <f>O2994/Explications!$C$8</f>
        <v>0.39236295282950862</v>
      </c>
      <c r="Q2994" s="7" t="str">
        <f t="shared" si="284"/>
        <v>C53</v>
      </c>
      <c r="R2994" s="7" t="str">
        <f t="shared" si="285"/>
        <v>C49</v>
      </c>
      <c r="S2994" s="18">
        <f t="shared" si="286"/>
        <v>11.770888584885258</v>
      </c>
      <c r="T2994" s="18">
        <f>S2994/Explications!$C$8</f>
        <v>0.39236295282950862</v>
      </c>
    </row>
    <row r="2995" spans="7:20">
      <c r="G2995" s="7" t="s">
        <v>65</v>
      </c>
      <c r="H2995" s="7" t="s">
        <v>70</v>
      </c>
      <c r="I2995" s="7">
        <v>46.864100000000001</v>
      </c>
      <c r="J2995" s="7">
        <v>-71.255499999999998</v>
      </c>
      <c r="K2995" s="7">
        <v>46.849699999999999</v>
      </c>
      <c r="L2995" s="7">
        <v>-71.097399999999993</v>
      </c>
      <c r="M2995" s="10" t="str">
        <f t="shared" si="281"/>
        <v>C49</v>
      </c>
      <c r="N2995" s="10" t="str">
        <f t="shared" si="282"/>
        <v>C54</v>
      </c>
      <c r="O2995" s="5">
        <f t="shared" si="283"/>
        <v>12.127714507868067</v>
      </c>
      <c r="P2995" s="22">
        <f>O2995/Explications!$C$8</f>
        <v>0.40425715026226888</v>
      </c>
      <c r="Q2995" s="7" t="str">
        <f t="shared" si="284"/>
        <v>C54</v>
      </c>
      <c r="R2995" s="7" t="str">
        <f t="shared" si="285"/>
        <v>C49</v>
      </c>
      <c r="S2995" s="18">
        <f t="shared" si="286"/>
        <v>12.127714507868067</v>
      </c>
      <c r="T2995" s="18">
        <f>S2995/Explications!$C$8</f>
        <v>0.40425715026226888</v>
      </c>
    </row>
    <row r="2996" spans="7:20">
      <c r="G2996" s="7" t="s">
        <v>65</v>
      </c>
      <c r="H2996" s="7" t="s">
        <v>71</v>
      </c>
      <c r="I2996" s="7">
        <v>46.864100000000001</v>
      </c>
      <c r="J2996" s="7">
        <v>-71.255499999999998</v>
      </c>
      <c r="K2996" s="7">
        <v>46.788899999999998</v>
      </c>
      <c r="L2996" s="7">
        <v>-71.321399999999997</v>
      </c>
      <c r="M2996" s="10" t="str">
        <f t="shared" si="281"/>
        <v>C49</v>
      </c>
      <c r="N2996" s="10" t="str">
        <f t="shared" si="282"/>
        <v>C55</v>
      </c>
      <c r="O2996" s="5">
        <f t="shared" si="283"/>
        <v>9.7497696161563265</v>
      </c>
      <c r="P2996" s="22">
        <f>O2996/Explications!$C$8</f>
        <v>0.32499232053854421</v>
      </c>
      <c r="Q2996" s="7" t="str">
        <f t="shared" si="284"/>
        <v>C55</v>
      </c>
      <c r="R2996" s="7" t="str">
        <f t="shared" si="285"/>
        <v>C49</v>
      </c>
      <c r="S2996" s="18">
        <f t="shared" si="286"/>
        <v>9.7497696161563265</v>
      </c>
      <c r="T2996" s="18">
        <f>S2996/Explications!$C$8</f>
        <v>0.32499232053854421</v>
      </c>
    </row>
    <row r="2997" spans="7:20">
      <c r="G2997" s="7" t="s">
        <v>65</v>
      </c>
      <c r="H2997" s="7" t="s">
        <v>72</v>
      </c>
      <c r="I2997" s="7">
        <v>46.864100000000001</v>
      </c>
      <c r="J2997" s="7">
        <v>-71.255499999999998</v>
      </c>
      <c r="K2997" s="7">
        <v>46.795400000000001</v>
      </c>
      <c r="L2997" s="7">
        <v>-71.232600000000005</v>
      </c>
      <c r="M2997" s="10" t="str">
        <f t="shared" si="281"/>
        <v>C49</v>
      </c>
      <c r="N2997" s="10" t="str">
        <f t="shared" si="282"/>
        <v>C56</v>
      </c>
      <c r="O2997" s="5">
        <f t="shared" si="283"/>
        <v>7.8352265588346617</v>
      </c>
      <c r="P2997" s="22">
        <f>O2997/Explications!$C$8</f>
        <v>0.26117421862782203</v>
      </c>
      <c r="Q2997" s="7" t="str">
        <f t="shared" si="284"/>
        <v>C56</v>
      </c>
      <c r="R2997" s="7" t="str">
        <f t="shared" si="285"/>
        <v>C49</v>
      </c>
      <c r="S2997" s="18">
        <f t="shared" si="286"/>
        <v>7.8352265588346617</v>
      </c>
      <c r="T2997" s="18">
        <f>S2997/Explications!$C$8</f>
        <v>0.26117421862782203</v>
      </c>
    </row>
    <row r="2998" spans="7:20">
      <c r="G2998" s="7" t="s">
        <v>65</v>
      </c>
      <c r="H2998" s="7" t="s">
        <v>73</v>
      </c>
      <c r="I2998" s="7">
        <v>46.864100000000001</v>
      </c>
      <c r="J2998" s="7">
        <v>-71.255499999999998</v>
      </c>
      <c r="K2998" s="7">
        <v>46.801200000000001</v>
      </c>
      <c r="L2998" s="7">
        <v>-71.224999999999994</v>
      </c>
      <c r="M2998" s="10" t="str">
        <f t="shared" si="281"/>
        <v>C49</v>
      </c>
      <c r="N2998" s="10" t="str">
        <f t="shared" si="282"/>
        <v>C57</v>
      </c>
      <c r="O2998" s="5">
        <f t="shared" si="283"/>
        <v>7.3689611325151567</v>
      </c>
      <c r="P2998" s="22">
        <f>O2998/Explications!$C$8</f>
        <v>0.24563203775050521</v>
      </c>
      <c r="Q2998" s="7" t="str">
        <f t="shared" si="284"/>
        <v>C57</v>
      </c>
      <c r="R2998" s="7" t="str">
        <f t="shared" si="285"/>
        <v>C49</v>
      </c>
      <c r="S2998" s="18">
        <f t="shared" si="286"/>
        <v>7.3689611325151567</v>
      </c>
      <c r="T2998" s="18">
        <f>S2998/Explications!$C$8</f>
        <v>0.24563203775050521</v>
      </c>
    </row>
    <row r="2999" spans="7:20">
      <c r="G2999" s="7" t="s">
        <v>65</v>
      </c>
      <c r="H2999" s="7" t="s">
        <v>74</v>
      </c>
      <c r="I2999" s="7">
        <v>46.864100000000001</v>
      </c>
      <c r="J2999" s="7">
        <v>-71.255499999999998</v>
      </c>
      <c r="K2999" s="7">
        <v>46.773200000000003</v>
      </c>
      <c r="L2999" s="7">
        <v>-71.275899999999993</v>
      </c>
      <c r="M2999" s="10" t="str">
        <f t="shared" si="281"/>
        <v>C49</v>
      </c>
      <c r="N2999" s="10" t="str">
        <f t="shared" si="282"/>
        <v>C58</v>
      </c>
      <c r="O2999" s="5">
        <f t="shared" si="283"/>
        <v>10.226118781124676</v>
      </c>
      <c r="P2999" s="22">
        <f>O2999/Explications!$C$8</f>
        <v>0.34087062603748919</v>
      </c>
      <c r="Q2999" s="7" t="str">
        <f t="shared" si="284"/>
        <v>C58</v>
      </c>
      <c r="R2999" s="7" t="str">
        <f t="shared" si="285"/>
        <v>C49</v>
      </c>
      <c r="S2999" s="18">
        <f t="shared" si="286"/>
        <v>10.226118781124676</v>
      </c>
      <c r="T2999" s="18">
        <f>S2999/Explications!$C$8</f>
        <v>0.34087062603748919</v>
      </c>
    </row>
    <row r="3000" spans="7:20">
      <c r="G3000" s="7" t="s">
        <v>65</v>
      </c>
      <c r="H3000" s="7" t="s">
        <v>75</v>
      </c>
      <c r="I3000" s="7">
        <v>46.864100000000001</v>
      </c>
      <c r="J3000" s="7">
        <v>-71.255499999999998</v>
      </c>
      <c r="K3000" s="7">
        <v>46.814399999999999</v>
      </c>
      <c r="L3000" s="7">
        <v>-71.225700000000003</v>
      </c>
      <c r="M3000" s="10" t="str">
        <f t="shared" si="281"/>
        <v>C49</v>
      </c>
      <c r="N3000" s="10" t="str">
        <f t="shared" si="282"/>
        <v>C59</v>
      </c>
      <c r="O3000" s="5">
        <f t="shared" si="283"/>
        <v>5.9731680250751067</v>
      </c>
      <c r="P3000" s="22">
        <f>O3000/Explications!$C$8</f>
        <v>0.19910560083583689</v>
      </c>
      <c r="Q3000" s="7" t="str">
        <f t="shared" si="284"/>
        <v>C59</v>
      </c>
      <c r="R3000" s="7" t="str">
        <f t="shared" si="285"/>
        <v>C49</v>
      </c>
      <c r="S3000" s="18">
        <f t="shared" si="286"/>
        <v>5.9731680250751067</v>
      </c>
      <c r="T3000" s="18">
        <f>S3000/Explications!$C$8</f>
        <v>0.19910560083583689</v>
      </c>
    </row>
    <row r="3001" spans="7:20">
      <c r="G3001" s="7" t="s">
        <v>65</v>
      </c>
      <c r="H3001" s="7" t="s">
        <v>76</v>
      </c>
      <c r="I3001" s="7">
        <v>46.864100000000001</v>
      </c>
      <c r="J3001" s="7">
        <v>-71.255499999999998</v>
      </c>
      <c r="K3001" s="7">
        <v>46.772500000000001</v>
      </c>
      <c r="L3001" s="7">
        <v>-71.276300000000006</v>
      </c>
      <c r="M3001" s="10" t="str">
        <f t="shared" si="281"/>
        <v>C49</v>
      </c>
      <c r="N3001" s="10" t="str">
        <f t="shared" si="282"/>
        <v>C60</v>
      </c>
      <c r="O3001" s="5">
        <f t="shared" si="283"/>
        <v>10.307691164218133</v>
      </c>
      <c r="P3001" s="22">
        <f>O3001/Explications!$C$8</f>
        <v>0.34358970547393775</v>
      </c>
      <c r="Q3001" s="7" t="str">
        <f t="shared" si="284"/>
        <v>C60</v>
      </c>
      <c r="R3001" s="7" t="str">
        <f t="shared" si="285"/>
        <v>C49</v>
      </c>
      <c r="S3001" s="18">
        <f t="shared" si="286"/>
        <v>10.307691164218133</v>
      </c>
      <c r="T3001" s="18">
        <f>S3001/Explications!$C$8</f>
        <v>0.34358970547393775</v>
      </c>
    </row>
    <row r="3002" spans="7:20">
      <c r="G3002" s="7" t="s">
        <v>65</v>
      </c>
      <c r="H3002" s="7" t="s">
        <v>77</v>
      </c>
      <c r="I3002" s="7">
        <v>46.864100000000001</v>
      </c>
      <c r="J3002" s="7">
        <v>-71.255499999999998</v>
      </c>
      <c r="K3002" s="7">
        <v>46.810899999999997</v>
      </c>
      <c r="L3002" s="7">
        <v>-71.215599999999995</v>
      </c>
      <c r="M3002" s="10" t="str">
        <f t="shared" si="281"/>
        <v>C49</v>
      </c>
      <c r="N3002" s="10" t="str">
        <f t="shared" si="282"/>
        <v>C61</v>
      </c>
      <c r="O3002" s="5">
        <f t="shared" si="283"/>
        <v>6.6486972744944897</v>
      </c>
      <c r="P3002" s="22">
        <f>O3002/Explications!$C$8</f>
        <v>0.22162324248314966</v>
      </c>
      <c r="Q3002" s="7" t="str">
        <f t="shared" si="284"/>
        <v>C61</v>
      </c>
      <c r="R3002" s="7" t="str">
        <f t="shared" si="285"/>
        <v>C49</v>
      </c>
      <c r="S3002" s="18">
        <f t="shared" si="286"/>
        <v>6.6486972744944897</v>
      </c>
      <c r="T3002" s="18">
        <f>S3002/Explications!$C$8</f>
        <v>0.22162324248314966</v>
      </c>
    </row>
    <row r="3003" spans="7:20">
      <c r="G3003" s="7" t="s">
        <v>65</v>
      </c>
      <c r="H3003" s="7" t="s">
        <v>78</v>
      </c>
      <c r="I3003" s="7">
        <v>46.864100000000001</v>
      </c>
      <c r="J3003" s="7">
        <v>-71.255499999999998</v>
      </c>
      <c r="K3003" s="7">
        <v>46.795200000000001</v>
      </c>
      <c r="L3003" s="7">
        <v>-71.245099999999994</v>
      </c>
      <c r="M3003" s="10" t="str">
        <f t="shared" si="281"/>
        <v>C49</v>
      </c>
      <c r="N3003" s="10" t="str">
        <f t="shared" si="282"/>
        <v>C62</v>
      </c>
      <c r="O3003" s="5">
        <f t="shared" si="283"/>
        <v>7.7020756646961415</v>
      </c>
      <c r="P3003" s="22">
        <f>O3003/Explications!$C$8</f>
        <v>0.25673585548987138</v>
      </c>
      <c r="Q3003" s="7" t="str">
        <f t="shared" si="284"/>
        <v>C62</v>
      </c>
      <c r="R3003" s="7" t="str">
        <f t="shared" si="285"/>
        <v>C49</v>
      </c>
      <c r="S3003" s="18">
        <f t="shared" si="286"/>
        <v>7.7020756646961415</v>
      </c>
      <c r="T3003" s="18">
        <f>S3003/Explications!$C$8</f>
        <v>0.25673585548987138</v>
      </c>
    </row>
    <row r="3004" spans="7:20">
      <c r="G3004" s="7" t="s">
        <v>65</v>
      </c>
      <c r="H3004" s="7" t="s">
        <v>79</v>
      </c>
      <c r="I3004" s="7">
        <v>46.864100000000001</v>
      </c>
      <c r="J3004" s="7">
        <v>-71.255499999999998</v>
      </c>
      <c r="K3004" s="7">
        <v>46.822000000000003</v>
      </c>
      <c r="L3004" s="7">
        <v>-71.345699999999994</v>
      </c>
      <c r="M3004" s="10" t="str">
        <f t="shared" si="281"/>
        <v>C49</v>
      </c>
      <c r="N3004" s="10" t="str">
        <f t="shared" si="282"/>
        <v>C63</v>
      </c>
      <c r="O3004" s="5">
        <f t="shared" si="283"/>
        <v>8.3053715325743482</v>
      </c>
      <c r="P3004" s="22">
        <f>O3004/Explications!$C$8</f>
        <v>0.27684571775247829</v>
      </c>
      <c r="Q3004" s="7" t="str">
        <f t="shared" si="284"/>
        <v>C63</v>
      </c>
      <c r="R3004" s="7" t="str">
        <f t="shared" si="285"/>
        <v>C49</v>
      </c>
      <c r="S3004" s="18">
        <f t="shared" si="286"/>
        <v>8.3053715325743482</v>
      </c>
      <c r="T3004" s="18">
        <f>S3004/Explications!$C$8</f>
        <v>0.27684571775247829</v>
      </c>
    </row>
    <row r="3005" spans="7:20">
      <c r="G3005" s="7" t="s">
        <v>65</v>
      </c>
      <c r="H3005" s="7" t="s">
        <v>80</v>
      </c>
      <c r="I3005" s="7">
        <v>46.864100000000001</v>
      </c>
      <c r="J3005" s="7">
        <v>-71.255499999999998</v>
      </c>
      <c r="K3005" s="7">
        <v>46.779400000000003</v>
      </c>
      <c r="L3005" s="7">
        <v>-71.350399999999993</v>
      </c>
      <c r="M3005" s="10" t="str">
        <f t="shared" si="281"/>
        <v>C49</v>
      </c>
      <c r="N3005" s="10" t="str">
        <f t="shared" si="282"/>
        <v>C64</v>
      </c>
      <c r="O3005" s="5">
        <f t="shared" si="283"/>
        <v>11.867647115856826</v>
      </c>
      <c r="P3005" s="22">
        <f>O3005/Explications!$C$8</f>
        <v>0.39558823719522757</v>
      </c>
      <c r="Q3005" s="7" t="str">
        <f t="shared" si="284"/>
        <v>C64</v>
      </c>
      <c r="R3005" s="7" t="str">
        <f t="shared" si="285"/>
        <v>C49</v>
      </c>
      <c r="S3005" s="18">
        <f t="shared" si="286"/>
        <v>11.867647115856826</v>
      </c>
      <c r="T3005" s="18">
        <f>S3005/Explications!$C$8</f>
        <v>0.39558823719522757</v>
      </c>
    </row>
    <row r="3006" spans="7:20">
      <c r="G3006" s="7" t="s">
        <v>65</v>
      </c>
      <c r="H3006" s="7" t="s">
        <v>81</v>
      </c>
      <c r="I3006" s="7">
        <v>46.864100000000001</v>
      </c>
      <c r="J3006" s="7">
        <v>-71.255499999999998</v>
      </c>
      <c r="K3006" s="7">
        <v>46.772300000000001</v>
      </c>
      <c r="L3006" s="7">
        <v>-71.279799999999994</v>
      </c>
      <c r="M3006" s="10" t="str">
        <f t="shared" si="281"/>
        <v>C49</v>
      </c>
      <c r="N3006" s="10" t="str">
        <f t="shared" si="282"/>
        <v>C65</v>
      </c>
      <c r="O3006" s="5">
        <f t="shared" si="283"/>
        <v>10.373812644168648</v>
      </c>
      <c r="P3006" s="22">
        <f>O3006/Explications!$C$8</f>
        <v>0.34579375480562163</v>
      </c>
      <c r="Q3006" s="7" t="str">
        <f t="shared" si="284"/>
        <v>C65</v>
      </c>
      <c r="R3006" s="7" t="str">
        <f t="shared" si="285"/>
        <v>C49</v>
      </c>
      <c r="S3006" s="18">
        <f t="shared" si="286"/>
        <v>10.373812644168648</v>
      </c>
      <c r="T3006" s="18">
        <f>S3006/Explications!$C$8</f>
        <v>0.34579375480562163</v>
      </c>
    </row>
    <row r="3007" spans="7:20">
      <c r="G3007" s="7" t="s">
        <v>65</v>
      </c>
      <c r="H3007" s="7" t="s">
        <v>82</v>
      </c>
      <c r="I3007" s="7">
        <v>46.864100000000001</v>
      </c>
      <c r="J3007" s="7">
        <v>-71.255499999999998</v>
      </c>
      <c r="K3007" s="7">
        <v>46.814900000000002</v>
      </c>
      <c r="L3007" s="7">
        <v>-71.225200000000001</v>
      </c>
      <c r="M3007" s="10" t="str">
        <f t="shared" si="281"/>
        <v>C49</v>
      </c>
      <c r="N3007" s="10" t="str">
        <f t="shared" si="282"/>
        <v>C66</v>
      </c>
      <c r="O3007" s="5">
        <f t="shared" si="283"/>
        <v>5.9364237165770382</v>
      </c>
      <c r="P3007" s="22">
        <f>O3007/Explications!$C$8</f>
        <v>0.19788079055256794</v>
      </c>
      <c r="Q3007" s="7" t="str">
        <f t="shared" si="284"/>
        <v>C66</v>
      </c>
      <c r="R3007" s="7" t="str">
        <f t="shared" si="285"/>
        <v>C49</v>
      </c>
      <c r="S3007" s="18">
        <f t="shared" si="286"/>
        <v>5.9364237165770382</v>
      </c>
      <c r="T3007" s="18">
        <f>S3007/Explications!$C$8</f>
        <v>0.19788079055256794</v>
      </c>
    </row>
    <row r="3008" spans="7:20">
      <c r="G3008" s="7" t="s">
        <v>65</v>
      </c>
      <c r="H3008" s="7" t="s">
        <v>83</v>
      </c>
      <c r="I3008" s="7">
        <v>46.864100000000001</v>
      </c>
      <c r="J3008" s="7">
        <v>-71.255499999999998</v>
      </c>
      <c r="K3008" s="7">
        <v>46.814700000000002</v>
      </c>
      <c r="L3008" s="7">
        <v>-71.207300000000004</v>
      </c>
      <c r="M3008" s="10" t="str">
        <f t="shared" si="281"/>
        <v>C49</v>
      </c>
      <c r="N3008" s="10" t="str">
        <f t="shared" si="282"/>
        <v>C67</v>
      </c>
      <c r="O3008" s="5">
        <f t="shared" si="283"/>
        <v>6.6041236299373338</v>
      </c>
      <c r="P3008" s="22">
        <f>O3008/Explications!$C$8</f>
        <v>0.22013745433124446</v>
      </c>
      <c r="Q3008" s="7" t="str">
        <f t="shared" si="284"/>
        <v>C67</v>
      </c>
      <c r="R3008" s="7" t="str">
        <f t="shared" si="285"/>
        <v>C49</v>
      </c>
      <c r="S3008" s="18">
        <f t="shared" si="286"/>
        <v>6.6041236299373338</v>
      </c>
      <c r="T3008" s="18">
        <f>S3008/Explications!$C$8</f>
        <v>0.22013745433124446</v>
      </c>
    </row>
    <row r="3009" spans="7:20">
      <c r="G3009" s="7" t="s">
        <v>65</v>
      </c>
      <c r="H3009" s="7" t="s">
        <v>84</v>
      </c>
      <c r="I3009" s="7">
        <v>46.864100000000001</v>
      </c>
      <c r="J3009" s="7">
        <v>-71.255499999999998</v>
      </c>
      <c r="K3009" s="7">
        <v>46.815600000000003</v>
      </c>
      <c r="L3009" s="7">
        <v>-71.2029</v>
      </c>
      <c r="M3009" s="10" t="str">
        <f t="shared" si="281"/>
        <v>C49</v>
      </c>
      <c r="N3009" s="10" t="str">
        <f t="shared" si="282"/>
        <v>C68</v>
      </c>
      <c r="O3009" s="5">
        <f t="shared" si="283"/>
        <v>6.7149639615700965</v>
      </c>
      <c r="P3009" s="22">
        <f>O3009/Explications!$C$8</f>
        <v>0.22383213205233654</v>
      </c>
      <c r="Q3009" s="7" t="str">
        <f t="shared" si="284"/>
        <v>C68</v>
      </c>
      <c r="R3009" s="7" t="str">
        <f t="shared" si="285"/>
        <v>C49</v>
      </c>
      <c r="S3009" s="18">
        <f t="shared" si="286"/>
        <v>6.7149639615700965</v>
      </c>
      <c r="T3009" s="18">
        <f>S3009/Explications!$C$8</f>
        <v>0.22383213205233654</v>
      </c>
    </row>
    <row r="3010" spans="7:20">
      <c r="G3010" s="7" t="s">
        <v>65</v>
      </c>
      <c r="H3010" s="7" t="s">
        <v>85</v>
      </c>
      <c r="I3010" s="7">
        <v>46.864100000000001</v>
      </c>
      <c r="J3010" s="7">
        <v>-71.255499999999998</v>
      </c>
      <c r="K3010" s="7">
        <v>46.821899999999999</v>
      </c>
      <c r="L3010" s="7">
        <v>-71.249899999999997</v>
      </c>
      <c r="M3010" s="10" t="str">
        <f t="shared" si="281"/>
        <v>C49</v>
      </c>
      <c r="N3010" s="10" t="str">
        <f t="shared" si="282"/>
        <v>C69</v>
      </c>
      <c r="O3010" s="5">
        <f t="shared" si="283"/>
        <v>4.7117161918677208</v>
      </c>
      <c r="P3010" s="22">
        <f>O3010/Explications!$C$8</f>
        <v>0.1570572063955907</v>
      </c>
      <c r="Q3010" s="7" t="str">
        <f t="shared" si="284"/>
        <v>C69</v>
      </c>
      <c r="R3010" s="7" t="str">
        <f t="shared" si="285"/>
        <v>C49</v>
      </c>
      <c r="S3010" s="18">
        <f t="shared" si="286"/>
        <v>4.7117161918677208</v>
      </c>
      <c r="T3010" s="18">
        <f>S3010/Explications!$C$8</f>
        <v>0.1570572063955907</v>
      </c>
    </row>
    <row r="3011" spans="7:20">
      <c r="G3011" s="7" t="s">
        <v>65</v>
      </c>
      <c r="H3011" s="7" t="s">
        <v>86</v>
      </c>
      <c r="I3011" s="7">
        <v>46.864100000000001</v>
      </c>
      <c r="J3011" s="7">
        <v>-71.255499999999998</v>
      </c>
      <c r="K3011" s="7">
        <v>46.8872</v>
      </c>
      <c r="L3011" s="7">
        <v>-71.27</v>
      </c>
      <c r="M3011" s="10" t="str">
        <f t="shared" si="281"/>
        <v>C49</v>
      </c>
      <c r="N3011" s="10" t="str">
        <f t="shared" si="282"/>
        <v>C70</v>
      </c>
      <c r="O3011" s="5">
        <f t="shared" si="283"/>
        <v>2.7950810828884185</v>
      </c>
      <c r="P3011" s="22">
        <f>O3011/Explications!$C$8</f>
        <v>9.3169369429613944E-2</v>
      </c>
      <c r="Q3011" s="7" t="str">
        <f t="shared" si="284"/>
        <v>C70</v>
      </c>
      <c r="R3011" s="7" t="str">
        <f t="shared" si="285"/>
        <v>C49</v>
      </c>
      <c r="S3011" s="18">
        <f t="shared" si="286"/>
        <v>2.7950810828884185</v>
      </c>
      <c r="T3011" s="18">
        <f>S3011/Explications!$C$8</f>
        <v>9.3169369429613944E-2</v>
      </c>
    </row>
    <row r="3012" spans="7:20">
      <c r="G3012" s="7" t="s">
        <v>65</v>
      </c>
      <c r="H3012" s="7" t="s">
        <v>87</v>
      </c>
      <c r="I3012" s="7">
        <v>46.864100000000001</v>
      </c>
      <c r="J3012" s="7">
        <v>-71.255499999999998</v>
      </c>
      <c r="K3012" s="7">
        <v>46.816299999999998</v>
      </c>
      <c r="L3012" s="7">
        <v>-71.210300000000004</v>
      </c>
      <c r="M3012" s="10" t="str">
        <f t="shared" ref="M3012:M3075" si="287">G3012</f>
        <v>C49</v>
      </c>
      <c r="N3012" s="10" t="str">
        <f t="shared" ref="N3012:N3075" si="288">H3012</f>
        <v>C71</v>
      </c>
      <c r="O3012" s="5">
        <f t="shared" ref="O3012:O3075" si="289">ACOS(SIN(RADIANS(I3012))*SIN(RADIANS(K3012))+COS(RADIANS(I3012))*COS(RADIANS(K3012))*COS(RADIANS(J3012-L3012)))*6371</f>
        <v>6.3300952352049276</v>
      </c>
      <c r="P3012" s="22">
        <f>O3012/Explications!$C$8</f>
        <v>0.21100317450683093</v>
      </c>
      <c r="Q3012" s="7" t="str">
        <f t="shared" ref="Q3012:Q3075" si="290">N3012</f>
        <v>C71</v>
      </c>
      <c r="R3012" s="7" t="str">
        <f t="shared" ref="R3012:R3075" si="291">M3012</f>
        <v>C49</v>
      </c>
      <c r="S3012" s="18">
        <f t="shared" ref="S3012:S3075" si="292">O3012</f>
        <v>6.3300952352049276</v>
      </c>
      <c r="T3012" s="18">
        <f>S3012/Explications!$C$8</f>
        <v>0.21100317450683093</v>
      </c>
    </row>
    <row r="3013" spans="7:20">
      <c r="G3013" s="7" t="s">
        <v>65</v>
      </c>
      <c r="H3013" s="7" t="s">
        <v>88</v>
      </c>
      <c r="I3013" s="7">
        <v>46.864100000000001</v>
      </c>
      <c r="J3013" s="7">
        <v>-71.255499999999998</v>
      </c>
      <c r="K3013" s="7">
        <v>46.807000000000002</v>
      </c>
      <c r="L3013" s="7">
        <v>-71.3566</v>
      </c>
      <c r="M3013" s="10" t="str">
        <f t="shared" si="287"/>
        <v>C49</v>
      </c>
      <c r="N3013" s="10" t="str">
        <f t="shared" si="288"/>
        <v>C72</v>
      </c>
      <c r="O3013" s="5">
        <f t="shared" si="289"/>
        <v>9.9727567096657879</v>
      </c>
      <c r="P3013" s="22">
        <f>O3013/Explications!$C$8</f>
        <v>0.33242522365552624</v>
      </c>
      <c r="Q3013" s="7" t="str">
        <f t="shared" si="290"/>
        <v>C72</v>
      </c>
      <c r="R3013" s="7" t="str">
        <f t="shared" si="291"/>
        <v>C49</v>
      </c>
      <c r="S3013" s="18">
        <f t="shared" si="292"/>
        <v>9.9727567096657879</v>
      </c>
      <c r="T3013" s="18">
        <f>S3013/Explications!$C$8</f>
        <v>0.33242522365552624</v>
      </c>
    </row>
    <row r="3014" spans="7:20">
      <c r="G3014" s="7" t="s">
        <v>65</v>
      </c>
      <c r="H3014" s="7" t="s">
        <v>89</v>
      </c>
      <c r="I3014" s="7">
        <v>46.864100000000001</v>
      </c>
      <c r="J3014" s="7">
        <v>-71.255499999999998</v>
      </c>
      <c r="K3014" s="7">
        <v>46.822899999999997</v>
      </c>
      <c r="L3014" s="7">
        <v>-71.341899999999995</v>
      </c>
      <c r="M3014" s="10" t="str">
        <f t="shared" si="287"/>
        <v>C49</v>
      </c>
      <c r="N3014" s="10" t="str">
        <f t="shared" si="288"/>
        <v>C73</v>
      </c>
      <c r="O3014" s="5">
        <f t="shared" si="289"/>
        <v>8.0105882052880659</v>
      </c>
      <c r="P3014" s="22">
        <f>O3014/Explications!$C$8</f>
        <v>0.26701960684293552</v>
      </c>
      <c r="Q3014" s="7" t="str">
        <f t="shared" si="290"/>
        <v>C73</v>
      </c>
      <c r="R3014" s="7" t="str">
        <f t="shared" si="291"/>
        <v>C49</v>
      </c>
      <c r="S3014" s="18">
        <f t="shared" si="292"/>
        <v>8.0105882052880659</v>
      </c>
      <c r="T3014" s="18">
        <f>S3014/Explications!$C$8</f>
        <v>0.26701960684293552</v>
      </c>
    </row>
    <row r="3015" spans="7:20">
      <c r="G3015" s="7" t="s">
        <v>65</v>
      </c>
      <c r="H3015" s="7" t="s">
        <v>90</v>
      </c>
      <c r="I3015" s="7">
        <v>46.864100000000001</v>
      </c>
      <c r="J3015" s="7">
        <v>-71.255499999999998</v>
      </c>
      <c r="K3015" s="7">
        <v>46.730699999999999</v>
      </c>
      <c r="L3015" s="7">
        <v>-71.261099999999999</v>
      </c>
      <c r="M3015" s="10" t="str">
        <f t="shared" si="287"/>
        <v>C49</v>
      </c>
      <c r="N3015" s="10" t="str">
        <f t="shared" si="288"/>
        <v>C74</v>
      </c>
      <c r="O3015" s="5">
        <f t="shared" si="289"/>
        <v>14.839527188637522</v>
      </c>
      <c r="P3015" s="22">
        <f>O3015/Explications!$C$8</f>
        <v>0.49465090628791741</v>
      </c>
      <c r="Q3015" s="7" t="str">
        <f t="shared" si="290"/>
        <v>C74</v>
      </c>
      <c r="R3015" s="7" t="str">
        <f t="shared" si="291"/>
        <v>C49</v>
      </c>
      <c r="S3015" s="18">
        <f t="shared" si="292"/>
        <v>14.839527188637522</v>
      </c>
      <c r="T3015" s="18">
        <f>S3015/Explications!$C$8</f>
        <v>0.49465090628791741</v>
      </c>
    </row>
    <row r="3016" spans="7:20">
      <c r="G3016" s="7" t="s">
        <v>65</v>
      </c>
      <c r="H3016" s="7" t="s">
        <v>91</v>
      </c>
      <c r="I3016" s="7">
        <v>46.864100000000001</v>
      </c>
      <c r="J3016" s="7">
        <v>-71.255499999999998</v>
      </c>
      <c r="K3016" s="7">
        <v>46.840600000000002</v>
      </c>
      <c r="L3016" s="7">
        <v>-71.289100000000005</v>
      </c>
      <c r="M3016" s="10" t="str">
        <f t="shared" si="287"/>
        <v>C49</v>
      </c>
      <c r="N3016" s="10" t="str">
        <f t="shared" si="288"/>
        <v>C75</v>
      </c>
      <c r="O3016" s="5">
        <f t="shared" si="289"/>
        <v>3.6546721820063284</v>
      </c>
      <c r="P3016" s="22">
        <f>O3016/Explications!$C$8</f>
        <v>0.12182240606687761</v>
      </c>
      <c r="Q3016" s="7" t="str">
        <f t="shared" si="290"/>
        <v>C75</v>
      </c>
      <c r="R3016" s="7" t="str">
        <f t="shared" si="291"/>
        <v>C49</v>
      </c>
      <c r="S3016" s="18">
        <f t="shared" si="292"/>
        <v>3.6546721820063284</v>
      </c>
      <c r="T3016" s="18">
        <f>S3016/Explications!$C$8</f>
        <v>0.12182240606687761</v>
      </c>
    </row>
    <row r="3017" spans="7:20">
      <c r="G3017" s="7" t="s">
        <v>65</v>
      </c>
      <c r="H3017" s="7" t="s">
        <v>92</v>
      </c>
      <c r="I3017" s="7">
        <v>46.864100000000001</v>
      </c>
      <c r="J3017" s="7">
        <v>-71.255499999999998</v>
      </c>
      <c r="K3017" s="7">
        <v>46.840600000000002</v>
      </c>
      <c r="L3017" s="7">
        <v>-71.281599999999997</v>
      </c>
      <c r="M3017" s="10" t="str">
        <f t="shared" si="287"/>
        <v>C49</v>
      </c>
      <c r="N3017" s="10" t="str">
        <f t="shared" si="288"/>
        <v>C76</v>
      </c>
      <c r="O3017" s="5">
        <f t="shared" si="289"/>
        <v>3.2813754139565079</v>
      </c>
      <c r="P3017" s="22">
        <f>O3017/Explications!$C$8</f>
        <v>0.10937918046521693</v>
      </c>
      <c r="Q3017" s="7" t="str">
        <f t="shared" si="290"/>
        <v>C76</v>
      </c>
      <c r="R3017" s="7" t="str">
        <f t="shared" si="291"/>
        <v>C49</v>
      </c>
      <c r="S3017" s="18">
        <f t="shared" si="292"/>
        <v>3.2813754139565079</v>
      </c>
      <c r="T3017" s="18">
        <f>S3017/Explications!$C$8</f>
        <v>0.10937918046521693</v>
      </c>
    </row>
    <row r="3018" spans="7:20">
      <c r="G3018" s="7" t="s">
        <v>65</v>
      </c>
      <c r="H3018" s="7" t="s">
        <v>93</v>
      </c>
      <c r="I3018" s="7">
        <v>46.864100000000001</v>
      </c>
      <c r="J3018" s="7">
        <v>-71.255499999999998</v>
      </c>
      <c r="K3018" s="7">
        <v>46.839399999999998</v>
      </c>
      <c r="L3018" s="7">
        <v>-71.282600000000002</v>
      </c>
      <c r="M3018" s="10" t="str">
        <f t="shared" si="287"/>
        <v>C49</v>
      </c>
      <c r="N3018" s="10" t="str">
        <f t="shared" si="288"/>
        <v>C77</v>
      </c>
      <c r="O3018" s="5">
        <f t="shared" si="289"/>
        <v>3.4337022190245161</v>
      </c>
      <c r="P3018" s="22">
        <f>O3018/Explications!$C$8</f>
        <v>0.11445674063415054</v>
      </c>
      <c r="Q3018" s="7" t="str">
        <f t="shared" si="290"/>
        <v>C77</v>
      </c>
      <c r="R3018" s="7" t="str">
        <f t="shared" si="291"/>
        <v>C49</v>
      </c>
      <c r="S3018" s="18">
        <f t="shared" si="292"/>
        <v>3.4337022190245161</v>
      </c>
      <c r="T3018" s="18">
        <f>S3018/Explications!$C$8</f>
        <v>0.11445674063415054</v>
      </c>
    </row>
    <row r="3019" spans="7:20">
      <c r="G3019" s="7" t="s">
        <v>65</v>
      </c>
      <c r="H3019" s="7" t="s">
        <v>94</v>
      </c>
      <c r="I3019" s="7">
        <v>46.864100000000001</v>
      </c>
      <c r="J3019" s="7">
        <v>-71.255499999999998</v>
      </c>
      <c r="K3019" s="7">
        <v>46.788499999999999</v>
      </c>
      <c r="L3019" s="7">
        <v>-71.282399999999996</v>
      </c>
      <c r="M3019" s="10" t="str">
        <f t="shared" si="287"/>
        <v>C49</v>
      </c>
      <c r="N3019" s="10" t="str">
        <f t="shared" si="288"/>
        <v>C78</v>
      </c>
      <c r="O3019" s="5">
        <f t="shared" si="289"/>
        <v>8.6518766493842367</v>
      </c>
      <c r="P3019" s="22">
        <f>O3019/Explications!$C$8</f>
        <v>0.28839588831280788</v>
      </c>
      <c r="Q3019" s="7" t="str">
        <f t="shared" si="290"/>
        <v>C78</v>
      </c>
      <c r="R3019" s="7" t="str">
        <f t="shared" si="291"/>
        <v>C49</v>
      </c>
      <c r="S3019" s="18">
        <f t="shared" si="292"/>
        <v>8.6518766493842367</v>
      </c>
      <c r="T3019" s="18">
        <f>S3019/Explications!$C$8</f>
        <v>0.28839588831280788</v>
      </c>
    </row>
    <row r="3020" spans="7:20">
      <c r="G3020" s="7" t="s">
        <v>65</v>
      </c>
      <c r="H3020" s="7" t="s">
        <v>95</v>
      </c>
      <c r="I3020" s="7">
        <v>46.864100000000001</v>
      </c>
      <c r="J3020" s="7">
        <v>-71.255499999999998</v>
      </c>
      <c r="K3020" s="7">
        <v>46.840699999999998</v>
      </c>
      <c r="L3020" s="7">
        <v>-71.325400000000002</v>
      </c>
      <c r="M3020" s="10" t="str">
        <f t="shared" si="287"/>
        <v>C49</v>
      </c>
      <c r="N3020" s="10" t="str">
        <f t="shared" si="288"/>
        <v>C79</v>
      </c>
      <c r="O3020" s="5">
        <f t="shared" si="289"/>
        <v>5.9181484631148571</v>
      </c>
      <c r="P3020" s="22">
        <f>O3020/Explications!$C$8</f>
        <v>0.1972716154371619</v>
      </c>
      <c r="Q3020" s="7" t="str">
        <f t="shared" si="290"/>
        <v>C79</v>
      </c>
      <c r="R3020" s="7" t="str">
        <f t="shared" si="291"/>
        <v>C49</v>
      </c>
      <c r="S3020" s="18">
        <f t="shared" si="292"/>
        <v>5.9181484631148571</v>
      </c>
      <c r="T3020" s="18">
        <f>S3020/Explications!$C$8</f>
        <v>0.1972716154371619</v>
      </c>
    </row>
    <row r="3021" spans="7:20">
      <c r="G3021" s="7" t="s">
        <v>65</v>
      </c>
      <c r="H3021" s="7" t="s">
        <v>96</v>
      </c>
      <c r="I3021" s="7">
        <v>46.864100000000001</v>
      </c>
      <c r="J3021" s="7">
        <v>-71.255499999999998</v>
      </c>
      <c r="K3021" s="7">
        <v>46.798400000000001</v>
      </c>
      <c r="L3021" s="7">
        <v>-71.183199999999999</v>
      </c>
      <c r="M3021" s="10" t="str">
        <f t="shared" si="287"/>
        <v>C49</v>
      </c>
      <c r="N3021" s="10" t="str">
        <f t="shared" si="288"/>
        <v>C80</v>
      </c>
      <c r="O3021" s="5">
        <f t="shared" si="289"/>
        <v>9.1445075678282919</v>
      </c>
      <c r="P3021" s="22">
        <f>O3021/Explications!$C$8</f>
        <v>0.3048169189276097</v>
      </c>
      <c r="Q3021" s="7" t="str">
        <f t="shared" si="290"/>
        <v>C80</v>
      </c>
      <c r="R3021" s="7" t="str">
        <f t="shared" si="291"/>
        <v>C49</v>
      </c>
      <c r="S3021" s="18">
        <f t="shared" si="292"/>
        <v>9.1445075678282919</v>
      </c>
      <c r="T3021" s="18">
        <f>S3021/Explications!$C$8</f>
        <v>0.3048169189276097</v>
      </c>
    </row>
    <row r="3022" spans="7:20">
      <c r="G3022" s="7" t="s">
        <v>65</v>
      </c>
      <c r="H3022" s="7" t="s">
        <v>97</v>
      </c>
      <c r="I3022" s="7">
        <v>46.864100000000001</v>
      </c>
      <c r="J3022" s="7">
        <v>-71.255499999999998</v>
      </c>
      <c r="K3022" s="7">
        <v>46.724800000000002</v>
      </c>
      <c r="L3022" s="7">
        <v>-71.2988</v>
      </c>
      <c r="M3022" s="10" t="str">
        <f t="shared" si="287"/>
        <v>C49</v>
      </c>
      <c r="N3022" s="10" t="str">
        <f t="shared" si="288"/>
        <v>C81</v>
      </c>
      <c r="O3022" s="5">
        <f t="shared" si="289"/>
        <v>15.836301530520203</v>
      </c>
      <c r="P3022" s="22">
        <f>O3022/Explications!$C$8</f>
        <v>0.52787671768400679</v>
      </c>
      <c r="Q3022" s="7" t="str">
        <f t="shared" si="290"/>
        <v>C81</v>
      </c>
      <c r="R3022" s="7" t="str">
        <f t="shared" si="291"/>
        <v>C49</v>
      </c>
      <c r="S3022" s="18">
        <f t="shared" si="292"/>
        <v>15.836301530520203</v>
      </c>
      <c r="T3022" s="18">
        <f>S3022/Explications!$C$8</f>
        <v>0.52787671768400679</v>
      </c>
    </row>
    <row r="3023" spans="7:20">
      <c r="G3023" s="7" t="s">
        <v>65</v>
      </c>
      <c r="H3023" s="7" t="s">
        <v>98</v>
      </c>
      <c r="I3023" s="7">
        <v>46.864100000000001</v>
      </c>
      <c r="J3023" s="7">
        <v>-71.255499999999998</v>
      </c>
      <c r="K3023" s="7">
        <v>46.795499999999997</v>
      </c>
      <c r="L3023" s="7">
        <v>-71.242900000000006</v>
      </c>
      <c r="M3023" s="10" t="str">
        <f t="shared" si="287"/>
        <v>C49</v>
      </c>
      <c r="N3023" s="10" t="str">
        <f t="shared" si="288"/>
        <v>C82</v>
      </c>
      <c r="O3023" s="5">
        <f t="shared" si="289"/>
        <v>7.6879638678434388</v>
      </c>
      <c r="P3023" s="22">
        <f>O3023/Explications!$C$8</f>
        <v>0.25626546226144797</v>
      </c>
      <c r="Q3023" s="7" t="str">
        <f t="shared" si="290"/>
        <v>C82</v>
      </c>
      <c r="R3023" s="7" t="str">
        <f t="shared" si="291"/>
        <v>C49</v>
      </c>
      <c r="S3023" s="18">
        <f t="shared" si="292"/>
        <v>7.6879638678434388</v>
      </c>
      <c r="T3023" s="18">
        <f>S3023/Explications!$C$8</f>
        <v>0.25626546226144797</v>
      </c>
    </row>
    <row r="3024" spans="7:20">
      <c r="G3024" s="7" t="s">
        <v>65</v>
      </c>
      <c r="H3024" s="7" t="s">
        <v>99</v>
      </c>
      <c r="I3024" s="7">
        <v>46.864100000000001</v>
      </c>
      <c r="J3024" s="7">
        <v>-71.255499999999998</v>
      </c>
      <c r="K3024" s="7">
        <v>46.8157</v>
      </c>
      <c r="L3024" s="7">
        <v>-71.201899999999995</v>
      </c>
      <c r="M3024" s="10" t="str">
        <f t="shared" si="287"/>
        <v>C49</v>
      </c>
      <c r="N3024" s="10" t="str">
        <f t="shared" si="288"/>
        <v>C83</v>
      </c>
      <c r="O3024" s="5">
        <f t="shared" si="289"/>
        <v>6.7516893012105417</v>
      </c>
      <c r="P3024" s="22">
        <f>O3024/Explications!$C$8</f>
        <v>0.2250563100403514</v>
      </c>
      <c r="Q3024" s="7" t="str">
        <f t="shared" si="290"/>
        <v>C83</v>
      </c>
      <c r="R3024" s="7" t="str">
        <f t="shared" si="291"/>
        <v>C49</v>
      </c>
      <c r="S3024" s="18">
        <f t="shared" si="292"/>
        <v>6.7516893012105417</v>
      </c>
      <c r="T3024" s="18">
        <f>S3024/Explications!$C$8</f>
        <v>0.2250563100403514</v>
      </c>
    </row>
    <row r="3025" spans="7:20">
      <c r="G3025" s="7" t="s">
        <v>65</v>
      </c>
      <c r="H3025" s="7" t="s">
        <v>100</v>
      </c>
      <c r="I3025" s="7">
        <v>46.864100000000001</v>
      </c>
      <c r="J3025" s="7">
        <v>-71.255499999999998</v>
      </c>
      <c r="K3025" s="7">
        <v>46.837600000000002</v>
      </c>
      <c r="L3025" s="7">
        <v>-71.196299999999994</v>
      </c>
      <c r="M3025" s="10" t="str">
        <f t="shared" si="287"/>
        <v>C49</v>
      </c>
      <c r="N3025" s="10" t="str">
        <f t="shared" si="288"/>
        <v>C84</v>
      </c>
      <c r="O3025" s="5">
        <f t="shared" si="289"/>
        <v>5.3805438988104939</v>
      </c>
      <c r="P3025" s="22">
        <f>O3025/Explications!$C$8</f>
        <v>0.17935146329368312</v>
      </c>
      <c r="Q3025" s="7" t="str">
        <f t="shared" si="290"/>
        <v>C84</v>
      </c>
      <c r="R3025" s="7" t="str">
        <f t="shared" si="291"/>
        <v>C49</v>
      </c>
      <c r="S3025" s="18">
        <f t="shared" si="292"/>
        <v>5.3805438988104939</v>
      </c>
      <c r="T3025" s="18">
        <f>S3025/Explications!$C$8</f>
        <v>0.17935146329368312</v>
      </c>
    </row>
    <row r="3026" spans="7:20">
      <c r="G3026" s="7" t="s">
        <v>65</v>
      </c>
      <c r="H3026" s="7" t="s">
        <v>101</v>
      </c>
      <c r="I3026" s="7">
        <v>46.864100000000001</v>
      </c>
      <c r="J3026" s="7">
        <v>-71.255499999999998</v>
      </c>
      <c r="K3026" s="7">
        <v>46.7988</v>
      </c>
      <c r="L3026" s="7">
        <v>-71.318200000000004</v>
      </c>
      <c r="M3026" s="10" t="str">
        <f t="shared" si="287"/>
        <v>C49</v>
      </c>
      <c r="N3026" s="10" t="str">
        <f t="shared" si="288"/>
        <v>C85</v>
      </c>
      <c r="O3026" s="5">
        <f t="shared" si="289"/>
        <v>8.6875597643876308</v>
      </c>
      <c r="P3026" s="22">
        <f>O3026/Explications!$C$8</f>
        <v>0.28958532547958771</v>
      </c>
      <c r="Q3026" s="7" t="str">
        <f t="shared" si="290"/>
        <v>C85</v>
      </c>
      <c r="R3026" s="7" t="str">
        <f t="shared" si="291"/>
        <v>C49</v>
      </c>
      <c r="S3026" s="18">
        <f t="shared" si="292"/>
        <v>8.6875597643876308</v>
      </c>
      <c r="T3026" s="18">
        <f>S3026/Explications!$C$8</f>
        <v>0.28958532547958771</v>
      </c>
    </row>
    <row r="3027" spans="7:20">
      <c r="G3027" s="7" t="s">
        <v>66</v>
      </c>
      <c r="H3027" s="7" t="s">
        <v>67</v>
      </c>
      <c r="I3027" s="7">
        <v>46.843800000000002</v>
      </c>
      <c r="J3027" s="7">
        <v>-71.247299999999996</v>
      </c>
      <c r="K3027" s="7">
        <v>46.765599999999999</v>
      </c>
      <c r="L3027" s="7">
        <v>-71.312100000000001</v>
      </c>
      <c r="M3027" s="10" t="str">
        <f t="shared" si="287"/>
        <v>C50</v>
      </c>
      <c r="N3027" s="10" t="str">
        <f t="shared" si="288"/>
        <v>C51</v>
      </c>
      <c r="O3027" s="5">
        <f t="shared" si="289"/>
        <v>9.9967793922457489</v>
      </c>
      <c r="P3027" s="22">
        <f>O3027/Explications!$C$8</f>
        <v>0.33322597974152496</v>
      </c>
      <c r="Q3027" s="7" t="str">
        <f t="shared" si="290"/>
        <v>C51</v>
      </c>
      <c r="R3027" s="7" t="str">
        <f t="shared" si="291"/>
        <v>C50</v>
      </c>
      <c r="S3027" s="18">
        <f t="shared" si="292"/>
        <v>9.9967793922457489</v>
      </c>
      <c r="T3027" s="18">
        <f>S3027/Explications!$C$8</f>
        <v>0.33322597974152496</v>
      </c>
    </row>
    <row r="3028" spans="7:20">
      <c r="G3028" s="7" t="s">
        <v>66</v>
      </c>
      <c r="H3028" s="7" t="s">
        <v>68</v>
      </c>
      <c r="I3028" s="7">
        <v>46.843800000000002</v>
      </c>
      <c r="J3028" s="7">
        <v>-71.247299999999996</v>
      </c>
      <c r="K3028" s="7">
        <v>46.787599999999998</v>
      </c>
      <c r="L3028" s="7">
        <v>-71.288600000000002</v>
      </c>
      <c r="M3028" s="10" t="str">
        <f t="shared" si="287"/>
        <v>C50</v>
      </c>
      <c r="N3028" s="10" t="str">
        <f t="shared" si="288"/>
        <v>C52</v>
      </c>
      <c r="O3028" s="5">
        <f t="shared" si="289"/>
        <v>6.9949189345443932</v>
      </c>
      <c r="P3028" s="22">
        <f>O3028/Explications!$C$8</f>
        <v>0.23316396448481311</v>
      </c>
      <c r="Q3028" s="7" t="str">
        <f t="shared" si="290"/>
        <v>C52</v>
      </c>
      <c r="R3028" s="7" t="str">
        <f t="shared" si="291"/>
        <v>C50</v>
      </c>
      <c r="S3028" s="18">
        <f t="shared" si="292"/>
        <v>6.9949189345443932</v>
      </c>
      <c r="T3028" s="18">
        <f>S3028/Explications!$C$8</f>
        <v>0.23316396448481311</v>
      </c>
    </row>
    <row r="3029" spans="7:20">
      <c r="G3029" s="7" t="s">
        <v>66</v>
      </c>
      <c r="H3029" s="7" t="s">
        <v>69</v>
      </c>
      <c r="I3029" s="7">
        <v>46.843800000000002</v>
      </c>
      <c r="J3029" s="7">
        <v>-71.247299999999996</v>
      </c>
      <c r="K3029" s="7">
        <v>46.764600000000002</v>
      </c>
      <c r="L3029" s="7">
        <v>-71.308300000000003</v>
      </c>
      <c r="M3029" s="10" t="str">
        <f t="shared" si="287"/>
        <v>C50</v>
      </c>
      <c r="N3029" s="10" t="str">
        <f t="shared" si="288"/>
        <v>C53</v>
      </c>
      <c r="O3029" s="5">
        <f t="shared" si="289"/>
        <v>9.9555449586484066</v>
      </c>
      <c r="P3029" s="22">
        <f>O3029/Explications!$C$8</f>
        <v>0.33185149862161356</v>
      </c>
      <c r="Q3029" s="7" t="str">
        <f t="shared" si="290"/>
        <v>C53</v>
      </c>
      <c r="R3029" s="7" t="str">
        <f t="shared" si="291"/>
        <v>C50</v>
      </c>
      <c r="S3029" s="18">
        <f t="shared" si="292"/>
        <v>9.9555449586484066</v>
      </c>
      <c r="T3029" s="18">
        <f>S3029/Explications!$C$8</f>
        <v>0.33185149862161356</v>
      </c>
    </row>
    <row r="3030" spans="7:20">
      <c r="G3030" s="7" t="s">
        <v>66</v>
      </c>
      <c r="H3030" s="7" t="s">
        <v>70</v>
      </c>
      <c r="I3030" s="7">
        <v>46.843800000000002</v>
      </c>
      <c r="J3030" s="7">
        <v>-71.247299999999996</v>
      </c>
      <c r="K3030" s="7">
        <v>46.849699999999999</v>
      </c>
      <c r="L3030" s="7">
        <v>-71.097399999999993</v>
      </c>
      <c r="M3030" s="10" t="str">
        <f t="shared" si="287"/>
        <v>C50</v>
      </c>
      <c r="N3030" s="10" t="str">
        <f t="shared" si="288"/>
        <v>C54</v>
      </c>
      <c r="O3030" s="5">
        <f t="shared" si="289"/>
        <v>11.419054636211976</v>
      </c>
      <c r="P3030" s="22">
        <f>O3030/Explications!$C$8</f>
        <v>0.3806351545403992</v>
      </c>
      <c r="Q3030" s="7" t="str">
        <f t="shared" si="290"/>
        <v>C54</v>
      </c>
      <c r="R3030" s="7" t="str">
        <f t="shared" si="291"/>
        <v>C50</v>
      </c>
      <c r="S3030" s="18">
        <f t="shared" si="292"/>
        <v>11.419054636211976</v>
      </c>
      <c r="T3030" s="18">
        <f>S3030/Explications!$C$8</f>
        <v>0.3806351545403992</v>
      </c>
    </row>
    <row r="3031" spans="7:20">
      <c r="G3031" s="7" t="s">
        <v>66</v>
      </c>
      <c r="H3031" s="7" t="s">
        <v>71</v>
      </c>
      <c r="I3031" s="7">
        <v>46.843800000000002</v>
      </c>
      <c r="J3031" s="7">
        <v>-71.247299999999996</v>
      </c>
      <c r="K3031" s="7">
        <v>46.788899999999998</v>
      </c>
      <c r="L3031" s="7">
        <v>-71.321399999999997</v>
      </c>
      <c r="M3031" s="10" t="str">
        <f t="shared" si="287"/>
        <v>C50</v>
      </c>
      <c r="N3031" s="10" t="str">
        <f t="shared" si="288"/>
        <v>C55</v>
      </c>
      <c r="O3031" s="5">
        <f t="shared" si="289"/>
        <v>8.3102603891436821</v>
      </c>
      <c r="P3031" s="22">
        <f>O3031/Explications!$C$8</f>
        <v>0.27700867963812276</v>
      </c>
      <c r="Q3031" s="7" t="str">
        <f t="shared" si="290"/>
        <v>C55</v>
      </c>
      <c r="R3031" s="7" t="str">
        <f t="shared" si="291"/>
        <v>C50</v>
      </c>
      <c r="S3031" s="18">
        <f t="shared" si="292"/>
        <v>8.3102603891436821</v>
      </c>
      <c r="T3031" s="18">
        <f>S3031/Explications!$C$8</f>
        <v>0.27700867963812276</v>
      </c>
    </row>
    <row r="3032" spans="7:20">
      <c r="G3032" s="7" t="s">
        <v>66</v>
      </c>
      <c r="H3032" s="7" t="s">
        <v>72</v>
      </c>
      <c r="I3032" s="7">
        <v>46.843800000000002</v>
      </c>
      <c r="J3032" s="7">
        <v>-71.247299999999996</v>
      </c>
      <c r="K3032" s="7">
        <v>46.795400000000001</v>
      </c>
      <c r="L3032" s="7">
        <v>-71.232600000000005</v>
      </c>
      <c r="M3032" s="10" t="str">
        <f t="shared" si="287"/>
        <v>C50</v>
      </c>
      <c r="N3032" s="10" t="str">
        <f t="shared" si="288"/>
        <v>C56</v>
      </c>
      <c r="O3032" s="5">
        <f t="shared" si="289"/>
        <v>5.4968399672091532</v>
      </c>
      <c r="P3032" s="22">
        <f>O3032/Explications!$C$8</f>
        <v>0.18322799890697178</v>
      </c>
      <c r="Q3032" s="7" t="str">
        <f t="shared" si="290"/>
        <v>C56</v>
      </c>
      <c r="R3032" s="7" t="str">
        <f t="shared" si="291"/>
        <v>C50</v>
      </c>
      <c r="S3032" s="18">
        <f t="shared" si="292"/>
        <v>5.4968399672091532</v>
      </c>
      <c r="T3032" s="18">
        <f>S3032/Explications!$C$8</f>
        <v>0.18322799890697178</v>
      </c>
    </row>
    <row r="3033" spans="7:20">
      <c r="G3033" s="7" t="s">
        <v>66</v>
      </c>
      <c r="H3033" s="7" t="s">
        <v>73</v>
      </c>
      <c r="I3033" s="7">
        <v>46.843800000000002</v>
      </c>
      <c r="J3033" s="7">
        <v>-71.247299999999996</v>
      </c>
      <c r="K3033" s="7">
        <v>46.801200000000001</v>
      </c>
      <c r="L3033" s="7">
        <v>-71.224999999999994</v>
      </c>
      <c r="M3033" s="10" t="str">
        <f t="shared" si="287"/>
        <v>C50</v>
      </c>
      <c r="N3033" s="10" t="str">
        <f t="shared" si="288"/>
        <v>C57</v>
      </c>
      <c r="O3033" s="5">
        <f t="shared" si="289"/>
        <v>5.0316134430504897</v>
      </c>
      <c r="P3033" s="22">
        <f>O3033/Explications!$C$8</f>
        <v>0.16772044810168299</v>
      </c>
      <c r="Q3033" s="7" t="str">
        <f t="shared" si="290"/>
        <v>C57</v>
      </c>
      <c r="R3033" s="7" t="str">
        <f t="shared" si="291"/>
        <v>C50</v>
      </c>
      <c r="S3033" s="18">
        <f t="shared" si="292"/>
        <v>5.0316134430504897</v>
      </c>
      <c r="T3033" s="18">
        <f>S3033/Explications!$C$8</f>
        <v>0.16772044810168299</v>
      </c>
    </row>
    <row r="3034" spans="7:20">
      <c r="G3034" s="7" t="s">
        <v>66</v>
      </c>
      <c r="H3034" s="7" t="s">
        <v>74</v>
      </c>
      <c r="I3034" s="7">
        <v>46.843800000000002</v>
      </c>
      <c r="J3034" s="7">
        <v>-71.247299999999996</v>
      </c>
      <c r="K3034" s="7">
        <v>46.773200000000003</v>
      </c>
      <c r="L3034" s="7">
        <v>-71.275899999999993</v>
      </c>
      <c r="M3034" s="10" t="str">
        <f t="shared" si="287"/>
        <v>C50</v>
      </c>
      <c r="N3034" s="10" t="str">
        <f t="shared" si="288"/>
        <v>C58</v>
      </c>
      <c r="O3034" s="5">
        <f t="shared" si="289"/>
        <v>8.1465281247717254</v>
      </c>
      <c r="P3034" s="22">
        <f>O3034/Explications!$C$8</f>
        <v>0.27155093749239084</v>
      </c>
      <c r="Q3034" s="7" t="str">
        <f t="shared" si="290"/>
        <v>C58</v>
      </c>
      <c r="R3034" s="7" t="str">
        <f t="shared" si="291"/>
        <v>C50</v>
      </c>
      <c r="S3034" s="18">
        <f t="shared" si="292"/>
        <v>8.1465281247717254</v>
      </c>
      <c r="T3034" s="18">
        <f>S3034/Explications!$C$8</f>
        <v>0.27155093749239084</v>
      </c>
    </row>
    <row r="3035" spans="7:20">
      <c r="G3035" s="7" t="s">
        <v>66</v>
      </c>
      <c r="H3035" s="7" t="s">
        <v>75</v>
      </c>
      <c r="I3035" s="7">
        <v>46.843800000000002</v>
      </c>
      <c r="J3035" s="7">
        <v>-71.247299999999996</v>
      </c>
      <c r="K3035" s="7">
        <v>46.814399999999999</v>
      </c>
      <c r="L3035" s="7">
        <v>-71.225700000000003</v>
      </c>
      <c r="M3035" s="10" t="str">
        <f t="shared" si="287"/>
        <v>C50</v>
      </c>
      <c r="N3035" s="10" t="str">
        <f t="shared" si="288"/>
        <v>C59</v>
      </c>
      <c r="O3035" s="5">
        <f t="shared" si="289"/>
        <v>3.658897266680639</v>
      </c>
      <c r="P3035" s="22">
        <f>O3035/Explications!$C$8</f>
        <v>0.12196324222268796</v>
      </c>
      <c r="Q3035" s="7" t="str">
        <f t="shared" si="290"/>
        <v>C59</v>
      </c>
      <c r="R3035" s="7" t="str">
        <f t="shared" si="291"/>
        <v>C50</v>
      </c>
      <c r="S3035" s="18">
        <f t="shared" si="292"/>
        <v>3.658897266680639</v>
      </c>
      <c r="T3035" s="18">
        <f>S3035/Explications!$C$8</f>
        <v>0.12196324222268796</v>
      </c>
    </row>
    <row r="3036" spans="7:20">
      <c r="G3036" s="7" t="s">
        <v>66</v>
      </c>
      <c r="H3036" s="7" t="s">
        <v>76</v>
      </c>
      <c r="I3036" s="7">
        <v>46.843800000000002</v>
      </c>
      <c r="J3036" s="7">
        <v>-71.247299999999996</v>
      </c>
      <c r="K3036" s="7">
        <v>46.772500000000001</v>
      </c>
      <c r="L3036" s="7">
        <v>-71.276300000000006</v>
      </c>
      <c r="M3036" s="10" t="str">
        <f t="shared" si="287"/>
        <v>C50</v>
      </c>
      <c r="N3036" s="10" t="str">
        <f t="shared" si="288"/>
        <v>C60</v>
      </c>
      <c r="O3036" s="5">
        <f t="shared" si="289"/>
        <v>8.2296768982335333</v>
      </c>
      <c r="P3036" s="22">
        <f>O3036/Explications!$C$8</f>
        <v>0.27432256327445109</v>
      </c>
      <c r="Q3036" s="7" t="str">
        <f t="shared" si="290"/>
        <v>C60</v>
      </c>
      <c r="R3036" s="7" t="str">
        <f t="shared" si="291"/>
        <v>C50</v>
      </c>
      <c r="S3036" s="18">
        <f t="shared" si="292"/>
        <v>8.2296768982335333</v>
      </c>
      <c r="T3036" s="18">
        <f>S3036/Explications!$C$8</f>
        <v>0.27432256327445109</v>
      </c>
    </row>
    <row r="3037" spans="7:20">
      <c r="G3037" s="7" t="s">
        <v>66</v>
      </c>
      <c r="H3037" s="7" t="s">
        <v>77</v>
      </c>
      <c r="I3037" s="7">
        <v>46.843800000000002</v>
      </c>
      <c r="J3037" s="7">
        <v>-71.247299999999996</v>
      </c>
      <c r="K3037" s="7">
        <v>46.810899999999997</v>
      </c>
      <c r="L3037" s="7">
        <v>-71.215599999999995</v>
      </c>
      <c r="M3037" s="10" t="str">
        <f t="shared" si="287"/>
        <v>C50</v>
      </c>
      <c r="N3037" s="10" t="str">
        <f t="shared" si="288"/>
        <v>C61</v>
      </c>
      <c r="O3037" s="5">
        <f t="shared" si="289"/>
        <v>4.3817396556379373</v>
      </c>
      <c r="P3037" s="22">
        <f>O3037/Explications!$C$8</f>
        <v>0.14605798852126459</v>
      </c>
      <c r="Q3037" s="7" t="str">
        <f t="shared" si="290"/>
        <v>C61</v>
      </c>
      <c r="R3037" s="7" t="str">
        <f t="shared" si="291"/>
        <v>C50</v>
      </c>
      <c r="S3037" s="18">
        <f t="shared" si="292"/>
        <v>4.3817396556379373</v>
      </c>
      <c r="T3037" s="18">
        <f>S3037/Explications!$C$8</f>
        <v>0.14605798852126459</v>
      </c>
    </row>
    <row r="3038" spans="7:20">
      <c r="G3038" s="7" t="s">
        <v>66</v>
      </c>
      <c r="H3038" s="7" t="s">
        <v>78</v>
      </c>
      <c r="I3038" s="7">
        <v>46.843800000000002</v>
      </c>
      <c r="J3038" s="7">
        <v>-71.247299999999996</v>
      </c>
      <c r="K3038" s="7">
        <v>46.795200000000001</v>
      </c>
      <c r="L3038" s="7">
        <v>-71.245099999999994</v>
      </c>
      <c r="M3038" s="10" t="str">
        <f t="shared" si="287"/>
        <v>C50</v>
      </c>
      <c r="N3038" s="10" t="str">
        <f t="shared" si="288"/>
        <v>C62</v>
      </c>
      <c r="O3038" s="5">
        <f t="shared" si="289"/>
        <v>5.4066655351336728</v>
      </c>
      <c r="P3038" s="22">
        <f>O3038/Explications!$C$8</f>
        <v>0.18022218450445576</v>
      </c>
      <c r="Q3038" s="7" t="str">
        <f t="shared" si="290"/>
        <v>C62</v>
      </c>
      <c r="R3038" s="7" t="str">
        <f t="shared" si="291"/>
        <v>C50</v>
      </c>
      <c r="S3038" s="18">
        <f t="shared" si="292"/>
        <v>5.4066655351336728</v>
      </c>
      <c r="T3038" s="18">
        <f>S3038/Explications!$C$8</f>
        <v>0.18022218450445576</v>
      </c>
    </row>
    <row r="3039" spans="7:20">
      <c r="G3039" s="7" t="s">
        <v>66</v>
      </c>
      <c r="H3039" s="7" t="s">
        <v>79</v>
      </c>
      <c r="I3039" s="7">
        <v>46.843800000000002</v>
      </c>
      <c r="J3039" s="7">
        <v>-71.247299999999996</v>
      </c>
      <c r="K3039" s="7">
        <v>46.822000000000003</v>
      </c>
      <c r="L3039" s="7">
        <v>-71.345699999999994</v>
      </c>
      <c r="M3039" s="10" t="str">
        <f t="shared" si="287"/>
        <v>C50</v>
      </c>
      <c r="N3039" s="10" t="str">
        <f t="shared" si="288"/>
        <v>C63</v>
      </c>
      <c r="O3039" s="5">
        <f t="shared" si="289"/>
        <v>7.8681580359928498</v>
      </c>
      <c r="P3039" s="22">
        <f>O3039/Explications!$C$8</f>
        <v>0.262271934533095</v>
      </c>
      <c r="Q3039" s="7" t="str">
        <f t="shared" si="290"/>
        <v>C63</v>
      </c>
      <c r="R3039" s="7" t="str">
        <f t="shared" si="291"/>
        <v>C50</v>
      </c>
      <c r="S3039" s="18">
        <f t="shared" si="292"/>
        <v>7.8681580359928498</v>
      </c>
      <c r="T3039" s="18">
        <f>S3039/Explications!$C$8</f>
        <v>0.262271934533095</v>
      </c>
    </row>
    <row r="3040" spans="7:20">
      <c r="G3040" s="7" t="s">
        <v>66</v>
      </c>
      <c r="H3040" s="7" t="s">
        <v>80</v>
      </c>
      <c r="I3040" s="7">
        <v>46.843800000000002</v>
      </c>
      <c r="J3040" s="7">
        <v>-71.247299999999996</v>
      </c>
      <c r="K3040" s="7">
        <v>46.779400000000003</v>
      </c>
      <c r="L3040" s="7">
        <v>-71.350399999999993</v>
      </c>
      <c r="M3040" s="10" t="str">
        <f t="shared" si="287"/>
        <v>C50</v>
      </c>
      <c r="N3040" s="10" t="str">
        <f t="shared" si="288"/>
        <v>C64</v>
      </c>
      <c r="O3040" s="5">
        <f t="shared" si="289"/>
        <v>10.622634045740911</v>
      </c>
      <c r="P3040" s="22">
        <f>O3040/Explications!$C$8</f>
        <v>0.35408780152469704</v>
      </c>
      <c r="Q3040" s="7" t="str">
        <f t="shared" si="290"/>
        <v>C64</v>
      </c>
      <c r="R3040" s="7" t="str">
        <f t="shared" si="291"/>
        <v>C50</v>
      </c>
      <c r="S3040" s="18">
        <f t="shared" si="292"/>
        <v>10.622634045740911</v>
      </c>
      <c r="T3040" s="18">
        <f>S3040/Explications!$C$8</f>
        <v>0.35408780152469704</v>
      </c>
    </row>
    <row r="3041" spans="7:20">
      <c r="G3041" s="7" t="s">
        <v>66</v>
      </c>
      <c r="H3041" s="7" t="s">
        <v>81</v>
      </c>
      <c r="I3041" s="7">
        <v>46.843800000000002</v>
      </c>
      <c r="J3041" s="7">
        <v>-71.247299999999996</v>
      </c>
      <c r="K3041" s="7">
        <v>46.772300000000001</v>
      </c>
      <c r="L3041" s="7">
        <v>-71.279799999999994</v>
      </c>
      <c r="M3041" s="10" t="str">
        <f t="shared" si="287"/>
        <v>C50</v>
      </c>
      <c r="N3041" s="10" t="str">
        <f t="shared" si="288"/>
        <v>C65</v>
      </c>
      <c r="O3041" s="5">
        <f t="shared" si="289"/>
        <v>8.3263139435037132</v>
      </c>
      <c r="P3041" s="22">
        <f>O3041/Explications!$C$8</f>
        <v>0.27754379811679042</v>
      </c>
      <c r="Q3041" s="7" t="str">
        <f t="shared" si="290"/>
        <v>C65</v>
      </c>
      <c r="R3041" s="7" t="str">
        <f t="shared" si="291"/>
        <v>C50</v>
      </c>
      <c r="S3041" s="18">
        <f t="shared" si="292"/>
        <v>8.3263139435037132</v>
      </c>
      <c r="T3041" s="18">
        <f>S3041/Explications!$C$8</f>
        <v>0.27754379811679042</v>
      </c>
    </row>
    <row r="3042" spans="7:20">
      <c r="G3042" s="7" t="s">
        <v>66</v>
      </c>
      <c r="H3042" s="7" t="s">
        <v>82</v>
      </c>
      <c r="I3042" s="7">
        <v>46.843800000000002</v>
      </c>
      <c r="J3042" s="7">
        <v>-71.247299999999996</v>
      </c>
      <c r="K3042" s="7">
        <v>46.814900000000002</v>
      </c>
      <c r="L3042" s="7">
        <v>-71.225200000000001</v>
      </c>
      <c r="M3042" s="10" t="str">
        <f t="shared" si="287"/>
        <v>C50</v>
      </c>
      <c r="N3042" s="10" t="str">
        <f t="shared" si="288"/>
        <v>C66</v>
      </c>
      <c r="O3042" s="5">
        <f t="shared" si="289"/>
        <v>3.6267815828168137</v>
      </c>
      <c r="P3042" s="22">
        <f>O3042/Explications!$C$8</f>
        <v>0.12089271942722712</v>
      </c>
      <c r="Q3042" s="7" t="str">
        <f t="shared" si="290"/>
        <v>C66</v>
      </c>
      <c r="R3042" s="7" t="str">
        <f t="shared" si="291"/>
        <v>C50</v>
      </c>
      <c r="S3042" s="18">
        <f t="shared" si="292"/>
        <v>3.6267815828168137</v>
      </c>
      <c r="T3042" s="18">
        <f>S3042/Explications!$C$8</f>
        <v>0.12089271942722712</v>
      </c>
    </row>
    <row r="3043" spans="7:20">
      <c r="G3043" s="7" t="s">
        <v>66</v>
      </c>
      <c r="H3043" s="7" t="s">
        <v>83</v>
      </c>
      <c r="I3043" s="7">
        <v>46.843800000000002</v>
      </c>
      <c r="J3043" s="7">
        <v>-71.247299999999996</v>
      </c>
      <c r="K3043" s="7">
        <v>46.814700000000002</v>
      </c>
      <c r="L3043" s="7">
        <v>-71.207300000000004</v>
      </c>
      <c r="M3043" s="10" t="str">
        <f t="shared" si="287"/>
        <v>C50</v>
      </c>
      <c r="N3043" s="10" t="str">
        <f t="shared" si="288"/>
        <v>C67</v>
      </c>
      <c r="O3043" s="5">
        <f t="shared" si="289"/>
        <v>4.4419030564341089</v>
      </c>
      <c r="P3043" s="22">
        <f>O3043/Explications!$C$8</f>
        <v>0.1480634352144703</v>
      </c>
      <c r="Q3043" s="7" t="str">
        <f t="shared" si="290"/>
        <v>C67</v>
      </c>
      <c r="R3043" s="7" t="str">
        <f t="shared" si="291"/>
        <v>C50</v>
      </c>
      <c r="S3043" s="18">
        <f t="shared" si="292"/>
        <v>4.4419030564341089</v>
      </c>
      <c r="T3043" s="18">
        <f>S3043/Explications!$C$8</f>
        <v>0.1480634352144703</v>
      </c>
    </row>
    <row r="3044" spans="7:20">
      <c r="G3044" s="7" t="s">
        <v>66</v>
      </c>
      <c r="H3044" s="7" t="s">
        <v>84</v>
      </c>
      <c r="I3044" s="7">
        <v>46.843800000000002</v>
      </c>
      <c r="J3044" s="7">
        <v>-71.247299999999996</v>
      </c>
      <c r="K3044" s="7">
        <v>46.815600000000003</v>
      </c>
      <c r="L3044" s="7">
        <v>-71.2029</v>
      </c>
      <c r="M3044" s="10" t="str">
        <f t="shared" si="287"/>
        <v>C50</v>
      </c>
      <c r="N3044" s="10" t="str">
        <f t="shared" si="288"/>
        <v>C68</v>
      </c>
      <c r="O3044" s="5">
        <f t="shared" si="289"/>
        <v>4.6089038986067017</v>
      </c>
      <c r="P3044" s="22">
        <f>O3044/Explications!$C$8</f>
        <v>0.15363012995355671</v>
      </c>
      <c r="Q3044" s="7" t="str">
        <f t="shared" si="290"/>
        <v>C68</v>
      </c>
      <c r="R3044" s="7" t="str">
        <f t="shared" si="291"/>
        <v>C50</v>
      </c>
      <c r="S3044" s="18">
        <f t="shared" si="292"/>
        <v>4.6089038986067017</v>
      </c>
      <c r="T3044" s="18">
        <f>S3044/Explications!$C$8</f>
        <v>0.15363012995355671</v>
      </c>
    </row>
    <row r="3045" spans="7:20">
      <c r="G3045" s="7" t="s">
        <v>66</v>
      </c>
      <c r="H3045" s="7" t="s">
        <v>85</v>
      </c>
      <c r="I3045" s="7">
        <v>46.843800000000002</v>
      </c>
      <c r="J3045" s="7">
        <v>-71.247299999999996</v>
      </c>
      <c r="K3045" s="7">
        <v>46.821899999999999</v>
      </c>
      <c r="L3045" s="7">
        <v>-71.249899999999997</v>
      </c>
      <c r="M3045" s="10" t="str">
        <f t="shared" si="287"/>
        <v>C50</v>
      </c>
      <c r="N3045" s="10" t="str">
        <f t="shared" si="288"/>
        <v>C69</v>
      </c>
      <c r="O3045" s="5">
        <f t="shared" si="289"/>
        <v>2.4431878721007676</v>
      </c>
      <c r="P3045" s="22">
        <f>O3045/Explications!$C$8</f>
        <v>8.1439595736692252E-2</v>
      </c>
      <c r="Q3045" s="7" t="str">
        <f t="shared" si="290"/>
        <v>C69</v>
      </c>
      <c r="R3045" s="7" t="str">
        <f t="shared" si="291"/>
        <v>C50</v>
      </c>
      <c r="S3045" s="18">
        <f t="shared" si="292"/>
        <v>2.4431878721007676</v>
      </c>
      <c r="T3045" s="18">
        <f>S3045/Explications!$C$8</f>
        <v>8.1439595736692252E-2</v>
      </c>
    </row>
    <row r="3046" spans="7:20">
      <c r="G3046" s="7" t="s">
        <v>66</v>
      </c>
      <c r="H3046" s="7" t="s">
        <v>86</v>
      </c>
      <c r="I3046" s="7">
        <v>46.843800000000002</v>
      </c>
      <c r="J3046" s="7">
        <v>-71.247299999999996</v>
      </c>
      <c r="K3046" s="7">
        <v>46.8872</v>
      </c>
      <c r="L3046" s="7">
        <v>-71.27</v>
      </c>
      <c r="M3046" s="10" t="str">
        <f t="shared" si="287"/>
        <v>C50</v>
      </c>
      <c r="N3046" s="10" t="str">
        <f t="shared" si="288"/>
        <v>C70</v>
      </c>
      <c r="O3046" s="5">
        <f t="shared" si="289"/>
        <v>5.1251566931463248</v>
      </c>
      <c r="P3046" s="22">
        <f>O3046/Explications!$C$8</f>
        <v>0.17083855643821083</v>
      </c>
      <c r="Q3046" s="7" t="str">
        <f t="shared" si="290"/>
        <v>C70</v>
      </c>
      <c r="R3046" s="7" t="str">
        <f t="shared" si="291"/>
        <v>C50</v>
      </c>
      <c r="S3046" s="18">
        <f t="shared" si="292"/>
        <v>5.1251566931463248</v>
      </c>
      <c r="T3046" s="18">
        <f>S3046/Explications!$C$8</f>
        <v>0.17083855643821083</v>
      </c>
    </row>
    <row r="3047" spans="7:20">
      <c r="G3047" s="7" t="s">
        <v>66</v>
      </c>
      <c r="H3047" s="7" t="s">
        <v>87</v>
      </c>
      <c r="I3047" s="7">
        <v>46.843800000000002</v>
      </c>
      <c r="J3047" s="7">
        <v>-71.247299999999996</v>
      </c>
      <c r="K3047" s="7">
        <v>46.816299999999998</v>
      </c>
      <c r="L3047" s="7">
        <v>-71.210300000000004</v>
      </c>
      <c r="M3047" s="10" t="str">
        <f t="shared" si="287"/>
        <v>C50</v>
      </c>
      <c r="N3047" s="10" t="str">
        <f t="shared" si="288"/>
        <v>C71</v>
      </c>
      <c r="O3047" s="5">
        <f t="shared" si="289"/>
        <v>4.1561523085471901</v>
      </c>
      <c r="P3047" s="22">
        <f>O3047/Explications!$C$8</f>
        <v>0.13853841028490635</v>
      </c>
      <c r="Q3047" s="7" t="str">
        <f t="shared" si="290"/>
        <v>C71</v>
      </c>
      <c r="R3047" s="7" t="str">
        <f t="shared" si="291"/>
        <v>C50</v>
      </c>
      <c r="S3047" s="18">
        <f t="shared" si="292"/>
        <v>4.1561523085471901</v>
      </c>
      <c r="T3047" s="18">
        <f>S3047/Explications!$C$8</f>
        <v>0.13853841028490635</v>
      </c>
    </row>
    <row r="3048" spans="7:20">
      <c r="G3048" s="7" t="s">
        <v>66</v>
      </c>
      <c r="H3048" s="7" t="s">
        <v>88</v>
      </c>
      <c r="I3048" s="7">
        <v>46.843800000000002</v>
      </c>
      <c r="J3048" s="7">
        <v>-71.247299999999996</v>
      </c>
      <c r="K3048" s="7">
        <v>46.807000000000002</v>
      </c>
      <c r="L3048" s="7">
        <v>-71.3566</v>
      </c>
      <c r="M3048" s="10" t="str">
        <f t="shared" si="287"/>
        <v>C50</v>
      </c>
      <c r="N3048" s="10" t="str">
        <f t="shared" si="288"/>
        <v>C72</v>
      </c>
      <c r="O3048" s="5">
        <f t="shared" si="289"/>
        <v>9.2680385373353626</v>
      </c>
      <c r="P3048" s="22">
        <f>O3048/Explications!$C$8</f>
        <v>0.30893461791117877</v>
      </c>
      <c r="Q3048" s="7" t="str">
        <f t="shared" si="290"/>
        <v>C72</v>
      </c>
      <c r="R3048" s="7" t="str">
        <f t="shared" si="291"/>
        <v>C50</v>
      </c>
      <c r="S3048" s="18">
        <f t="shared" si="292"/>
        <v>9.2680385373353626</v>
      </c>
      <c r="T3048" s="18">
        <f>S3048/Explications!$C$8</f>
        <v>0.30893461791117877</v>
      </c>
    </row>
    <row r="3049" spans="7:20">
      <c r="G3049" s="7" t="s">
        <v>66</v>
      </c>
      <c r="H3049" s="7" t="s">
        <v>89</v>
      </c>
      <c r="I3049" s="7">
        <v>46.843800000000002</v>
      </c>
      <c r="J3049" s="7">
        <v>-71.247299999999996</v>
      </c>
      <c r="K3049" s="7">
        <v>46.822899999999997</v>
      </c>
      <c r="L3049" s="7">
        <v>-71.341899999999995</v>
      </c>
      <c r="M3049" s="10" t="str">
        <f t="shared" si="287"/>
        <v>C50</v>
      </c>
      <c r="N3049" s="10" t="str">
        <f t="shared" si="288"/>
        <v>C73</v>
      </c>
      <c r="O3049" s="5">
        <f t="shared" si="289"/>
        <v>7.5622602315695815</v>
      </c>
      <c r="P3049" s="22">
        <f>O3049/Explications!$C$8</f>
        <v>0.25207534105231938</v>
      </c>
      <c r="Q3049" s="7" t="str">
        <f t="shared" si="290"/>
        <v>C73</v>
      </c>
      <c r="R3049" s="7" t="str">
        <f t="shared" si="291"/>
        <v>C50</v>
      </c>
      <c r="S3049" s="18">
        <f t="shared" si="292"/>
        <v>7.5622602315695815</v>
      </c>
      <c r="T3049" s="18">
        <f>S3049/Explications!$C$8</f>
        <v>0.25207534105231938</v>
      </c>
    </row>
    <row r="3050" spans="7:20">
      <c r="G3050" s="7" t="s">
        <v>66</v>
      </c>
      <c r="H3050" s="7" t="s">
        <v>90</v>
      </c>
      <c r="I3050" s="7">
        <v>46.843800000000002</v>
      </c>
      <c r="J3050" s="7">
        <v>-71.247299999999996</v>
      </c>
      <c r="K3050" s="7">
        <v>46.730699999999999</v>
      </c>
      <c r="L3050" s="7">
        <v>-71.261099999999999</v>
      </c>
      <c r="M3050" s="10" t="str">
        <f t="shared" si="287"/>
        <v>C50</v>
      </c>
      <c r="N3050" s="10" t="str">
        <f t="shared" si="288"/>
        <v>C74</v>
      </c>
      <c r="O3050" s="5">
        <f t="shared" si="289"/>
        <v>12.619959560722267</v>
      </c>
      <c r="P3050" s="22">
        <f>O3050/Explications!$C$8</f>
        <v>0.4206653186907422</v>
      </c>
      <c r="Q3050" s="7" t="str">
        <f t="shared" si="290"/>
        <v>C74</v>
      </c>
      <c r="R3050" s="7" t="str">
        <f t="shared" si="291"/>
        <v>C50</v>
      </c>
      <c r="S3050" s="18">
        <f t="shared" si="292"/>
        <v>12.619959560722267</v>
      </c>
      <c r="T3050" s="18">
        <f>S3050/Explications!$C$8</f>
        <v>0.4206653186907422</v>
      </c>
    </row>
    <row r="3051" spans="7:20">
      <c r="G3051" s="7" t="s">
        <v>66</v>
      </c>
      <c r="H3051" s="7" t="s">
        <v>91</v>
      </c>
      <c r="I3051" s="7">
        <v>46.843800000000002</v>
      </c>
      <c r="J3051" s="7">
        <v>-71.247299999999996</v>
      </c>
      <c r="K3051" s="7">
        <v>46.840600000000002</v>
      </c>
      <c r="L3051" s="7">
        <v>-71.289100000000005</v>
      </c>
      <c r="M3051" s="10" t="str">
        <f t="shared" si="287"/>
        <v>C50</v>
      </c>
      <c r="N3051" s="10" t="str">
        <f t="shared" si="288"/>
        <v>C75</v>
      </c>
      <c r="O3051" s="5">
        <f t="shared" si="289"/>
        <v>3.1990929815542413</v>
      </c>
      <c r="P3051" s="22">
        <f>O3051/Explications!$C$8</f>
        <v>0.10663643271847471</v>
      </c>
      <c r="Q3051" s="7" t="str">
        <f t="shared" si="290"/>
        <v>C75</v>
      </c>
      <c r="R3051" s="7" t="str">
        <f t="shared" si="291"/>
        <v>C50</v>
      </c>
      <c r="S3051" s="18">
        <f t="shared" si="292"/>
        <v>3.1990929815542413</v>
      </c>
      <c r="T3051" s="18">
        <f>S3051/Explications!$C$8</f>
        <v>0.10663643271847471</v>
      </c>
    </row>
    <row r="3052" spans="7:20">
      <c r="G3052" s="7" t="s">
        <v>66</v>
      </c>
      <c r="H3052" s="7" t="s">
        <v>92</v>
      </c>
      <c r="I3052" s="7">
        <v>46.843800000000002</v>
      </c>
      <c r="J3052" s="7">
        <v>-71.247299999999996</v>
      </c>
      <c r="K3052" s="7">
        <v>46.840600000000002</v>
      </c>
      <c r="L3052" s="7">
        <v>-71.281599999999997</v>
      </c>
      <c r="M3052" s="10" t="str">
        <f t="shared" si="287"/>
        <v>C50</v>
      </c>
      <c r="N3052" s="10" t="str">
        <f t="shared" si="288"/>
        <v>C76</v>
      </c>
      <c r="O3052" s="5">
        <f t="shared" si="289"/>
        <v>2.6329587739612617</v>
      </c>
      <c r="P3052" s="22">
        <f>O3052/Explications!$C$8</f>
        <v>8.7765292465375386E-2</v>
      </c>
      <c r="Q3052" s="7" t="str">
        <f t="shared" si="290"/>
        <v>C76</v>
      </c>
      <c r="R3052" s="7" t="str">
        <f t="shared" si="291"/>
        <v>C50</v>
      </c>
      <c r="S3052" s="18">
        <f t="shared" si="292"/>
        <v>2.6329587739612617</v>
      </c>
      <c r="T3052" s="18">
        <f>S3052/Explications!$C$8</f>
        <v>8.7765292465375386E-2</v>
      </c>
    </row>
    <row r="3053" spans="7:20">
      <c r="G3053" s="7" t="s">
        <v>66</v>
      </c>
      <c r="H3053" s="7" t="s">
        <v>93</v>
      </c>
      <c r="I3053" s="7">
        <v>46.843800000000002</v>
      </c>
      <c r="J3053" s="7">
        <v>-71.247299999999996</v>
      </c>
      <c r="K3053" s="7">
        <v>46.839399999999998</v>
      </c>
      <c r="L3053" s="7">
        <v>-71.282600000000002</v>
      </c>
      <c r="M3053" s="10" t="str">
        <f t="shared" si="287"/>
        <v>C50</v>
      </c>
      <c r="N3053" s="10" t="str">
        <f t="shared" si="288"/>
        <v>C77</v>
      </c>
      <c r="O3053" s="5">
        <f t="shared" si="289"/>
        <v>2.7291067289484854</v>
      </c>
      <c r="P3053" s="22">
        <f>O3053/Explications!$C$8</f>
        <v>9.0970224298282845E-2</v>
      </c>
      <c r="Q3053" s="7" t="str">
        <f t="shared" si="290"/>
        <v>C77</v>
      </c>
      <c r="R3053" s="7" t="str">
        <f t="shared" si="291"/>
        <v>C50</v>
      </c>
      <c r="S3053" s="18">
        <f t="shared" si="292"/>
        <v>2.7291067289484854</v>
      </c>
      <c r="T3053" s="18">
        <f>S3053/Explications!$C$8</f>
        <v>9.0970224298282845E-2</v>
      </c>
    </row>
    <row r="3054" spans="7:20">
      <c r="G3054" s="7" t="s">
        <v>66</v>
      </c>
      <c r="H3054" s="7" t="s">
        <v>94</v>
      </c>
      <c r="I3054" s="7">
        <v>46.843800000000002</v>
      </c>
      <c r="J3054" s="7">
        <v>-71.247299999999996</v>
      </c>
      <c r="K3054" s="7">
        <v>46.788499999999999</v>
      </c>
      <c r="L3054" s="7">
        <v>-71.282399999999996</v>
      </c>
      <c r="M3054" s="10" t="str">
        <f t="shared" si="287"/>
        <v>C50</v>
      </c>
      <c r="N3054" s="10" t="str">
        <f t="shared" si="288"/>
        <v>C78</v>
      </c>
      <c r="O3054" s="5">
        <f t="shared" si="289"/>
        <v>6.7041125813153002</v>
      </c>
      <c r="P3054" s="22">
        <f>O3054/Explications!$C$8</f>
        <v>0.22347041937717668</v>
      </c>
      <c r="Q3054" s="7" t="str">
        <f t="shared" si="290"/>
        <v>C78</v>
      </c>
      <c r="R3054" s="7" t="str">
        <f t="shared" si="291"/>
        <v>C50</v>
      </c>
      <c r="S3054" s="18">
        <f t="shared" si="292"/>
        <v>6.7041125813153002</v>
      </c>
      <c r="T3054" s="18">
        <f>S3054/Explications!$C$8</f>
        <v>0.22347041937717668</v>
      </c>
    </row>
    <row r="3055" spans="7:20">
      <c r="G3055" s="7" t="s">
        <v>66</v>
      </c>
      <c r="H3055" s="7" t="s">
        <v>95</v>
      </c>
      <c r="I3055" s="7">
        <v>46.843800000000002</v>
      </c>
      <c r="J3055" s="7">
        <v>-71.247299999999996</v>
      </c>
      <c r="K3055" s="7">
        <v>46.840699999999998</v>
      </c>
      <c r="L3055" s="7">
        <v>-71.325400000000002</v>
      </c>
      <c r="M3055" s="10" t="str">
        <f t="shared" si="287"/>
        <v>C50</v>
      </c>
      <c r="N3055" s="10" t="str">
        <f t="shared" si="288"/>
        <v>C79</v>
      </c>
      <c r="O3055" s="5">
        <f t="shared" si="289"/>
        <v>5.9501517433750744</v>
      </c>
      <c r="P3055" s="22">
        <f>O3055/Explications!$C$8</f>
        <v>0.19833839144583582</v>
      </c>
      <c r="Q3055" s="7" t="str">
        <f t="shared" si="290"/>
        <v>C79</v>
      </c>
      <c r="R3055" s="7" t="str">
        <f t="shared" si="291"/>
        <v>C50</v>
      </c>
      <c r="S3055" s="18">
        <f t="shared" si="292"/>
        <v>5.9501517433750744</v>
      </c>
      <c r="T3055" s="18">
        <f>S3055/Explications!$C$8</f>
        <v>0.19833839144583582</v>
      </c>
    </row>
    <row r="3056" spans="7:20">
      <c r="G3056" s="7" t="s">
        <v>66</v>
      </c>
      <c r="H3056" s="7" t="s">
        <v>96</v>
      </c>
      <c r="I3056" s="7">
        <v>46.843800000000002</v>
      </c>
      <c r="J3056" s="7">
        <v>-71.247299999999996</v>
      </c>
      <c r="K3056" s="7">
        <v>46.798400000000001</v>
      </c>
      <c r="L3056" s="7">
        <v>-71.183199999999999</v>
      </c>
      <c r="M3056" s="10" t="str">
        <f t="shared" si="287"/>
        <v>C50</v>
      </c>
      <c r="N3056" s="10" t="str">
        <f t="shared" si="288"/>
        <v>C80</v>
      </c>
      <c r="O3056" s="5">
        <f t="shared" si="289"/>
        <v>7.0194365316852849</v>
      </c>
      <c r="P3056" s="22">
        <f>O3056/Explications!$C$8</f>
        <v>0.23398121772284283</v>
      </c>
      <c r="Q3056" s="7" t="str">
        <f t="shared" si="290"/>
        <v>C80</v>
      </c>
      <c r="R3056" s="7" t="str">
        <f t="shared" si="291"/>
        <v>C50</v>
      </c>
      <c r="S3056" s="18">
        <f t="shared" si="292"/>
        <v>7.0194365316852849</v>
      </c>
      <c r="T3056" s="18">
        <f>S3056/Explications!$C$8</f>
        <v>0.23398121772284283</v>
      </c>
    </row>
    <row r="3057" spans="7:20">
      <c r="G3057" s="7" t="s">
        <v>66</v>
      </c>
      <c r="H3057" s="7" t="s">
        <v>97</v>
      </c>
      <c r="I3057" s="7">
        <v>46.843800000000002</v>
      </c>
      <c r="J3057" s="7">
        <v>-71.247299999999996</v>
      </c>
      <c r="K3057" s="7">
        <v>46.724800000000002</v>
      </c>
      <c r="L3057" s="7">
        <v>-71.2988</v>
      </c>
      <c r="M3057" s="10" t="str">
        <f t="shared" si="287"/>
        <v>C50</v>
      </c>
      <c r="N3057" s="10" t="str">
        <f t="shared" si="288"/>
        <v>C81</v>
      </c>
      <c r="O3057" s="5">
        <f t="shared" si="289"/>
        <v>13.800979385711676</v>
      </c>
      <c r="P3057" s="22">
        <f>O3057/Explications!$C$8</f>
        <v>0.46003264619038919</v>
      </c>
      <c r="Q3057" s="7" t="str">
        <f t="shared" si="290"/>
        <v>C81</v>
      </c>
      <c r="R3057" s="7" t="str">
        <f t="shared" si="291"/>
        <v>C50</v>
      </c>
      <c r="S3057" s="18">
        <f t="shared" si="292"/>
        <v>13.800979385711676</v>
      </c>
      <c r="T3057" s="18">
        <f>S3057/Explications!$C$8</f>
        <v>0.46003264619038919</v>
      </c>
    </row>
    <row r="3058" spans="7:20">
      <c r="G3058" s="7" t="s">
        <v>66</v>
      </c>
      <c r="H3058" s="7" t="s">
        <v>98</v>
      </c>
      <c r="I3058" s="7">
        <v>46.843800000000002</v>
      </c>
      <c r="J3058" s="7">
        <v>-71.247299999999996</v>
      </c>
      <c r="K3058" s="7">
        <v>46.795499999999997</v>
      </c>
      <c r="L3058" s="7">
        <v>-71.242900000000006</v>
      </c>
      <c r="M3058" s="10" t="str">
        <f t="shared" si="287"/>
        <v>C50</v>
      </c>
      <c r="N3058" s="10" t="str">
        <f t="shared" si="288"/>
        <v>C82</v>
      </c>
      <c r="O3058" s="5">
        <f t="shared" si="289"/>
        <v>5.3811400784824954</v>
      </c>
      <c r="P3058" s="22">
        <f>O3058/Explications!$C$8</f>
        <v>0.17937133594941651</v>
      </c>
      <c r="Q3058" s="7" t="str">
        <f t="shared" si="290"/>
        <v>C82</v>
      </c>
      <c r="R3058" s="7" t="str">
        <f t="shared" si="291"/>
        <v>C50</v>
      </c>
      <c r="S3058" s="18">
        <f t="shared" si="292"/>
        <v>5.3811400784824954</v>
      </c>
      <c r="T3058" s="18">
        <f>S3058/Explications!$C$8</f>
        <v>0.17937133594941651</v>
      </c>
    </row>
    <row r="3059" spans="7:20">
      <c r="G3059" s="7" t="s">
        <v>66</v>
      </c>
      <c r="H3059" s="7" t="s">
        <v>99</v>
      </c>
      <c r="I3059" s="7">
        <v>46.843800000000002</v>
      </c>
      <c r="J3059" s="7">
        <v>-71.247299999999996</v>
      </c>
      <c r="K3059" s="7">
        <v>46.8157</v>
      </c>
      <c r="L3059" s="7">
        <v>-71.201899999999995</v>
      </c>
      <c r="M3059" s="10" t="str">
        <f t="shared" si="287"/>
        <v>C50</v>
      </c>
      <c r="N3059" s="10" t="str">
        <f t="shared" si="288"/>
        <v>C83</v>
      </c>
      <c r="O3059" s="5">
        <f t="shared" si="289"/>
        <v>4.6574763957045402</v>
      </c>
      <c r="P3059" s="22">
        <f>O3059/Explications!$C$8</f>
        <v>0.15524921319015134</v>
      </c>
      <c r="Q3059" s="7" t="str">
        <f t="shared" si="290"/>
        <v>C83</v>
      </c>
      <c r="R3059" s="7" t="str">
        <f t="shared" si="291"/>
        <v>C50</v>
      </c>
      <c r="S3059" s="18">
        <f t="shared" si="292"/>
        <v>4.6574763957045402</v>
      </c>
      <c r="T3059" s="18">
        <f>S3059/Explications!$C$8</f>
        <v>0.15524921319015134</v>
      </c>
    </row>
    <row r="3060" spans="7:20">
      <c r="G3060" s="7" t="s">
        <v>66</v>
      </c>
      <c r="H3060" s="7" t="s">
        <v>100</v>
      </c>
      <c r="I3060" s="7">
        <v>46.843800000000002</v>
      </c>
      <c r="J3060" s="7">
        <v>-71.247299999999996</v>
      </c>
      <c r="K3060" s="7">
        <v>46.837600000000002</v>
      </c>
      <c r="L3060" s="7">
        <v>-71.196299999999994</v>
      </c>
      <c r="M3060" s="10" t="str">
        <f t="shared" si="287"/>
        <v>C50</v>
      </c>
      <c r="N3060" s="10" t="str">
        <f t="shared" si="288"/>
        <v>C84</v>
      </c>
      <c r="O3060" s="5">
        <f t="shared" si="289"/>
        <v>3.9398749110072457</v>
      </c>
      <c r="P3060" s="22">
        <f>O3060/Explications!$C$8</f>
        <v>0.13132916370024153</v>
      </c>
      <c r="Q3060" s="7" t="str">
        <f t="shared" si="290"/>
        <v>C84</v>
      </c>
      <c r="R3060" s="7" t="str">
        <f t="shared" si="291"/>
        <v>C50</v>
      </c>
      <c r="S3060" s="18">
        <f t="shared" si="292"/>
        <v>3.9398749110072457</v>
      </c>
      <c r="T3060" s="18">
        <f>S3060/Explications!$C$8</f>
        <v>0.13132916370024153</v>
      </c>
    </row>
    <row r="3061" spans="7:20">
      <c r="G3061" s="7" t="s">
        <v>66</v>
      </c>
      <c r="H3061" s="7" t="s">
        <v>101</v>
      </c>
      <c r="I3061" s="7">
        <v>46.843800000000002</v>
      </c>
      <c r="J3061" s="7">
        <v>-71.247299999999996</v>
      </c>
      <c r="K3061" s="7">
        <v>46.7988</v>
      </c>
      <c r="L3061" s="7">
        <v>-71.318200000000004</v>
      </c>
      <c r="M3061" s="10" t="str">
        <f t="shared" si="287"/>
        <v>C50</v>
      </c>
      <c r="N3061" s="10" t="str">
        <f t="shared" si="288"/>
        <v>C85</v>
      </c>
      <c r="O3061" s="5">
        <f t="shared" si="289"/>
        <v>7.3579803562706223</v>
      </c>
      <c r="P3061" s="22">
        <f>O3061/Explications!$C$8</f>
        <v>0.24526601187568742</v>
      </c>
      <c r="Q3061" s="7" t="str">
        <f t="shared" si="290"/>
        <v>C85</v>
      </c>
      <c r="R3061" s="7" t="str">
        <f t="shared" si="291"/>
        <v>C50</v>
      </c>
      <c r="S3061" s="18">
        <f t="shared" si="292"/>
        <v>7.3579803562706223</v>
      </c>
      <c r="T3061" s="18">
        <f>S3061/Explications!$C$8</f>
        <v>0.24526601187568742</v>
      </c>
    </row>
    <row r="3062" spans="7:20">
      <c r="G3062" s="7" t="s">
        <v>67</v>
      </c>
      <c r="H3062" s="7" t="s">
        <v>68</v>
      </c>
      <c r="I3062" s="7">
        <v>46.765599999999999</v>
      </c>
      <c r="J3062" s="7">
        <v>-71.312100000000001</v>
      </c>
      <c r="K3062" s="7">
        <v>46.787599999999998</v>
      </c>
      <c r="L3062" s="7">
        <v>-71.288600000000002</v>
      </c>
      <c r="M3062" s="10" t="str">
        <f t="shared" si="287"/>
        <v>C51</v>
      </c>
      <c r="N3062" s="10" t="str">
        <f t="shared" si="288"/>
        <v>C52</v>
      </c>
      <c r="O3062" s="5">
        <f t="shared" si="289"/>
        <v>3.0309788304038277</v>
      </c>
      <c r="P3062" s="22">
        <f>O3062/Explications!$C$8</f>
        <v>0.10103262768012759</v>
      </c>
      <c r="Q3062" s="7" t="str">
        <f t="shared" si="290"/>
        <v>C52</v>
      </c>
      <c r="R3062" s="7" t="str">
        <f t="shared" si="291"/>
        <v>C51</v>
      </c>
      <c r="S3062" s="18">
        <f t="shared" si="292"/>
        <v>3.0309788304038277</v>
      </c>
      <c r="T3062" s="18">
        <f>S3062/Explications!$C$8</f>
        <v>0.10103262768012759</v>
      </c>
    </row>
    <row r="3063" spans="7:20">
      <c r="G3063" s="7" t="s">
        <v>67</v>
      </c>
      <c r="H3063" s="7" t="s">
        <v>69</v>
      </c>
      <c r="I3063" s="7">
        <v>46.765599999999999</v>
      </c>
      <c r="J3063" s="7">
        <v>-71.312100000000001</v>
      </c>
      <c r="K3063" s="7">
        <v>46.764600000000002</v>
      </c>
      <c r="L3063" s="7">
        <v>-71.308300000000003</v>
      </c>
      <c r="M3063" s="10" t="str">
        <f t="shared" si="287"/>
        <v>C51</v>
      </c>
      <c r="N3063" s="10" t="str">
        <f t="shared" si="288"/>
        <v>C53</v>
      </c>
      <c r="O3063" s="5">
        <f t="shared" si="289"/>
        <v>0.31006106673392253</v>
      </c>
      <c r="P3063" s="22">
        <f>O3063/Explications!$C$8</f>
        <v>1.0335368891130752E-2</v>
      </c>
      <c r="Q3063" s="7" t="str">
        <f t="shared" si="290"/>
        <v>C53</v>
      </c>
      <c r="R3063" s="7" t="str">
        <f t="shared" si="291"/>
        <v>C51</v>
      </c>
      <c r="S3063" s="18">
        <f t="shared" si="292"/>
        <v>0.31006106673392253</v>
      </c>
      <c r="T3063" s="18">
        <f>S3063/Explications!$C$8</f>
        <v>1.0335368891130752E-2</v>
      </c>
    </row>
    <row r="3064" spans="7:20">
      <c r="G3064" s="7" t="s">
        <v>67</v>
      </c>
      <c r="H3064" s="7" t="s">
        <v>70</v>
      </c>
      <c r="I3064" s="7">
        <v>46.765599999999999</v>
      </c>
      <c r="J3064" s="7">
        <v>-71.312100000000001</v>
      </c>
      <c r="K3064" s="7">
        <v>46.849699999999999</v>
      </c>
      <c r="L3064" s="7">
        <v>-71.097399999999993</v>
      </c>
      <c r="M3064" s="10" t="str">
        <f t="shared" si="287"/>
        <v>C51</v>
      </c>
      <c r="N3064" s="10" t="str">
        <f t="shared" si="288"/>
        <v>C54</v>
      </c>
      <c r="O3064" s="5">
        <f t="shared" si="289"/>
        <v>18.826940799148595</v>
      </c>
      <c r="P3064" s="22">
        <f>O3064/Explications!$C$8</f>
        <v>0.62756469330495313</v>
      </c>
      <c r="Q3064" s="7" t="str">
        <f t="shared" si="290"/>
        <v>C54</v>
      </c>
      <c r="R3064" s="7" t="str">
        <f t="shared" si="291"/>
        <v>C51</v>
      </c>
      <c r="S3064" s="18">
        <f t="shared" si="292"/>
        <v>18.826940799148595</v>
      </c>
      <c r="T3064" s="18">
        <f>S3064/Explications!$C$8</f>
        <v>0.62756469330495313</v>
      </c>
    </row>
    <row r="3065" spans="7:20">
      <c r="G3065" s="7" t="s">
        <v>67</v>
      </c>
      <c r="H3065" s="7" t="s">
        <v>71</v>
      </c>
      <c r="I3065" s="7">
        <v>46.765599999999999</v>
      </c>
      <c r="J3065" s="7">
        <v>-71.312100000000001</v>
      </c>
      <c r="K3065" s="7">
        <v>46.788899999999998</v>
      </c>
      <c r="L3065" s="7">
        <v>-71.321399999999997</v>
      </c>
      <c r="M3065" s="10" t="str">
        <f t="shared" si="287"/>
        <v>C51</v>
      </c>
      <c r="N3065" s="10" t="str">
        <f t="shared" si="288"/>
        <v>C55</v>
      </c>
      <c r="O3065" s="5">
        <f t="shared" si="289"/>
        <v>2.6858901418908299</v>
      </c>
      <c r="P3065" s="22">
        <f>O3065/Explications!$C$8</f>
        <v>8.9529671396360991E-2</v>
      </c>
      <c r="Q3065" s="7" t="str">
        <f t="shared" si="290"/>
        <v>C55</v>
      </c>
      <c r="R3065" s="7" t="str">
        <f t="shared" si="291"/>
        <v>C51</v>
      </c>
      <c r="S3065" s="18">
        <f t="shared" si="292"/>
        <v>2.6858901418908299</v>
      </c>
      <c r="T3065" s="18">
        <f>S3065/Explications!$C$8</f>
        <v>8.9529671396360991E-2</v>
      </c>
    </row>
    <row r="3066" spans="7:20">
      <c r="G3066" s="7" t="s">
        <v>67</v>
      </c>
      <c r="H3066" s="7" t="s">
        <v>72</v>
      </c>
      <c r="I3066" s="7">
        <v>46.765599999999999</v>
      </c>
      <c r="J3066" s="7">
        <v>-71.312100000000001</v>
      </c>
      <c r="K3066" s="7">
        <v>46.795400000000001</v>
      </c>
      <c r="L3066" s="7">
        <v>-71.232600000000005</v>
      </c>
      <c r="M3066" s="10" t="str">
        <f t="shared" si="287"/>
        <v>C51</v>
      </c>
      <c r="N3066" s="10" t="str">
        <f t="shared" si="288"/>
        <v>C56</v>
      </c>
      <c r="O3066" s="5">
        <f t="shared" si="289"/>
        <v>6.9011529244168504</v>
      </c>
      <c r="P3066" s="22">
        <f>O3066/Explications!$C$8</f>
        <v>0.23003843081389502</v>
      </c>
      <c r="Q3066" s="7" t="str">
        <f t="shared" si="290"/>
        <v>C56</v>
      </c>
      <c r="R3066" s="7" t="str">
        <f t="shared" si="291"/>
        <v>C51</v>
      </c>
      <c r="S3066" s="18">
        <f t="shared" si="292"/>
        <v>6.9011529244168504</v>
      </c>
      <c r="T3066" s="18">
        <f>S3066/Explications!$C$8</f>
        <v>0.23003843081389502</v>
      </c>
    </row>
    <row r="3067" spans="7:20">
      <c r="G3067" s="7" t="s">
        <v>67</v>
      </c>
      <c r="H3067" s="7" t="s">
        <v>73</v>
      </c>
      <c r="I3067" s="7">
        <v>46.765599999999999</v>
      </c>
      <c r="J3067" s="7">
        <v>-71.312100000000001</v>
      </c>
      <c r="K3067" s="7">
        <v>46.801200000000001</v>
      </c>
      <c r="L3067" s="7">
        <v>-71.224999999999994</v>
      </c>
      <c r="M3067" s="10" t="str">
        <f t="shared" si="287"/>
        <v>C51</v>
      </c>
      <c r="N3067" s="10" t="str">
        <f t="shared" si="288"/>
        <v>C57</v>
      </c>
      <c r="O3067" s="5">
        <f t="shared" si="289"/>
        <v>7.7235106713182287</v>
      </c>
      <c r="P3067" s="22">
        <f>O3067/Explications!$C$8</f>
        <v>0.25745035571060765</v>
      </c>
      <c r="Q3067" s="7" t="str">
        <f t="shared" si="290"/>
        <v>C57</v>
      </c>
      <c r="R3067" s="7" t="str">
        <f t="shared" si="291"/>
        <v>C51</v>
      </c>
      <c r="S3067" s="18">
        <f t="shared" si="292"/>
        <v>7.7235106713182287</v>
      </c>
      <c r="T3067" s="18">
        <f>S3067/Explications!$C$8</f>
        <v>0.25745035571060765</v>
      </c>
    </row>
    <row r="3068" spans="7:20">
      <c r="G3068" s="7" t="s">
        <v>67</v>
      </c>
      <c r="H3068" s="7" t="s">
        <v>74</v>
      </c>
      <c r="I3068" s="7">
        <v>46.765599999999999</v>
      </c>
      <c r="J3068" s="7">
        <v>-71.312100000000001</v>
      </c>
      <c r="K3068" s="7">
        <v>46.773200000000003</v>
      </c>
      <c r="L3068" s="7">
        <v>-71.275899999999993</v>
      </c>
      <c r="M3068" s="10" t="str">
        <f t="shared" si="287"/>
        <v>C51</v>
      </c>
      <c r="N3068" s="10" t="str">
        <f t="shared" si="288"/>
        <v>C58</v>
      </c>
      <c r="O3068" s="5">
        <f t="shared" si="289"/>
        <v>2.8836531978431372</v>
      </c>
      <c r="P3068" s="22">
        <f>O3068/Explications!$C$8</f>
        <v>9.6121773261437907E-2</v>
      </c>
      <c r="Q3068" s="7" t="str">
        <f t="shared" si="290"/>
        <v>C58</v>
      </c>
      <c r="R3068" s="7" t="str">
        <f t="shared" si="291"/>
        <v>C51</v>
      </c>
      <c r="S3068" s="18">
        <f t="shared" si="292"/>
        <v>2.8836531978431372</v>
      </c>
      <c r="T3068" s="18">
        <f>S3068/Explications!$C$8</f>
        <v>9.6121773261437907E-2</v>
      </c>
    </row>
    <row r="3069" spans="7:20">
      <c r="G3069" s="7" t="s">
        <v>67</v>
      </c>
      <c r="H3069" s="7" t="s">
        <v>75</v>
      </c>
      <c r="I3069" s="7">
        <v>46.765599999999999</v>
      </c>
      <c r="J3069" s="7">
        <v>-71.312100000000001</v>
      </c>
      <c r="K3069" s="7">
        <v>46.814399999999999</v>
      </c>
      <c r="L3069" s="7">
        <v>-71.225700000000003</v>
      </c>
      <c r="M3069" s="10" t="str">
        <f t="shared" si="287"/>
        <v>C51</v>
      </c>
      <c r="N3069" s="10" t="str">
        <f t="shared" si="288"/>
        <v>C59</v>
      </c>
      <c r="O3069" s="5">
        <f t="shared" si="289"/>
        <v>8.5271754078226749</v>
      </c>
      <c r="P3069" s="22">
        <f>O3069/Explications!$C$8</f>
        <v>0.28423918026075584</v>
      </c>
      <c r="Q3069" s="7" t="str">
        <f t="shared" si="290"/>
        <v>C59</v>
      </c>
      <c r="R3069" s="7" t="str">
        <f t="shared" si="291"/>
        <v>C51</v>
      </c>
      <c r="S3069" s="18">
        <f t="shared" si="292"/>
        <v>8.5271754078226749</v>
      </c>
      <c r="T3069" s="18">
        <f>S3069/Explications!$C$8</f>
        <v>0.28423918026075584</v>
      </c>
    </row>
    <row r="3070" spans="7:20">
      <c r="G3070" s="7" t="s">
        <v>67</v>
      </c>
      <c r="H3070" s="7" t="s">
        <v>76</v>
      </c>
      <c r="I3070" s="7">
        <v>46.765599999999999</v>
      </c>
      <c r="J3070" s="7">
        <v>-71.312100000000001</v>
      </c>
      <c r="K3070" s="7">
        <v>46.772500000000001</v>
      </c>
      <c r="L3070" s="7">
        <v>-71.276300000000006</v>
      </c>
      <c r="M3070" s="10" t="str">
        <f t="shared" si="287"/>
        <v>C51</v>
      </c>
      <c r="N3070" s="10" t="str">
        <f t="shared" si="288"/>
        <v>C60</v>
      </c>
      <c r="O3070" s="5">
        <f t="shared" si="289"/>
        <v>2.8324897754922778</v>
      </c>
      <c r="P3070" s="22">
        <f>O3070/Explications!$C$8</f>
        <v>9.4416325849742591E-2</v>
      </c>
      <c r="Q3070" s="7" t="str">
        <f t="shared" si="290"/>
        <v>C60</v>
      </c>
      <c r="R3070" s="7" t="str">
        <f t="shared" si="291"/>
        <v>C51</v>
      </c>
      <c r="S3070" s="18">
        <f t="shared" si="292"/>
        <v>2.8324897754922778</v>
      </c>
      <c r="T3070" s="18">
        <f>S3070/Explications!$C$8</f>
        <v>9.4416325849742591E-2</v>
      </c>
    </row>
    <row r="3071" spans="7:20">
      <c r="G3071" s="7" t="s">
        <v>67</v>
      </c>
      <c r="H3071" s="7" t="s">
        <v>77</v>
      </c>
      <c r="I3071" s="7">
        <v>46.765599999999999</v>
      </c>
      <c r="J3071" s="7">
        <v>-71.312100000000001</v>
      </c>
      <c r="K3071" s="7">
        <v>46.810899999999997</v>
      </c>
      <c r="L3071" s="7">
        <v>-71.215599999999995</v>
      </c>
      <c r="M3071" s="10" t="str">
        <f t="shared" si="287"/>
        <v>C51</v>
      </c>
      <c r="N3071" s="10" t="str">
        <f t="shared" si="288"/>
        <v>C61</v>
      </c>
      <c r="O3071" s="5">
        <f t="shared" si="289"/>
        <v>8.9079274680673457</v>
      </c>
      <c r="P3071" s="22">
        <f>O3071/Explications!$C$8</f>
        <v>0.29693091560224488</v>
      </c>
      <c r="Q3071" s="7" t="str">
        <f t="shared" si="290"/>
        <v>C61</v>
      </c>
      <c r="R3071" s="7" t="str">
        <f t="shared" si="291"/>
        <v>C51</v>
      </c>
      <c r="S3071" s="18">
        <f t="shared" si="292"/>
        <v>8.9079274680673457</v>
      </c>
      <c r="T3071" s="18">
        <f>S3071/Explications!$C$8</f>
        <v>0.29693091560224488</v>
      </c>
    </row>
    <row r="3072" spans="7:20">
      <c r="G3072" s="7" t="s">
        <v>67</v>
      </c>
      <c r="H3072" s="7" t="s">
        <v>78</v>
      </c>
      <c r="I3072" s="7">
        <v>46.765599999999999</v>
      </c>
      <c r="J3072" s="7">
        <v>-71.312100000000001</v>
      </c>
      <c r="K3072" s="7">
        <v>46.795200000000001</v>
      </c>
      <c r="L3072" s="7">
        <v>-71.245099999999994</v>
      </c>
      <c r="M3072" s="10" t="str">
        <f t="shared" si="287"/>
        <v>C51</v>
      </c>
      <c r="N3072" s="10" t="str">
        <f t="shared" si="288"/>
        <v>C62</v>
      </c>
      <c r="O3072" s="5">
        <f t="shared" si="289"/>
        <v>6.0713437671097354</v>
      </c>
      <c r="P3072" s="22">
        <f>O3072/Explications!$C$8</f>
        <v>0.2023781255703245</v>
      </c>
      <c r="Q3072" s="7" t="str">
        <f t="shared" si="290"/>
        <v>C62</v>
      </c>
      <c r="R3072" s="7" t="str">
        <f t="shared" si="291"/>
        <v>C51</v>
      </c>
      <c r="S3072" s="18">
        <f t="shared" si="292"/>
        <v>6.0713437671097354</v>
      </c>
      <c r="T3072" s="18">
        <f>S3072/Explications!$C$8</f>
        <v>0.2023781255703245</v>
      </c>
    </row>
    <row r="3073" spans="7:20">
      <c r="G3073" s="7" t="s">
        <v>67</v>
      </c>
      <c r="H3073" s="7" t="s">
        <v>79</v>
      </c>
      <c r="I3073" s="7">
        <v>46.765599999999999</v>
      </c>
      <c r="J3073" s="7">
        <v>-71.312100000000001</v>
      </c>
      <c r="K3073" s="7">
        <v>46.822000000000003</v>
      </c>
      <c r="L3073" s="7">
        <v>-71.345699999999994</v>
      </c>
      <c r="M3073" s="10" t="str">
        <f t="shared" si="287"/>
        <v>C51</v>
      </c>
      <c r="N3073" s="10" t="str">
        <f t="shared" si="288"/>
        <v>C63</v>
      </c>
      <c r="O3073" s="5">
        <f t="shared" si="289"/>
        <v>6.7729647993038053</v>
      </c>
      <c r="P3073" s="22">
        <f>O3073/Explications!$C$8</f>
        <v>0.22576549331012685</v>
      </c>
      <c r="Q3073" s="7" t="str">
        <f t="shared" si="290"/>
        <v>C63</v>
      </c>
      <c r="R3073" s="7" t="str">
        <f t="shared" si="291"/>
        <v>C51</v>
      </c>
      <c r="S3073" s="18">
        <f t="shared" si="292"/>
        <v>6.7729647993038053</v>
      </c>
      <c r="T3073" s="18">
        <f>S3073/Explications!$C$8</f>
        <v>0.22576549331012685</v>
      </c>
    </row>
    <row r="3074" spans="7:20">
      <c r="G3074" s="7" t="s">
        <v>67</v>
      </c>
      <c r="H3074" s="7" t="s">
        <v>80</v>
      </c>
      <c r="I3074" s="7">
        <v>46.765599999999999</v>
      </c>
      <c r="J3074" s="7">
        <v>-71.312100000000001</v>
      </c>
      <c r="K3074" s="7">
        <v>46.779400000000003</v>
      </c>
      <c r="L3074" s="7">
        <v>-71.350399999999993</v>
      </c>
      <c r="M3074" s="10" t="str">
        <f t="shared" si="287"/>
        <v>C51</v>
      </c>
      <c r="N3074" s="10" t="str">
        <f t="shared" si="288"/>
        <v>C64</v>
      </c>
      <c r="O3074" s="5">
        <f t="shared" si="289"/>
        <v>3.2958263809007473</v>
      </c>
      <c r="P3074" s="22">
        <f>O3074/Explications!$C$8</f>
        <v>0.10986087936335824</v>
      </c>
      <c r="Q3074" s="7" t="str">
        <f t="shared" si="290"/>
        <v>C64</v>
      </c>
      <c r="R3074" s="7" t="str">
        <f t="shared" si="291"/>
        <v>C51</v>
      </c>
      <c r="S3074" s="18">
        <f t="shared" si="292"/>
        <v>3.2958263809007473</v>
      </c>
      <c r="T3074" s="18">
        <f>S3074/Explications!$C$8</f>
        <v>0.10986087936335824</v>
      </c>
    </row>
    <row r="3075" spans="7:20">
      <c r="G3075" s="7" t="s">
        <v>67</v>
      </c>
      <c r="H3075" s="7" t="s">
        <v>81</v>
      </c>
      <c r="I3075" s="7">
        <v>46.765599999999999</v>
      </c>
      <c r="J3075" s="7">
        <v>-71.312100000000001</v>
      </c>
      <c r="K3075" s="7">
        <v>46.772300000000001</v>
      </c>
      <c r="L3075" s="7">
        <v>-71.279799999999994</v>
      </c>
      <c r="M3075" s="10" t="str">
        <f t="shared" si="287"/>
        <v>C51</v>
      </c>
      <c r="N3075" s="10" t="str">
        <f t="shared" si="288"/>
        <v>C65</v>
      </c>
      <c r="O3075" s="5">
        <f t="shared" si="289"/>
        <v>2.5703710113591876</v>
      </c>
      <c r="P3075" s="22">
        <f>O3075/Explications!$C$8</f>
        <v>8.5679033711972913E-2</v>
      </c>
      <c r="Q3075" s="7" t="str">
        <f t="shared" si="290"/>
        <v>C65</v>
      </c>
      <c r="R3075" s="7" t="str">
        <f t="shared" si="291"/>
        <v>C51</v>
      </c>
      <c r="S3075" s="18">
        <f t="shared" si="292"/>
        <v>2.5703710113591876</v>
      </c>
      <c r="T3075" s="18">
        <f>S3075/Explications!$C$8</f>
        <v>8.5679033711972913E-2</v>
      </c>
    </row>
    <row r="3076" spans="7:20">
      <c r="G3076" s="7" t="s">
        <v>67</v>
      </c>
      <c r="H3076" s="7" t="s">
        <v>82</v>
      </c>
      <c r="I3076" s="7">
        <v>46.765599999999999</v>
      </c>
      <c r="J3076" s="7">
        <v>-71.312100000000001</v>
      </c>
      <c r="K3076" s="7">
        <v>46.814900000000002</v>
      </c>
      <c r="L3076" s="7">
        <v>-71.225200000000001</v>
      </c>
      <c r="M3076" s="10" t="str">
        <f t="shared" ref="M3076:M3139" si="293">G3076</f>
        <v>C51</v>
      </c>
      <c r="N3076" s="10" t="str">
        <f t="shared" ref="N3076:N3139" si="294">H3076</f>
        <v>C66</v>
      </c>
      <c r="O3076" s="5">
        <f t="shared" ref="O3076:O3139" si="295">ACOS(SIN(RADIANS(I3076))*SIN(RADIANS(K3076))+COS(RADIANS(I3076))*COS(RADIANS(K3076))*COS(RADIANS(J3076-L3076)))*6371</f>
        <v>8.5919158168203325</v>
      </c>
      <c r="P3076" s="22">
        <f>O3076/Explications!$C$8</f>
        <v>0.28639719389401108</v>
      </c>
      <c r="Q3076" s="7" t="str">
        <f t="shared" ref="Q3076:Q3139" si="296">N3076</f>
        <v>C66</v>
      </c>
      <c r="R3076" s="7" t="str">
        <f t="shared" ref="R3076:R3139" si="297">M3076</f>
        <v>C51</v>
      </c>
      <c r="S3076" s="18">
        <f t="shared" ref="S3076:S3139" si="298">O3076</f>
        <v>8.5919158168203325</v>
      </c>
      <c r="T3076" s="18">
        <f>S3076/Explications!$C$8</f>
        <v>0.28639719389401108</v>
      </c>
    </row>
    <row r="3077" spans="7:20">
      <c r="G3077" s="7" t="s">
        <v>67</v>
      </c>
      <c r="H3077" s="7" t="s">
        <v>83</v>
      </c>
      <c r="I3077" s="7">
        <v>46.765599999999999</v>
      </c>
      <c r="J3077" s="7">
        <v>-71.312100000000001</v>
      </c>
      <c r="K3077" s="7">
        <v>46.814700000000002</v>
      </c>
      <c r="L3077" s="7">
        <v>-71.207300000000004</v>
      </c>
      <c r="M3077" s="10" t="str">
        <f t="shared" si="293"/>
        <v>C51</v>
      </c>
      <c r="N3077" s="10" t="str">
        <f t="shared" si="294"/>
        <v>C67</v>
      </c>
      <c r="O3077" s="5">
        <f t="shared" si="295"/>
        <v>9.6678197972562234</v>
      </c>
      <c r="P3077" s="22">
        <f>O3077/Explications!$C$8</f>
        <v>0.3222606599085408</v>
      </c>
      <c r="Q3077" s="7" t="str">
        <f t="shared" si="296"/>
        <v>C67</v>
      </c>
      <c r="R3077" s="7" t="str">
        <f t="shared" si="297"/>
        <v>C51</v>
      </c>
      <c r="S3077" s="18">
        <f t="shared" si="298"/>
        <v>9.6678197972562234</v>
      </c>
      <c r="T3077" s="18">
        <f>S3077/Explications!$C$8</f>
        <v>0.3222606599085408</v>
      </c>
    </row>
    <row r="3078" spans="7:20">
      <c r="G3078" s="7" t="s">
        <v>67</v>
      </c>
      <c r="H3078" s="7" t="s">
        <v>84</v>
      </c>
      <c r="I3078" s="7">
        <v>46.765599999999999</v>
      </c>
      <c r="J3078" s="7">
        <v>-71.312100000000001</v>
      </c>
      <c r="K3078" s="7">
        <v>46.815600000000003</v>
      </c>
      <c r="L3078" s="7">
        <v>-71.2029</v>
      </c>
      <c r="M3078" s="10" t="str">
        <f t="shared" si="293"/>
        <v>C51</v>
      </c>
      <c r="N3078" s="10" t="str">
        <f t="shared" si="294"/>
        <v>C68</v>
      </c>
      <c r="O3078" s="5">
        <f t="shared" si="295"/>
        <v>10.00129779092188</v>
      </c>
      <c r="P3078" s="22">
        <f>O3078/Explications!$C$8</f>
        <v>0.33337659303072936</v>
      </c>
      <c r="Q3078" s="7" t="str">
        <f t="shared" si="296"/>
        <v>C68</v>
      </c>
      <c r="R3078" s="7" t="str">
        <f t="shared" si="297"/>
        <v>C51</v>
      </c>
      <c r="S3078" s="18">
        <f t="shared" si="298"/>
        <v>10.00129779092188</v>
      </c>
      <c r="T3078" s="18">
        <f>S3078/Explications!$C$8</f>
        <v>0.33337659303072936</v>
      </c>
    </row>
    <row r="3079" spans="7:20">
      <c r="G3079" s="7" t="s">
        <v>67</v>
      </c>
      <c r="H3079" s="7" t="s">
        <v>85</v>
      </c>
      <c r="I3079" s="7">
        <v>46.765599999999999</v>
      </c>
      <c r="J3079" s="7">
        <v>-71.312100000000001</v>
      </c>
      <c r="K3079" s="7">
        <v>46.821899999999999</v>
      </c>
      <c r="L3079" s="7">
        <v>-71.249899999999997</v>
      </c>
      <c r="M3079" s="10" t="str">
        <f t="shared" si="293"/>
        <v>C51</v>
      </c>
      <c r="N3079" s="10" t="str">
        <f t="shared" si="294"/>
        <v>C69</v>
      </c>
      <c r="O3079" s="5">
        <f t="shared" si="295"/>
        <v>7.8493436934345668</v>
      </c>
      <c r="P3079" s="22">
        <f>O3079/Explications!$C$8</f>
        <v>0.26164478978115224</v>
      </c>
      <c r="Q3079" s="7" t="str">
        <f t="shared" si="296"/>
        <v>C69</v>
      </c>
      <c r="R3079" s="7" t="str">
        <f t="shared" si="297"/>
        <v>C51</v>
      </c>
      <c r="S3079" s="18">
        <f t="shared" si="298"/>
        <v>7.8493436934345668</v>
      </c>
      <c r="T3079" s="18">
        <f>S3079/Explications!$C$8</f>
        <v>0.26164478978115224</v>
      </c>
    </row>
    <row r="3080" spans="7:20">
      <c r="G3080" s="7" t="s">
        <v>67</v>
      </c>
      <c r="H3080" s="7" t="s">
        <v>86</v>
      </c>
      <c r="I3080" s="7">
        <v>46.765599999999999</v>
      </c>
      <c r="J3080" s="7">
        <v>-71.312100000000001</v>
      </c>
      <c r="K3080" s="7">
        <v>46.8872</v>
      </c>
      <c r="L3080" s="7">
        <v>-71.27</v>
      </c>
      <c r="M3080" s="10" t="str">
        <f t="shared" si="293"/>
        <v>C51</v>
      </c>
      <c r="N3080" s="10" t="str">
        <f t="shared" si="294"/>
        <v>C70</v>
      </c>
      <c r="O3080" s="5">
        <f t="shared" si="295"/>
        <v>13.89549717750311</v>
      </c>
      <c r="P3080" s="22">
        <f>O3080/Explications!$C$8</f>
        <v>0.46318323925010368</v>
      </c>
      <c r="Q3080" s="7" t="str">
        <f t="shared" si="296"/>
        <v>C70</v>
      </c>
      <c r="R3080" s="7" t="str">
        <f t="shared" si="297"/>
        <v>C51</v>
      </c>
      <c r="S3080" s="18">
        <f t="shared" si="298"/>
        <v>13.89549717750311</v>
      </c>
      <c r="T3080" s="18">
        <f>S3080/Explications!$C$8</f>
        <v>0.46318323925010368</v>
      </c>
    </row>
    <row r="3081" spans="7:20">
      <c r="G3081" s="7" t="s">
        <v>67</v>
      </c>
      <c r="H3081" s="7" t="s">
        <v>87</v>
      </c>
      <c r="I3081" s="7">
        <v>46.765599999999999</v>
      </c>
      <c r="J3081" s="7">
        <v>-71.312100000000001</v>
      </c>
      <c r="K3081" s="7">
        <v>46.816299999999998</v>
      </c>
      <c r="L3081" s="7">
        <v>-71.210300000000004</v>
      </c>
      <c r="M3081" s="10" t="str">
        <f t="shared" si="293"/>
        <v>C51</v>
      </c>
      <c r="N3081" s="10" t="str">
        <f t="shared" si="294"/>
        <v>C71</v>
      </c>
      <c r="O3081" s="5">
        <f t="shared" si="295"/>
        <v>9.5836771456510412</v>
      </c>
      <c r="P3081" s="22">
        <f>O3081/Explications!$C$8</f>
        <v>0.31945590485503472</v>
      </c>
      <c r="Q3081" s="7" t="str">
        <f t="shared" si="296"/>
        <v>C71</v>
      </c>
      <c r="R3081" s="7" t="str">
        <f t="shared" si="297"/>
        <v>C51</v>
      </c>
      <c r="S3081" s="18">
        <f t="shared" si="298"/>
        <v>9.5836771456510412</v>
      </c>
      <c r="T3081" s="18">
        <f>S3081/Explications!$C$8</f>
        <v>0.31945590485503472</v>
      </c>
    </row>
    <row r="3082" spans="7:20">
      <c r="G3082" s="7" t="s">
        <v>67</v>
      </c>
      <c r="H3082" s="7" t="s">
        <v>88</v>
      </c>
      <c r="I3082" s="7">
        <v>46.765599999999999</v>
      </c>
      <c r="J3082" s="7">
        <v>-71.312100000000001</v>
      </c>
      <c r="K3082" s="7">
        <v>46.807000000000002</v>
      </c>
      <c r="L3082" s="7">
        <v>-71.3566</v>
      </c>
      <c r="M3082" s="10" t="str">
        <f t="shared" si="293"/>
        <v>C51</v>
      </c>
      <c r="N3082" s="10" t="str">
        <f t="shared" si="294"/>
        <v>C72</v>
      </c>
      <c r="O3082" s="5">
        <f t="shared" si="295"/>
        <v>5.7158809786804543</v>
      </c>
      <c r="P3082" s="22">
        <f>O3082/Explications!$C$8</f>
        <v>0.19052936595601513</v>
      </c>
      <c r="Q3082" s="7" t="str">
        <f t="shared" si="296"/>
        <v>C72</v>
      </c>
      <c r="R3082" s="7" t="str">
        <f t="shared" si="297"/>
        <v>C51</v>
      </c>
      <c r="S3082" s="18">
        <f t="shared" si="298"/>
        <v>5.7158809786804543</v>
      </c>
      <c r="T3082" s="18">
        <f>S3082/Explications!$C$8</f>
        <v>0.19052936595601513</v>
      </c>
    </row>
    <row r="3083" spans="7:20">
      <c r="G3083" s="7" t="s">
        <v>67</v>
      </c>
      <c r="H3083" s="7" t="s">
        <v>89</v>
      </c>
      <c r="I3083" s="7">
        <v>46.765599999999999</v>
      </c>
      <c r="J3083" s="7">
        <v>-71.312100000000001</v>
      </c>
      <c r="K3083" s="7">
        <v>46.822899999999997</v>
      </c>
      <c r="L3083" s="7">
        <v>-71.341899999999995</v>
      </c>
      <c r="M3083" s="10" t="str">
        <f t="shared" si="293"/>
        <v>C51</v>
      </c>
      <c r="N3083" s="10" t="str">
        <f t="shared" si="294"/>
        <v>C73</v>
      </c>
      <c r="O3083" s="5">
        <f t="shared" si="295"/>
        <v>6.7632832580916222</v>
      </c>
      <c r="P3083" s="22">
        <f>O3083/Explications!$C$8</f>
        <v>0.22544277526972073</v>
      </c>
      <c r="Q3083" s="7" t="str">
        <f t="shared" si="296"/>
        <v>C73</v>
      </c>
      <c r="R3083" s="7" t="str">
        <f t="shared" si="297"/>
        <v>C51</v>
      </c>
      <c r="S3083" s="18">
        <f t="shared" si="298"/>
        <v>6.7632832580916222</v>
      </c>
      <c r="T3083" s="18">
        <f>S3083/Explications!$C$8</f>
        <v>0.22544277526972073</v>
      </c>
    </row>
    <row r="3084" spans="7:20">
      <c r="G3084" s="7" t="s">
        <v>67</v>
      </c>
      <c r="H3084" s="7" t="s">
        <v>90</v>
      </c>
      <c r="I3084" s="7">
        <v>46.765599999999999</v>
      </c>
      <c r="J3084" s="7">
        <v>-71.312100000000001</v>
      </c>
      <c r="K3084" s="7">
        <v>46.730699999999999</v>
      </c>
      <c r="L3084" s="7">
        <v>-71.261099999999999</v>
      </c>
      <c r="M3084" s="10" t="str">
        <f t="shared" si="293"/>
        <v>C51</v>
      </c>
      <c r="N3084" s="10" t="str">
        <f t="shared" si="294"/>
        <v>C74</v>
      </c>
      <c r="O3084" s="5">
        <f t="shared" si="295"/>
        <v>5.4917236848885764</v>
      </c>
      <c r="P3084" s="22">
        <f>O3084/Explications!$C$8</f>
        <v>0.18305745616295255</v>
      </c>
      <c r="Q3084" s="7" t="str">
        <f t="shared" si="296"/>
        <v>C74</v>
      </c>
      <c r="R3084" s="7" t="str">
        <f t="shared" si="297"/>
        <v>C51</v>
      </c>
      <c r="S3084" s="18">
        <f t="shared" si="298"/>
        <v>5.4917236848885764</v>
      </c>
      <c r="T3084" s="18">
        <f>S3084/Explications!$C$8</f>
        <v>0.18305745616295255</v>
      </c>
    </row>
    <row r="3085" spans="7:20">
      <c r="G3085" s="7" t="s">
        <v>67</v>
      </c>
      <c r="H3085" s="7" t="s">
        <v>91</v>
      </c>
      <c r="I3085" s="7">
        <v>46.765599999999999</v>
      </c>
      <c r="J3085" s="7">
        <v>-71.312100000000001</v>
      </c>
      <c r="K3085" s="7">
        <v>46.840600000000002</v>
      </c>
      <c r="L3085" s="7">
        <v>-71.289100000000005</v>
      </c>
      <c r="M3085" s="10" t="str">
        <f t="shared" si="293"/>
        <v>C51</v>
      </c>
      <c r="N3085" s="10" t="str">
        <f t="shared" si="294"/>
        <v>C75</v>
      </c>
      <c r="O3085" s="5">
        <f t="shared" si="295"/>
        <v>8.5213796456673325</v>
      </c>
      <c r="P3085" s="22">
        <f>O3085/Explications!$C$8</f>
        <v>0.28404598818891108</v>
      </c>
      <c r="Q3085" s="7" t="str">
        <f t="shared" si="296"/>
        <v>C75</v>
      </c>
      <c r="R3085" s="7" t="str">
        <f t="shared" si="297"/>
        <v>C51</v>
      </c>
      <c r="S3085" s="18">
        <f t="shared" si="298"/>
        <v>8.5213796456673325</v>
      </c>
      <c r="T3085" s="18">
        <f>S3085/Explications!$C$8</f>
        <v>0.28404598818891108</v>
      </c>
    </row>
    <row r="3086" spans="7:20">
      <c r="G3086" s="7" t="s">
        <v>67</v>
      </c>
      <c r="H3086" s="7" t="s">
        <v>92</v>
      </c>
      <c r="I3086" s="7">
        <v>46.765599999999999</v>
      </c>
      <c r="J3086" s="7">
        <v>-71.312100000000001</v>
      </c>
      <c r="K3086" s="7">
        <v>46.840600000000002</v>
      </c>
      <c r="L3086" s="7">
        <v>-71.281599999999997</v>
      </c>
      <c r="M3086" s="10" t="str">
        <f t="shared" si="293"/>
        <v>C51</v>
      </c>
      <c r="N3086" s="10" t="str">
        <f t="shared" si="294"/>
        <v>C76</v>
      </c>
      <c r="O3086" s="5">
        <f t="shared" si="295"/>
        <v>8.6567011129500511</v>
      </c>
      <c r="P3086" s="22">
        <f>O3086/Explications!$C$8</f>
        <v>0.2885567037650017</v>
      </c>
      <c r="Q3086" s="7" t="str">
        <f t="shared" si="296"/>
        <v>C76</v>
      </c>
      <c r="R3086" s="7" t="str">
        <f t="shared" si="297"/>
        <v>C51</v>
      </c>
      <c r="S3086" s="18">
        <f t="shared" si="298"/>
        <v>8.6567011129500511</v>
      </c>
      <c r="T3086" s="18">
        <f>S3086/Explications!$C$8</f>
        <v>0.2885567037650017</v>
      </c>
    </row>
    <row r="3087" spans="7:20">
      <c r="G3087" s="7" t="s">
        <v>67</v>
      </c>
      <c r="H3087" s="7" t="s">
        <v>93</v>
      </c>
      <c r="I3087" s="7">
        <v>46.765599999999999</v>
      </c>
      <c r="J3087" s="7">
        <v>-71.312100000000001</v>
      </c>
      <c r="K3087" s="7">
        <v>46.839399999999998</v>
      </c>
      <c r="L3087" s="7">
        <v>-71.282600000000002</v>
      </c>
      <c r="M3087" s="10" t="str">
        <f t="shared" si="293"/>
        <v>C51</v>
      </c>
      <c r="N3087" s="10" t="str">
        <f t="shared" si="294"/>
        <v>C77</v>
      </c>
      <c r="O3087" s="5">
        <f t="shared" si="295"/>
        <v>8.5078326847498555</v>
      </c>
      <c r="P3087" s="22">
        <f>O3087/Explications!$C$8</f>
        <v>0.2835944228249952</v>
      </c>
      <c r="Q3087" s="7" t="str">
        <f t="shared" si="296"/>
        <v>C77</v>
      </c>
      <c r="R3087" s="7" t="str">
        <f t="shared" si="297"/>
        <v>C51</v>
      </c>
      <c r="S3087" s="18">
        <f t="shared" si="298"/>
        <v>8.5078326847498555</v>
      </c>
      <c r="T3087" s="18">
        <f>S3087/Explications!$C$8</f>
        <v>0.2835944228249952</v>
      </c>
    </row>
    <row r="3088" spans="7:20">
      <c r="G3088" s="7" t="s">
        <v>67</v>
      </c>
      <c r="H3088" s="7" t="s">
        <v>94</v>
      </c>
      <c r="I3088" s="7">
        <v>46.765599999999999</v>
      </c>
      <c r="J3088" s="7">
        <v>-71.312100000000001</v>
      </c>
      <c r="K3088" s="7">
        <v>46.788499999999999</v>
      </c>
      <c r="L3088" s="7">
        <v>-71.282399999999996</v>
      </c>
      <c r="M3088" s="10" t="str">
        <f t="shared" si="293"/>
        <v>C51</v>
      </c>
      <c r="N3088" s="10" t="str">
        <f t="shared" si="294"/>
        <v>C78</v>
      </c>
      <c r="O3088" s="5">
        <f t="shared" si="295"/>
        <v>3.4057504183284304</v>
      </c>
      <c r="P3088" s="22">
        <f>O3088/Explications!$C$8</f>
        <v>0.11352501394428101</v>
      </c>
      <c r="Q3088" s="7" t="str">
        <f t="shared" si="296"/>
        <v>C78</v>
      </c>
      <c r="R3088" s="7" t="str">
        <f t="shared" si="297"/>
        <v>C51</v>
      </c>
      <c r="S3088" s="18">
        <f t="shared" si="298"/>
        <v>3.4057504183284304</v>
      </c>
      <c r="T3088" s="18">
        <f>S3088/Explications!$C$8</f>
        <v>0.11352501394428101</v>
      </c>
    </row>
    <row r="3089" spans="7:20">
      <c r="G3089" s="7" t="s">
        <v>67</v>
      </c>
      <c r="H3089" s="7" t="s">
        <v>95</v>
      </c>
      <c r="I3089" s="7">
        <v>46.765599999999999</v>
      </c>
      <c r="J3089" s="7">
        <v>-71.312100000000001</v>
      </c>
      <c r="K3089" s="7">
        <v>46.840699999999998</v>
      </c>
      <c r="L3089" s="7">
        <v>-71.325400000000002</v>
      </c>
      <c r="M3089" s="10" t="str">
        <f t="shared" si="293"/>
        <v>C51</v>
      </c>
      <c r="N3089" s="10" t="str">
        <f t="shared" si="294"/>
        <v>C79</v>
      </c>
      <c r="O3089" s="5">
        <f t="shared" si="295"/>
        <v>8.4118735904836832</v>
      </c>
      <c r="P3089" s="22">
        <f>O3089/Explications!$C$8</f>
        <v>0.28039578634945611</v>
      </c>
      <c r="Q3089" s="7" t="str">
        <f t="shared" si="296"/>
        <v>C79</v>
      </c>
      <c r="R3089" s="7" t="str">
        <f t="shared" si="297"/>
        <v>C51</v>
      </c>
      <c r="S3089" s="18">
        <f t="shared" si="298"/>
        <v>8.4118735904836832</v>
      </c>
      <c r="T3089" s="18">
        <f>S3089/Explications!$C$8</f>
        <v>0.28039578634945611</v>
      </c>
    </row>
    <row r="3090" spans="7:20">
      <c r="G3090" s="7" t="s">
        <v>67</v>
      </c>
      <c r="H3090" s="7" t="s">
        <v>96</v>
      </c>
      <c r="I3090" s="7">
        <v>46.765599999999999</v>
      </c>
      <c r="J3090" s="7">
        <v>-71.312100000000001</v>
      </c>
      <c r="K3090" s="7">
        <v>46.798400000000001</v>
      </c>
      <c r="L3090" s="7">
        <v>-71.183199999999999</v>
      </c>
      <c r="M3090" s="10" t="str">
        <f t="shared" si="293"/>
        <v>C51</v>
      </c>
      <c r="N3090" s="10" t="str">
        <f t="shared" si="294"/>
        <v>C80</v>
      </c>
      <c r="O3090" s="5">
        <f t="shared" si="295"/>
        <v>10.470650125111787</v>
      </c>
      <c r="P3090" s="22">
        <f>O3090/Explications!$C$8</f>
        <v>0.34902167083705954</v>
      </c>
      <c r="Q3090" s="7" t="str">
        <f t="shared" si="296"/>
        <v>C80</v>
      </c>
      <c r="R3090" s="7" t="str">
        <f t="shared" si="297"/>
        <v>C51</v>
      </c>
      <c r="S3090" s="18">
        <f t="shared" si="298"/>
        <v>10.470650125111787</v>
      </c>
      <c r="T3090" s="18">
        <f>S3090/Explications!$C$8</f>
        <v>0.34902167083705954</v>
      </c>
    </row>
    <row r="3091" spans="7:20">
      <c r="G3091" s="7" t="s">
        <v>67</v>
      </c>
      <c r="H3091" s="7" t="s">
        <v>97</v>
      </c>
      <c r="I3091" s="7">
        <v>46.765599999999999</v>
      </c>
      <c r="J3091" s="7">
        <v>-71.312100000000001</v>
      </c>
      <c r="K3091" s="7">
        <v>46.724800000000002</v>
      </c>
      <c r="L3091" s="7">
        <v>-71.2988</v>
      </c>
      <c r="M3091" s="10" t="str">
        <f t="shared" si="293"/>
        <v>C51</v>
      </c>
      <c r="N3091" s="10" t="str">
        <f t="shared" si="294"/>
        <v>C81</v>
      </c>
      <c r="O3091" s="5">
        <f t="shared" si="295"/>
        <v>4.6485601820879934</v>
      </c>
      <c r="P3091" s="22">
        <f>O3091/Explications!$C$8</f>
        <v>0.15495200606959977</v>
      </c>
      <c r="Q3091" s="7" t="str">
        <f t="shared" si="296"/>
        <v>C81</v>
      </c>
      <c r="R3091" s="7" t="str">
        <f t="shared" si="297"/>
        <v>C51</v>
      </c>
      <c r="S3091" s="18">
        <f t="shared" si="298"/>
        <v>4.6485601820879934</v>
      </c>
      <c r="T3091" s="18">
        <f>S3091/Explications!$C$8</f>
        <v>0.15495200606959977</v>
      </c>
    </row>
    <row r="3092" spans="7:20">
      <c r="G3092" s="7" t="s">
        <v>67</v>
      </c>
      <c r="H3092" s="7" t="s">
        <v>98</v>
      </c>
      <c r="I3092" s="7">
        <v>46.765599999999999</v>
      </c>
      <c r="J3092" s="7">
        <v>-71.312100000000001</v>
      </c>
      <c r="K3092" s="7">
        <v>46.795499999999997</v>
      </c>
      <c r="L3092" s="7">
        <v>-71.242900000000006</v>
      </c>
      <c r="M3092" s="10" t="str">
        <f t="shared" si="293"/>
        <v>C51</v>
      </c>
      <c r="N3092" s="10" t="str">
        <f t="shared" si="294"/>
        <v>C82</v>
      </c>
      <c r="O3092" s="5">
        <f t="shared" si="295"/>
        <v>6.230500345535841</v>
      </c>
      <c r="P3092" s="22">
        <f>O3092/Explications!$C$8</f>
        <v>0.20768334485119469</v>
      </c>
      <c r="Q3092" s="7" t="str">
        <f t="shared" si="296"/>
        <v>C82</v>
      </c>
      <c r="R3092" s="7" t="str">
        <f t="shared" si="297"/>
        <v>C51</v>
      </c>
      <c r="S3092" s="18">
        <f t="shared" si="298"/>
        <v>6.230500345535841</v>
      </c>
      <c r="T3092" s="18">
        <f>S3092/Explications!$C$8</f>
        <v>0.20768334485119469</v>
      </c>
    </row>
    <row r="3093" spans="7:20">
      <c r="G3093" s="7" t="s">
        <v>67</v>
      </c>
      <c r="H3093" s="7" t="s">
        <v>99</v>
      </c>
      <c r="I3093" s="7">
        <v>46.765599999999999</v>
      </c>
      <c r="J3093" s="7">
        <v>-71.312100000000001</v>
      </c>
      <c r="K3093" s="7">
        <v>46.8157</v>
      </c>
      <c r="L3093" s="7">
        <v>-71.201899999999995</v>
      </c>
      <c r="M3093" s="10" t="str">
        <f t="shared" si="293"/>
        <v>C51</v>
      </c>
      <c r="N3093" s="10" t="str">
        <f t="shared" si="294"/>
        <v>C83</v>
      </c>
      <c r="O3093" s="5">
        <f t="shared" si="295"/>
        <v>10.070811037133097</v>
      </c>
      <c r="P3093" s="22">
        <f>O3093/Explications!$C$8</f>
        <v>0.33569370123776993</v>
      </c>
      <c r="Q3093" s="7" t="str">
        <f t="shared" si="296"/>
        <v>C83</v>
      </c>
      <c r="R3093" s="7" t="str">
        <f t="shared" si="297"/>
        <v>C51</v>
      </c>
      <c r="S3093" s="18">
        <f t="shared" si="298"/>
        <v>10.070811037133097</v>
      </c>
      <c r="T3093" s="18">
        <f>S3093/Explications!$C$8</f>
        <v>0.33569370123776993</v>
      </c>
    </row>
    <row r="3094" spans="7:20">
      <c r="G3094" s="7" t="s">
        <v>67</v>
      </c>
      <c r="H3094" s="7" t="s">
        <v>100</v>
      </c>
      <c r="I3094" s="7">
        <v>46.765599999999999</v>
      </c>
      <c r="J3094" s="7">
        <v>-71.312100000000001</v>
      </c>
      <c r="K3094" s="7">
        <v>46.837600000000002</v>
      </c>
      <c r="L3094" s="7">
        <v>-71.196299999999994</v>
      </c>
      <c r="M3094" s="10" t="str">
        <f t="shared" si="293"/>
        <v>C51</v>
      </c>
      <c r="N3094" s="10" t="str">
        <f t="shared" si="294"/>
        <v>C84</v>
      </c>
      <c r="O3094" s="5">
        <f t="shared" si="295"/>
        <v>11.907435992518757</v>
      </c>
      <c r="P3094" s="22">
        <f>O3094/Explications!$C$8</f>
        <v>0.39691453308395858</v>
      </c>
      <c r="Q3094" s="7" t="str">
        <f t="shared" si="296"/>
        <v>C84</v>
      </c>
      <c r="R3094" s="7" t="str">
        <f t="shared" si="297"/>
        <v>C51</v>
      </c>
      <c r="S3094" s="18">
        <f t="shared" si="298"/>
        <v>11.907435992518757</v>
      </c>
      <c r="T3094" s="18">
        <f>S3094/Explications!$C$8</f>
        <v>0.39691453308395858</v>
      </c>
    </row>
    <row r="3095" spans="7:20">
      <c r="G3095" s="7" t="s">
        <v>67</v>
      </c>
      <c r="H3095" s="7" t="s">
        <v>101</v>
      </c>
      <c r="I3095" s="7">
        <v>46.765599999999999</v>
      </c>
      <c r="J3095" s="7">
        <v>-71.312100000000001</v>
      </c>
      <c r="K3095" s="7">
        <v>46.7988</v>
      </c>
      <c r="L3095" s="7">
        <v>-71.318200000000004</v>
      </c>
      <c r="M3095" s="10" t="str">
        <f t="shared" si="293"/>
        <v>C51</v>
      </c>
      <c r="N3095" s="10" t="str">
        <f t="shared" si="294"/>
        <v>C85</v>
      </c>
      <c r="O3095" s="5">
        <f t="shared" si="295"/>
        <v>3.7207761806562623</v>
      </c>
      <c r="P3095" s="22">
        <f>O3095/Explications!$C$8</f>
        <v>0.12402587268854208</v>
      </c>
      <c r="Q3095" s="7" t="str">
        <f t="shared" si="296"/>
        <v>C85</v>
      </c>
      <c r="R3095" s="7" t="str">
        <f t="shared" si="297"/>
        <v>C51</v>
      </c>
      <c r="S3095" s="18">
        <f t="shared" si="298"/>
        <v>3.7207761806562623</v>
      </c>
      <c r="T3095" s="18">
        <f>S3095/Explications!$C$8</f>
        <v>0.12402587268854208</v>
      </c>
    </row>
    <row r="3096" spans="7:20">
      <c r="G3096" s="7" t="s">
        <v>68</v>
      </c>
      <c r="H3096" s="7" t="s">
        <v>69</v>
      </c>
      <c r="I3096" s="7">
        <v>46.787599999999998</v>
      </c>
      <c r="J3096" s="7">
        <v>-71.288600000000002</v>
      </c>
      <c r="K3096" s="7">
        <v>46.764600000000002</v>
      </c>
      <c r="L3096" s="7">
        <v>-71.308300000000003</v>
      </c>
      <c r="M3096" s="10" t="str">
        <f t="shared" si="293"/>
        <v>C52</v>
      </c>
      <c r="N3096" s="10" t="str">
        <f t="shared" si="294"/>
        <v>C53</v>
      </c>
      <c r="O3096" s="5">
        <f t="shared" si="295"/>
        <v>2.9650130275600857</v>
      </c>
      <c r="P3096" s="22">
        <f>O3096/Explications!$C$8</f>
        <v>9.8833767585336185E-2</v>
      </c>
      <c r="Q3096" s="7" t="str">
        <f t="shared" si="296"/>
        <v>C53</v>
      </c>
      <c r="R3096" s="7" t="str">
        <f t="shared" si="297"/>
        <v>C52</v>
      </c>
      <c r="S3096" s="18">
        <f t="shared" si="298"/>
        <v>2.9650130275600857</v>
      </c>
      <c r="T3096" s="18">
        <f>S3096/Explications!$C$8</f>
        <v>9.8833767585336185E-2</v>
      </c>
    </row>
    <row r="3097" spans="7:20">
      <c r="G3097" s="7" t="s">
        <v>68</v>
      </c>
      <c r="H3097" s="7" t="s">
        <v>70</v>
      </c>
      <c r="I3097" s="7">
        <v>46.787599999999998</v>
      </c>
      <c r="J3097" s="7">
        <v>-71.288600000000002</v>
      </c>
      <c r="K3097" s="7">
        <v>46.849699999999999</v>
      </c>
      <c r="L3097" s="7">
        <v>-71.097399999999993</v>
      </c>
      <c r="M3097" s="10" t="str">
        <f t="shared" si="293"/>
        <v>C52</v>
      </c>
      <c r="N3097" s="10" t="str">
        <f t="shared" si="294"/>
        <v>C54</v>
      </c>
      <c r="O3097" s="5">
        <f t="shared" si="295"/>
        <v>16.104276418547283</v>
      </c>
      <c r="P3097" s="22">
        <f>O3097/Explications!$C$8</f>
        <v>0.5368092139515761</v>
      </c>
      <c r="Q3097" s="7" t="str">
        <f t="shared" si="296"/>
        <v>C54</v>
      </c>
      <c r="R3097" s="7" t="str">
        <f t="shared" si="297"/>
        <v>C52</v>
      </c>
      <c r="S3097" s="18">
        <f t="shared" si="298"/>
        <v>16.104276418547283</v>
      </c>
      <c r="T3097" s="18">
        <f>S3097/Explications!$C$8</f>
        <v>0.5368092139515761</v>
      </c>
    </row>
    <row r="3098" spans="7:20">
      <c r="G3098" s="7" t="s">
        <v>68</v>
      </c>
      <c r="H3098" s="7" t="s">
        <v>71</v>
      </c>
      <c r="I3098" s="7">
        <v>46.787599999999998</v>
      </c>
      <c r="J3098" s="7">
        <v>-71.288600000000002</v>
      </c>
      <c r="K3098" s="7">
        <v>46.788899999999998</v>
      </c>
      <c r="L3098" s="7">
        <v>-71.321399999999997</v>
      </c>
      <c r="M3098" s="10" t="str">
        <f t="shared" si="293"/>
        <v>C52</v>
      </c>
      <c r="N3098" s="10" t="str">
        <f t="shared" si="294"/>
        <v>C55</v>
      </c>
      <c r="O3098" s="5">
        <f t="shared" si="295"/>
        <v>2.5014012728475552</v>
      </c>
      <c r="P3098" s="22">
        <f>O3098/Explications!$C$8</f>
        <v>8.3380042428251838E-2</v>
      </c>
      <c r="Q3098" s="7" t="str">
        <f t="shared" si="296"/>
        <v>C55</v>
      </c>
      <c r="R3098" s="7" t="str">
        <f t="shared" si="297"/>
        <v>C52</v>
      </c>
      <c r="S3098" s="18">
        <f t="shared" si="298"/>
        <v>2.5014012728475552</v>
      </c>
      <c r="T3098" s="18">
        <f>S3098/Explications!$C$8</f>
        <v>8.3380042428251838E-2</v>
      </c>
    </row>
    <row r="3099" spans="7:20">
      <c r="G3099" s="7" t="s">
        <v>68</v>
      </c>
      <c r="H3099" s="7" t="s">
        <v>72</v>
      </c>
      <c r="I3099" s="7">
        <v>46.787599999999998</v>
      </c>
      <c r="J3099" s="7">
        <v>-71.288600000000002</v>
      </c>
      <c r="K3099" s="7">
        <v>46.795400000000001</v>
      </c>
      <c r="L3099" s="7">
        <v>-71.232600000000005</v>
      </c>
      <c r="M3099" s="10" t="str">
        <f t="shared" si="293"/>
        <v>C52</v>
      </c>
      <c r="N3099" s="10" t="str">
        <f t="shared" si="294"/>
        <v>C56</v>
      </c>
      <c r="O3099" s="5">
        <f t="shared" si="295"/>
        <v>4.3506195765511455</v>
      </c>
      <c r="P3099" s="22">
        <f>O3099/Explications!$C$8</f>
        <v>0.14502065255170485</v>
      </c>
      <c r="Q3099" s="7" t="str">
        <f t="shared" si="296"/>
        <v>C56</v>
      </c>
      <c r="R3099" s="7" t="str">
        <f t="shared" si="297"/>
        <v>C52</v>
      </c>
      <c r="S3099" s="18">
        <f t="shared" si="298"/>
        <v>4.3506195765511455</v>
      </c>
      <c r="T3099" s="18">
        <f>S3099/Explications!$C$8</f>
        <v>0.14502065255170485</v>
      </c>
    </row>
    <row r="3100" spans="7:20">
      <c r="G3100" s="7" t="s">
        <v>68</v>
      </c>
      <c r="H3100" s="7" t="s">
        <v>73</v>
      </c>
      <c r="I3100" s="7">
        <v>46.787599999999998</v>
      </c>
      <c r="J3100" s="7">
        <v>-71.288600000000002</v>
      </c>
      <c r="K3100" s="7">
        <v>46.801200000000001</v>
      </c>
      <c r="L3100" s="7">
        <v>-71.224999999999994</v>
      </c>
      <c r="M3100" s="10" t="str">
        <f t="shared" si="293"/>
        <v>C52</v>
      </c>
      <c r="N3100" s="10" t="str">
        <f t="shared" si="294"/>
        <v>C57</v>
      </c>
      <c r="O3100" s="5">
        <f t="shared" si="295"/>
        <v>5.0722950781576195</v>
      </c>
      <c r="P3100" s="22">
        <f>O3100/Explications!$C$8</f>
        <v>0.16907650260525398</v>
      </c>
      <c r="Q3100" s="7" t="str">
        <f t="shared" si="296"/>
        <v>C57</v>
      </c>
      <c r="R3100" s="7" t="str">
        <f t="shared" si="297"/>
        <v>C52</v>
      </c>
      <c r="S3100" s="18">
        <f t="shared" si="298"/>
        <v>5.0722950781576195</v>
      </c>
      <c r="T3100" s="18">
        <f>S3100/Explications!$C$8</f>
        <v>0.16907650260525398</v>
      </c>
    </row>
    <row r="3101" spans="7:20">
      <c r="G3101" s="7" t="s">
        <v>68</v>
      </c>
      <c r="H3101" s="7" t="s">
        <v>74</v>
      </c>
      <c r="I3101" s="7">
        <v>46.787599999999998</v>
      </c>
      <c r="J3101" s="7">
        <v>-71.288600000000002</v>
      </c>
      <c r="K3101" s="7">
        <v>46.773200000000003</v>
      </c>
      <c r="L3101" s="7">
        <v>-71.275899999999993</v>
      </c>
      <c r="M3101" s="10" t="str">
        <f t="shared" si="293"/>
        <v>C52</v>
      </c>
      <c r="N3101" s="10" t="str">
        <f t="shared" si="294"/>
        <v>C58</v>
      </c>
      <c r="O3101" s="5">
        <f t="shared" si="295"/>
        <v>1.8705760525934749</v>
      </c>
      <c r="P3101" s="22">
        <f>O3101/Explications!$C$8</f>
        <v>6.2352535086449161E-2</v>
      </c>
      <c r="Q3101" s="7" t="str">
        <f t="shared" si="296"/>
        <v>C58</v>
      </c>
      <c r="R3101" s="7" t="str">
        <f t="shared" si="297"/>
        <v>C52</v>
      </c>
      <c r="S3101" s="18">
        <f t="shared" si="298"/>
        <v>1.8705760525934749</v>
      </c>
      <c r="T3101" s="18">
        <f>S3101/Explications!$C$8</f>
        <v>6.2352535086449161E-2</v>
      </c>
    </row>
    <row r="3102" spans="7:20">
      <c r="G3102" s="7" t="s">
        <v>68</v>
      </c>
      <c r="H3102" s="7" t="s">
        <v>75</v>
      </c>
      <c r="I3102" s="7">
        <v>46.787599999999998</v>
      </c>
      <c r="J3102" s="7">
        <v>-71.288600000000002</v>
      </c>
      <c r="K3102" s="7">
        <v>46.814399999999999</v>
      </c>
      <c r="L3102" s="7">
        <v>-71.225700000000003</v>
      </c>
      <c r="M3102" s="10" t="str">
        <f t="shared" si="293"/>
        <v>C52</v>
      </c>
      <c r="N3102" s="10" t="str">
        <f t="shared" si="294"/>
        <v>C59</v>
      </c>
      <c r="O3102" s="5">
        <f t="shared" si="295"/>
        <v>5.6394174363056484</v>
      </c>
      <c r="P3102" s="22">
        <f>O3102/Explications!$C$8</f>
        <v>0.18798058121018829</v>
      </c>
      <c r="Q3102" s="7" t="str">
        <f t="shared" si="296"/>
        <v>C59</v>
      </c>
      <c r="R3102" s="7" t="str">
        <f t="shared" si="297"/>
        <v>C52</v>
      </c>
      <c r="S3102" s="18">
        <f t="shared" si="298"/>
        <v>5.6394174363056484</v>
      </c>
      <c r="T3102" s="18">
        <f>S3102/Explications!$C$8</f>
        <v>0.18798058121018829</v>
      </c>
    </row>
    <row r="3103" spans="7:20">
      <c r="G3103" s="7" t="s">
        <v>68</v>
      </c>
      <c r="H3103" s="7" t="s">
        <v>76</v>
      </c>
      <c r="I3103" s="7">
        <v>46.787599999999998</v>
      </c>
      <c r="J3103" s="7">
        <v>-71.288600000000002</v>
      </c>
      <c r="K3103" s="7">
        <v>46.772500000000001</v>
      </c>
      <c r="L3103" s="7">
        <v>-71.276300000000006</v>
      </c>
      <c r="M3103" s="10" t="str">
        <f t="shared" si="293"/>
        <v>C52</v>
      </c>
      <c r="N3103" s="10" t="str">
        <f t="shared" si="294"/>
        <v>C60</v>
      </c>
      <c r="O3103" s="5">
        <f t="shared" si="295"/>
        <v>1.922604284672023</v>
      </c>
      <c r="P3103" s="22">
        <f>O3103/Explications!$C$8</f>
        <v>6.4086809489067434E-2</v>
      </c>
      <c r="Q3103" s="7" t="str">
        <f t="shared" si="296"/>
        <v>C60</v>
      </c>
      <c r="R3103" s="7" t="str">
        <f t="shared" si="297"/>
        <v>C52</v>
      </c>
      <c r="S3103" s="18">
        <f t="shared" si="298"/>
        <v>1.922604284672023</v>
      </c>
      <c r="T3103" s="18">
        <f>S3103/Explications!$C$8</f>
        <v>6.4086809489067434E-2</v>
      </c>
    </row>
    <row r="3104" spans="7:20">
      <c r="G3104" s="7" t="s">
        <v>68</v>
      </c>
      <c r="H3104" s="7" t="s">
        <v>77</v>
      </c>
      <c r="I3104" s="7">
        <v>46.787599999999998</v>
      </c>
      <c r="J3104" s="7">
        <v>-71.288600000000002</v>
      </c>
      <c r="K3104" s="7">
        <v>46.810899999999997</v>
      </c>
      <c r="L3104" s="7">
        <v>-71.215599999999995</v>
      </c>
      <c r="M3104" s="10" t="str">
        <f t="shared" si="293"/>
        <v>C52</v>
      </c>
      <c r="N3104" s="10" t="str">
        <f t="shared" si="294"/>
        <v>C61</v>
      </c>
      <c r="O3104" s="5">
        <f t="shared" si="295"/>
        <v>6.1310203947101201</v>
      </c>
      <c r="P3104" s="22">
        <f>O3104/Explications!$C$8</f>
        <v>0.20436734649033733</v>
      </c>
      <c r="Q3104" s="7" t="str">
        <f t="shared" si="296"/>
        <v>C61</v>
      </c>
      <c r="R3104" s="7" t="str">
        <f t="shared" si="297"/>
        <v>C52</v>
      </c>
      <c r="S3104" s="18">
        <f t="shared" si="298"/>
        <v>6.1310203947101201</v>
      </c>
      <c r="T3104" s="18">
        <f>S3104/Explications!$C$8</f>
        <v>0.20436734649033733</v>
      </c>
    </row>
    <row r="3105" spans="7:20">
      <c r="G3105" s="7" t="s">
        <v>68</v>
      </c>
      <c r="H3105" s="7" t="s">
        <v>78</v>
      </c>
      <c r="I3105" s="7">
        <v>46.787599999999998</v>
      </c>
      <c r="J3105" s="7">
        <v>-71.288600000000002</v>
      </c>
      <c r="K3105" s="7">
        <v>46.795200000000001</v>
      </c>
      <c r="L3105" s="7">
        <v>-71.245099999999994</v>
      </c>
      <c r="M3105" s="10" t="str">
        <f t="shared" si="293"/>
        <v>C52</v>
      </c>
      <c r="N3105" s="10" t="str">
        <f t="shared" si="294"/>
        <v>C62</v>
      </c>
      <c r="O3105" s="5">
        <f t="shared" si="295"/>
        <v>3.4177940970351983</v>
      </c>
      <c r="P3105" s="22">
        <f>O3105/Explications!$C$8</f>
        <v>0.11392646990117328</v>
      </c>
      <c r="Q3105" s="7" t="str">
        <f t="shared" si="296"/>
        <v>C62</v>
      </c>
      <c r="R3105" s="7" t="str">
        <f t="shared" si="297"/>
        <v>C52</v>
      </c>
      <c r="S3105" s="18">
        <f t="shared" si="298"/>
        <v>3.4177940970351983</v>
      </c>
      <c r="T3105" s="18">
        <f>S3105/Explications!$C$8</f>
        <v>0.11392646990117328</v>
      </c>
    </row>
    <row r="3106" spans="7:20">
      <c r="G3106" s="7" t="s">
        <v>68</v>
      </c>
      <c r="H3106" s="7" t="s">
        <v>79</v>
      </c>
      <c r="I3106" s="7">
        <v>46.787599999999998</v>
      </c>
      <c r="J3106" s="7">
        <v>-71.288600000000002</v>
      </c>
      <c r="K3106" s="7">
        <v>46.822000000000003</v>
      </c>
      <c r="L3106" s="7">
        <v>-71.345699999999994</v>
      </c>
      <c r="M3106" s="10" t="str">
        <f t="shared" si="293"/>
        <v>C52</v>
      </c>
      <c r="N3106" s="10" t="str">
        <f t="shared" si="294"/>
        <v>C63</v>
      </c>
      <c r="O3106" s="5">
        <f t="shared" si="295"/>
        <v>5.7895416327858733</v>
      </c>
      <c r="P3106" s="22">
        <f>O3106/Explications!$C$8</f>
        <v>0.19298472109286244</v>
      </c>
      <c r="Q3106" s="7" t="str">
        <f t="shared" si="296"/>
        <v>C63</v>
      </c>
      <c r="R3106" s="7" t="str">
        <f t="shared" si="297"/>
        <v>C52</v>
      </c>
      <c r="S3106" s="18">
        <f t="shared" si="298"/>
        <v>5.7895416327858733</v>
      </c>
      <c r="T3106" s="18">
        <f>S3106/Explications!$C$8</f>
        <v>0.19298472109286244</v>
      </c>
    </row>
    <row r="3107" spans="7:20">
      <c r="G3107" s="7" t="s">
        <v>68</v>
      </c>
      <c r="H3107" s="7" t="s">
        <v>80</v>
      </c>
      <c r="I3107" s="7">
        <v>46.787599999999998</v>
      </c>
      <c r="J3107" s="7">
        <v>-71.288600000000002</v>
      </c>
      <c r="K3107" s="7">
        <v>46.779400000000003</v>
      </c>
      <c r="L3107" s="7">
        <v>-71.350399999999993</v>
      </c>
      <c r="M3107" s="10" t="str">
        <f t="shared" si="293"/>
        <v>C52</v>
      </c>
      <c r="N3107" s="10" t="str">
        <f t="shared" si="294"/>
        <v>C64</v>
      </c>
      <c r="O3107" s="5">
        <f t="shared" si="295"/>
        <v>4.7930709194538608</v>
      </c>
      <c r="P3107" s="22">
        <f>O3107/Explications!$C$8</f>
        <v>0.15976903064846201</v>
      </c>
      <c r="Q3107" s="7" t="str">
        <f t="shared" si="296"/>
        <v>C64</v>
      </c>
      <c r="R3107" s="7" t="str">
        <f t="shared" si="297"/>
        <v>C52</v>
      </c>
      <c r="S3107" s="18">
        <f t="shared" si="298"/>
        <v>4.7930709194538608</v>
      </c>
      <c r="T3107" s="18">
        <f>S3107/Explications!$C$8</f>
        <v>0.15976903064846201</v>
      </c>
    </row>
    <row r="3108" spans="7:20">
      <c r="G3108" s="7" t="s">
        <v>68</v>
      </c>
      <c r="H3108" s="7" t="s">
        <v>81</v>
      </c>
      <c r="I3108" s="7">
        <v>46.787599999999998</v>
      </c>
      <c r="J3108" s="7">
        <v>-71.288600000000002</v>
      </c>
      <c r="K3108" s="7">
        <v>46.772300000000001</v>
      </c>
      <c r="L3108" s="7">
        <v>-71.279799999999994</v>
      </c>
      <c r="M3108" s="10" t="str">
        <f t="shared" si="293"/>
        <v>C52</v>
      </c>
      <c r="N3108" s="10" t="str">
        <f t="shared" si="294"/>
        <v>C65</v>
      </c>
      <c r="O3108" s="5">
        <f t="shared" si="295"/>
        <v>1.8284916068762986</v>
      </c>
      <c r="P3108" s="22">
        <f>O3108/Explications!$C$8</f>
        <v>6.0949720229209955E-2</v>
      </c>
      <c r="Q3108" s="7" t="str">
        <f t="shared" si="296"/>
        <v>C65</v>
      </c>
      <c r="R3108" s="7" t="str">
        <f t="shared" si="297"/>
        <v>C52</v>
      </c>
      <c r="S3108" s="18">
        <f t="shared" si="298"/>
        <v>1.8284916068762986</v>
      </c>
      <c r="T3108" s="18">
        <f>S3108/Explications!$C$8</f>
        <v>6.0949720229209955E-2</v>
      </c>
    </row>
    <row r="3109" spans="7:20">
      <c r="G3109" s="7" t="s">
        <v>68</v>
      </c>
      <c r="H3109" s="7" t="s">
        <v>82</v>
      </c>
      <c r="I3109" s="7">
        <v>46.787599999999998</v>
      </c>
      <c r="J3109" s="7">
        <v>-71.288600000000002</v>
      </c>
      <c r="K3109" s="7">
        <v>46.814900000000002</v>
      </c>
      <c r="L3109" s="7">
        <v>-71.225200000000001</v>
      </c>
      <c r="M3109" s="10" t="str">
        <f t="shared" si="293"/>
        <v>C52</v>
      </c>
      <c r="N3109" s="10" t="str">
        <f t="shared" si="294"/>
        <v>C66</v>
      </c>
      <c r="O3109" s="5">
        <f t="shared" si="295"/>
        <v>5.7011527793486811</v>
      </c>
      <c r="P3109" s="22">
        <f>O3109/Explications!$C$8</f>
        <v>0.19003842597828938</v>
      </c>
      <c r="Q3109" s="7" t="str">
        <f t="shared" si="296"/>
        <v>C66</v>
      </c>
      <c r="R3109" s="7" t="str">
        <f t="shared" si="297"/>
        <v>C52</v>
      </c>
      <c r="S3109" s="18">
        <f t="shared" si="298"/>
        <v>5.7011527793486811</v>
      </c>
      <c r="T3109" s="18">
        <f>S3109/Explications!$C$8</f>
        <v>0.19003842597828938</v>
      </c>
    </row>
    <row r="3110" spans="7:20">
      <c r="G3110" s="7" t="s">
        <v>68</v>
      </c>
      <c r="H3110" s="7" t="s">
        <v>83</v>
      </c>
      <c r="I3110" s="7">
        <v>46.787599999999998</v>
      </c>
      <c r="J3110" s="7">
        <v>-71.288600000000002</v>
      </c>
      <c r="K3110" s="7">
        <v>46.814700000000002</v>
      </c>
      <c r="L3110" s="7">
        <v>-71.207300000000004</v>
      </c>
      <c r="M3110" s="10" t="str">
        <f t="shared" si="293"/>
        <v>C52</v>
      </c>
      <c r="N3110" s="10" t="str">
        <f t="shared" si="294"/>
        <v>C67</v>
      </c>
      <c r="O3110" s="5">
        <f t="shared" si="295"/>
        <v>6.8829651804650398</v>
      </c>
      <c r="P3110" s="22">
        <f>O3110/Explications!$C$8</f>
        <v>0.22943217268216801</v>
      </c>
      <c r="Q3110" s="7" t="str">
        <f t="shared" si="296"/>
        <v>C67</v>
      </c>
      <c r="R3110" s="7" t="str">
        <f t="shared" si="297"/>
        <v>C52</v>
      </c>
      <c r="S3110" s="18">
        <f t="shared" si="298"/>
        <v>6.8829651804650398</v>
      </c>
      <c r="T3110" s="18">
        <f>S3110/Explications!$C$8</f>
        <v>0.22943217268216801</v>
      </c>
    </row>
    <row r="3111" spans="7:20">
      <c r="G3111" s="7" t="s">
        <v>68</v>
      </c>
      <c r="H3111" s="7" t="s">
        <v>84</v>
      </c>
      <c r="I3111" s="7">
        <v>46.787599999999998</v>
      </c>
      <c r="J3111" s="7">
        <v>-71.288600000000002</v>
      </c>
      <c r="K3111" s="7">
        <v>46.815600000000003</v>
      </c>
      <c r="L3111" s="7">
        <v>-71.2029</v>
      </c>
      <c r="M3111" s="10" t="str">
        <f t="shared" si="293"/>
        <v>C52</v>
      </c>
      <c r="N3111" s="10" t="str">
        <f t="shared" si="294"/>
        <v>C68</v>
      </c>
      <c r="O3111" s="5">
        <f t="shared" si="295"/>
        <v>7.2280615381314597</v>
      </c>
      <c r="P3111" s="22">
        <f>O3111/Explications!$C$8</f>
        <v>0.24093538460438199</v>
      </c>
      <c r="Q3111" s="7" t="str">
        <f t="shared" si="296"/>
        <v>C68</v>
      </c>
      <c r="R3111" s="7" t="str">
        <f t="shared" si="297"/>
        <v>C52</v>
      </c>
      <c r="S3111" s="18">
        <f t="shared" si="298"/>
        <v>7.2280615381314597</v>
      </c>
      <c r="T3111" s="18">
        <f>S3111/Explications!$C$8</f>
        <v>0.24093538460438199</v>
      </c>
    </row>
    <row r="3112" spans="7:20">
      <c r="G3112" s="7" t="s">
        <v>68</v>
      </c>
      <c r="H3112" s="7" t="s">
        <v>85</v>
      </c>
      <c r="I3112" s="7">
        <v>46.787599999999998</v>
      </c>
      <c r="J3112" s="7">
        <v>-71.288600000000002</v>
      </c>
      <c r="K3112" s="7">
        <v>46.821899999999999</v>
      </c>
      <c r="L3112" s="7">
        <v>-71.249899999999997</v>
      </c>
      <c r="M3112" s="10" t="str">
        <f t="shared" si="293"/>
        <v>C52</v>
      </c>
      <c r="N3112" s="10" t="str">
        <f t="shared" si="294"/>
        <v>C69</v>
      </c>
      <c r="O3112" s="5">
        <f t="shared" si="295"/>
        <v>4.818976464303951</v>
      </c>
      <c r="P3112" s="22">
        <f>O3112/Explications!$C$8</f>
        <v>0.1606325488101317</v>
      </c>
      <c r="Q3112" s="7" t="str">
        <f t="shared" si="296"/>
        <v>C69</v>
      </c>
      <c r="R3112" s="7" t="str">
        <f t="shared" si="297"/>
        <v>C52</v>
      </c>
      <c r="S3112" s="18">
        <f t="shared" si="298"/>
        <v>4.818976464303951</v>
      </c>
      <c r="T3112" s="18">
        <f>S3112/Explications!$C$8</f>
        <v>0.1606325488101317</v>
      </c>
    </row>
    <row r="3113" spans="7:20">
      <c r="G3113" s="7" t="s">
        <v>68</v>
      </c>
      <c r="H3113" s="7" t="s">
        <v>86</v>
      </c>
      <c r="I3113" s="7">
        <v>46.787599999999998</v>
      </c>
      <c r="J3113" s="7">
        <v>-71.288600000000002</v>
      </c>
      <c r="K3113" s="7">
        <v>46.8872</v>
      </c>
      <c r="L3113" s="7">
        <v>-71.27</v>
      </c>
      <c r="M3113" s="10" t="str">
        <f t="shared" si="293"/>
        <v>C52</v>
      </c>
      <c r="N3113" s="10" t="str">
        <f t="shared" si="294"/>
        <v>C70</v>
      </c>
      <c r="O3113" s="5">
        <f t="shared" si="295"/>
        <v>11.165018821500967</v>
      </c>
      <c r="P3113" s="22">
        <f>O3113/Explications!$C$8</f>
        <v>0.37216729405003224</v>
      </c>
      <c r="Q3113" s="7" t="str">
        <f t="shared" si="296"/>
        <v>C70</v>
      </c>
      <c r="R3113" s="7" t="str">
        <f t="shared" si="297"/>
        <v>C52</v>
      </c>
      <c r="S3113" s="18">
        <f t="shared" si="298"/>
        <v>11.165018821500967</v>
      </c>
      <c r="T3113" s="18">
        <f>S3113/Explications!$C$8</f>
        <v>0.37216729405003224</v>
      </c>
    </row>
    <row r="3114" spans="7:20">
      <c r="G3114" s="7" t="s">
        <v>68</v>
      </c>
      <c r="H3114" s="7" t="s">
        <v>87</v>
      </c>
      <c r="I3114" s="7">
        <v>46.787599999999998</v>
      </c>
      <c r="J3114" s="7">
        <v>-71.288600000000002</v>
      </c>
      <c r="K3114" s="7">
        <v>46.816299999999998</v>
      </c>
      <c r="L3114" s="7">
        <v>-71.210300000000004</v>
      </c>
      <c r="M3114" s="10" t="str">
        <f t="shared" si="293"/>
        <v>C52</v>
      </c>
      <c r="N3114" s="10" t="str">
        <f t="shared" si="294"/>
        <v>C71</v>
      </c>
      <c r="O3114" s="5">
        <f t="shared" si="295"/>
        <v>6.7604735604256874</v>
      </c>
      <c r="P3114" s="22">
        <f>O3114/Explications!$C$8</f>
        <v>0.22534911868085625</v>
      </c>
      <c r="Q3114" s="7" t="str">
        <f t="shared" si="296"/>
        <v>C71</v>
      </c>
      <c r="R3114" s="7" t="str">
        <f t="shared" si="297"/>
        <v>C52</v>
      </c>
      <c r="S3114" s="18">
        <f t="shared" si="298"/>
        <v>6.7604735604256874</v>
      </c>
      <c r="T3114" s="18">
        <f>S3114/Explications!$C$8</f>
        <v>0.22534911868085625</v>
      </c>
    </row>
    <row r="3115" spans="7:20">
      <c r="G3115" s="7" t="s">
        <v>68</v>
      </c>
      <c r="H3115" s="7" t="s">
        <v>88</v>
      </c>
      <c r="I3115" s="7">
        <v>46.787599999999998</v>
      </c>
      <c r="J3115" s="7">
        <v>-71.288600000000002</v>
      </c>
      <c r="K3115" s="7">
        <v>46.807000000000002</v>
      </c>
      <c r="L3115" s="7">
        <v>-71.3566</v>
      </c>
      <c r="M3115" s="10" t="str">
        <f t="shared" si="293"/>
        <v>C52</v>
      </c>
      <c r="N3115" s="10" t="str">
        <f t="shared" si="294"/>
        <v>C72</v>
      </c>
      <c r="O3115" s="5">
        <f t="shared" si="295"/>
        <v>5.6078034220047428</v>
      </c>
      <c r="P3115" s="22">
        <f>O3115/Explications!$C$8</f>
        <v>0.18692678073349142</v>
      </c>
      <c r="Q3115" s="7" t="str">
        <f t="shared" si="296"/>
        <v>C72</v>
      </c>
      <c r="R3115" s="7" t="str">
        <f t="shared" si="297"/>
        <v>C52</v>
      </c>
      <c r="S3115" s="18">
        <f t="shared" si="298"/>
        <v>5.6078034220047428</v>
      </c>
      <c r="T3115" s="18">
        <f>S3115/Explications!$C$8</f>
        <v>0.18692678073349142</v>
      </c>
    </row>
    <row r="3116" spans="7:20">
      <c r="G3116" s="7" t="s">
        <v>68</v>
      </c>
      <c r="H3116" s="7" t="s">
        <v>89</v>
      </c>
      <c r="I3116" s="7">
        <v>46.787599999999998</v>
      </c>
      <c r="J3116" s="7">
        <v>-71.288600000000002</v>
      </c>
      <c r="K3116" s="7">
        <v>46.822899999999997</v>
      </c>
      <c r="L3116" s="7">
        <v>-71.341899999999995</v>
      </c>
      <c r="M3116" s="10" t="str">
        <f t="shared" si="293"/>
        <v>C52</v>
      </c>
      <c r="N3116" s="10" t="str">
        <f t="shared" si="294"/>
        <v>C73</v>
      </c>
      <c r="O3116" s="5">
        <f t="shared" si="295"/>
        <v>5.6448096467863733</v>
      </c>
      <c r="P3116" s="22">
        <f>O3116/Explications!$C$8</f>
        <v>0.18816032155954579</v>
      </c>
      <c r="Q3116" s="7" t="str">
        <f t="shared" si="296"/>
        <v>C73</v>
      </c>
      <c r="R3116" s="7" t="str">
        <f t="shared" si="297"/>
        <v>C52</v>
      </c>
      <c r="S3116" s="18">
        <f t="shared" si="298"/>
        <v>5.6448096467863733</v>
      </c>
      <c r="T3116" s="18">
        <f>S3116/Explications!$C$8</f>
        <v>0.18816032155954579</v>
      </c>
    </row>
    <row r="3117" spans="7:20">
      <c r="G3117" s="7" t="s">
        <v>68</v>
      </c>
      <c r="H3117" s="7" t="s">
        <v>90</v>
      </c>
      <c r="I3117" s="7">
        <v>46.787599999999998</v>
      </c>
      <c r="J3117" s="7">
        <v>-71.288600000000002</v>
      </c>
      <c r="K3117" s="7">
        <v>46.730699999999999</v>
      </c>
      <c r="L3117" s="7">
        <v>-71.261099999999999</v>
      </c>
      <c r="M3117" s="10" t="str">
        <f t="shared" si="293"/>
        <v>C52</v>
      </c>
      <c r="N3117" s="10" t="str">
        <f t="shared" si="294"/>
        <v>C74</v>
      </c>
      <c r="O3117" s="5">
        <f t="shared" si="295"/>
        <v>6.6647704400350722</v>
      </c>
      <c r="P3117" s="22">
        <f>O3117/Explications!$C$8</f>
        <v>0.22215901466783575</v>
      </c>
      <c r="Q3117" s="7" t="str">
        <f t="shared" si="296"/>
        <v>C74</v>
      </c>
      <c r="R3117" s="7" t="str">
        <f t="shared" si="297"/>
        <v>C52</v>
      </c>
      <c r="S3117" s="18">
        <f t="shared" si="298"/>
        <v>6.6647704400350722</v>
      </c>
      <c r="T3117" s="18">
        <f>S3117/Explications!$C$8</f>
        <v>0.22215901466783575</v>
      </c>
    </row>
    <row r="3118" spans="7:20">
      <c r="G3118" s="7" t="s">
        <v>68</v>
      </c>
      <c r="H3118" s="7" t="s">
        <v>91</v>
      </c>
      <c r="I3118" s="7">
        <v>46.787599999999998</v>
      </c>
      <c r="J3118" s="7">
        <v>-71.288600000000002</v>
      </c>
      <c r="K3118" s="7">
        <v>46.840600000000002</v>
      </c>
      <c r="L3118" s="7">
        <v>-71.289100000000005</v>
      </c>
      <c r="M3118" s="10" t="str">
        <f t="shared" si="293"/>
        <v>C52</v>
      </c>
      <c r="N3118" s="10" t="str">
        <f t="shared" si="294"/>
        <v>C75</v>
      </c>
      <c r="O3118" s="5">
        <f t="shared" si="295"/>
        <v>5.8934539399366148</v>
      </c>
      <c r="P3118" s="22">
        <f>O3118/Explications!$C$8</f>
        <v>0.19644846466455382</v>
      </c>
      <c r="Q3118" s="7" t="str">
        <f t="shared" si="296"/>
        <v>C75</v>
      </c>
      <c r="R3118" s="7" t="str">
        <f t="shared" si="297"/>
        <v>C52</v>
      </c>
      <c r="S3118" s="18">
        <f t="shared" si="298"/>
        <v>5.8934539399366148</v>
      </c>
      <c r="T3118" s="18">
        <f>S3118/Explications!$C$8</f>
        <v>0.19644846466455382</v>
      </c>
    </row>
    <row r="3119" spans="7:20">
      <c r="G3119" s="7" t="s">
        <v>68</v>
      </c>
      <c r="H3119" s="7" t="s">
        <v>92</v>
      </c>
      <c r="I3119" s="7">
        <v>46.787599999999998</v>
      </c>
      <c r="J3119" s="7">
        <v>-71.288600000000002</v>
      </c>
      <c r="K3119" s="7">
        <v>46.840600000000002</v>
      </c>
      <c r="L3119" s="7">
        <v>-71.281599999999997</v>
      </c>
      <c r="M3119" s="10" t="str">
        <f t="shared" si="293"/>
        <v>C52</v>
      </c>
      <c r="N3119" s="10" t="str">
        <f t="shared" si="294"/>
        <v>C76</v>
      </c>
      <c r="O3119" s="5">
        <f t="shared" si="295"/>
        <v>5.9173564618972865</v>
      </c>
      <c r="P3119" s="22">
        <f>O3119/Explications!$C$8</f>
        <v>0.19724521539657622</v>
      </c>
      <c r="Q3119" s="7" t="str">
        <f t="shared" si="296"/>
        <v>C76</v>
      </c>
      <c r="R3119" s="7" t="str">
        <f t="shared" si="297"/>
        <v>C52</v>
      </c>
      <c r="S3119" s="18">
        <f t="shared" si="298"/>
        <v>5.9173564618972865</v>
      </c>
      <c r="T3119" s="18">
        <f>S3119/Explications!$C$8</f>
        <v>0.19724521539657622</v>
      </c>
    </row>
    <row r="3120" spans="7:20">
      <c r="G3120" s="7" t="s">
        <v>68</v>
      </c>
      <c r="H3120" s="7" t="s">
        <v>93</v>
      </c>
      <c r="I3120" s="7">
        <v>46.787599999999998</v>
      </c>
      <c r="J3120" s="7">
        <v>-71.288600000000002</v>
      </c>
      <c r="K3120" s="7">
        <v>46.839399999999998</v>
      </c>
      <c r="L3120" s="7">
        <v>-71.282600000000002</v>
      </c>
      <c r="M3120" s="10" t="str">
        <f t="shared" si="293"/>
        <v>C52</v>
      </c>
      <c r="N3120" s="10" t="str">
        <f t="shared" si="294"/>
        <v>C77</v>
      </c>
      <c r="O3120" s="5">
        <f t="shared" si="295"/>
        <v>5.7779662626396053</v>
      </c>
      <c r="P3120" s="22">
        <f>O3120/Explications!$C$8</f>
        <v>0.19259887542132018</v>
      </c>
      <c r="Q3120" s="7" t="str">
        <f t="shared" si="296"/>
        <v>C77</v>
      </c>
      <c r="R3120" s="7" t="str">
        <f t="shared" si="297"/>
        <v>C52</v>
      </c>
      <c r="S3120" s="18">
        <f t="shared" si="298"/>
        <v>5.7779662626396053</v>
      </c>
      <c r="T3120" s="18">
        <f>S3120/Explications!$C$8</f>
        <v>0.19259887542132018</v>
      </c>
    </row>
    <row r="3121" spans="7:20">
      <c r="G3121" s="7" t="s">
        <v>68</v>
      </c>
      <c r="H3121" s="7" t="s">
        <v>94</v>
      </c>
      <c r="I3121" s="7">
        <v>46.787599999999998</v>
      </c>
      <c r="J3121" s="7">
        <v>-71.288600000000002</v>
      </c>
      <c r="K3121" s="7">
        <v>46.788499999999999</v>
      </c>
      <c r="L3121" s="7">
        <v>-71.282399999999996</v>
      </c>
      <c r="M3121" s="10" t="str">
        <f t="shared" si="293"/>
        <v>C52</v>
      </c>
      <c r="N3121" s="10" t="str">
        <f t="shared" si="294"/>
        <v>C78</v>
      </c>
      <c r="O3121" s="5">
        <f t="shared" si="295"/>
        <v>0.482529195999575</v>
      </c>
      <c r="P3121" s="22">
        <f>O3121/Explications!$C$8</f>
        <v>1.6084306533319166E-2</v>
      </c>
      <c r="Q3121" s="7" t="str">
        <f t="shared" si="296"/>
        <v>C78</v>
      </c>
      <c r="R3121" s="7" t="str">
        <f t="shared" si="297"/>
        <v>C52</v>
      </c>
      <c r="S3121" s="18">
        <f t="shared" si="298"/>
        <v>0.482529195999575</v>
      </c>
      <c r="T3121" s="18">
        <f>S3121/Explications!$C$8</f>
        <v>1.6084306533319166E-2</v>
      </c>
    </row>
    <row r="3122" spans="7:20">
      <c r="G3122" s="7" t="s">
        <v>68</v>
      </c>
      <c r="H3122" s="7" t="s">
        <v>95</v>
      </c>
      <c r="I3122" s="7">
        <v>46.787599999999998</v>
      </c>
      <c r="J3122" s="7">
        <v>-71.288600000000002</v>
      </c>
      <c r="K3122" s="7">
        <v>46.840699999999998</v>
      </c>
      <c r="L3122" s="7">
        <v>-71.325400000000002</v>
      </c>
      <c r="M3122" s="10" t="str">
        <f t="shared" si="293"/>
        <v>C52</v>
      </c>
      <c r="N3122" s="10" t="str">
        <f t="shared" si="294"/>
        <v>C79</v>
      </c>
      <c r="O3122" s="5">
        <f t="shared" si="295"/>
        <v>6.5348940417350816</v>
      </c>
      <c r="P3122" s="22">
        <f>O3122/Explications!$C$8</f>
        <v>0.21782980139116939</v>
      </c>
      <c r="Q3122" s="7" t="str">
        <f t="shared" si="296"/>
        <v>C79</v>
      </c>
      <c r="R3122" s="7" t="str">
        <f t="shared" si="297"/>
        <v>C52</v>
      </c>
      <c r="S3122" s="18">
        <f t="shared" si="298"/>
        <v>6.5348940417350816</v>
      </c>
      <c r="T3122" s="18">
        <f>S3122/Explications!$C$8</f>
        <v>0.21782980139116939</v>
      </c>
    </row>
    <row r="3123" spans="7:20">
      <c r="G3123" s="7" t="s">
        <v>68</v>
      </c>
      <c r="H3123" s="7" t="s">
        <v>96</v>
      </c>
      <c r="I3123" s="7">
        <v>46.787599999999998</v>
      </c>
      <c r="J3123" s="7">
        <v>-71.288600000000002</v>
      </c>
      <c r="K3123" s="7">
        <v>46.798400000000001</v>
      </c>
      <c r="L3123" s="7">
        <v>-71.183199999999999</v>
      </c>
      <c r="M3123" s="10" t="str">
        <f t="shared" si="293"/>
        <v>C52</v>
      </c>
      <c r="N3123" s="10" t="str">
        <f t="shared" si="294"/>
        <v>C80</v>
      </c>
      <c r="O3123" s="5">
        <f t="shared" si="295"/>
        <v>8.113267366846598</v>
      </c>
      <c r="P3123" s="22">
        <f>O3123/Explications!$C$8</f>
        <v>0.27044224556155327</v>
      </c>
      <c r="Q3123" s="7" t="str">
        <f t="shared" si="296"/>
        <v>C80</v>
      </c>
      <c r="R3123" s="7" t="str">
        <f t="shared" si="297"/>
        <v>C52</v>
      </c>
      <c r="S3123" s="18">
        <f t="shared" si="298"/>
        <v>8.113267366846598</v>
      </c>
      <c r="T3123" s="18">
        <f>S3123/Explications!$C$8</f>
        <v>0.27044224556155327</v>
      </c>
    </row>
    <row r="3124" spans="7:20">
      <c r="G3124" s="7" t="s">
        <v>68</v>
      </c>
      <c r="H3124" s="7" t="s">
        <v>97</v>
      </c>
      <c r="I3124" s="7">
        <v>46.787599999999998</v>
      </c>
      <c r="J3124" s="7">
        <v>-71.288600000000002</v>
      </c>
      <c r="K3124" s="7">
        <v>46.724800000000002</v>
      </c>
      <c r="L3124" s="7">
        <v>-71.2988</v>
      </c>
      <c r="M3124" s="10" t="str">
        <f t="shared" si="293"/>
        <v>C52</v>
      </c>
      <c r="N3124" s="10" t="str">
        <f t="shared" si="294"/>
        <v>C81</v>
      </c>
      <c r="O3124" s="5">
        <f t="shared" si="295"/>
        <v>7.0261407254691273</v>
      </c>
      <c r="P3124" s="22">
        <f>O3124/Explications!$C$8</f>
        <v>0.23420469084897091</v>
      </c>
      <c r="Q3124" s="7" t="str">
        <f t="shared" si="296"/>
        <v>C81</v>
      </c>
      <c r="R3124" s="7" t="str">
        <f t="shared" si="297"/>
        <v>C52</v>
      </c>
      <c r="S3124" s="18">
        <f t="shared" si="298"/>
        <v>7.0261407254691273</v>
      </c>
      <c r="T3124" s="18">
        <f>S3124/Explications!$C$8</f>
        <v>0.23420469084897091</v>
      </c>
    </row>
    <row r="3125" spans="7:20">
      <c r="G3125" s="7" t="s">
        <v>68</v>
      </c>
      <c r="H3125" s="7" t="s">
        <v>98</v>
      </c>
      <c r="I3125" s="7">
        <v>46.787599999999998</v>
      </c>
      <c r="J3125" s="7">
        <v>-71.288600000000002</v>
      </c>
      <c r="K3125" s="7">
        <v>46.795499999999997</v>
      </c>
      <c r="L3125" s="7">
        <v>-71.242900000000006</v>
      </c>
      <c r="M3125" s="10" t="str">
        <f t="shared" si="293"/>
        <v>C52</v>
      </c>
      <c r="N3125" s="10" t="str">
        <f t="shared" si="294"/>
        <v>C82</v>
      </c>
      <c r="O3125" s="5">
        <f t="shared" si="295"/>
        <v>3.5883305526234799</v>
      </c>
      <c r="P3125" s="22">
        <f>O3125/Explications!$C$8</f>
        <v>0.11961101842078266</v>
      </c>
      <c r="Q3125" s="7" t="str">
        <f t="shared" si="296"/>
        <v>C82</v>
      </c>
      <c r="R3125" s="7" t="str">
        <f t="shared" si="297"/>
        <v>C52</v>
      </c>
      <c r="S3125" s="18">
        <f t="shared" si="298"/>
        <v>3.5883305526234799</v>
      </c>
      <c r="T3125" s="18">
        <f>S3125/Explications!$C$8</f>
        <v>0.11961101842078266</v>
      </c>
    </row>
    <row r="3126" spans="7:20">
      <c r="G3126" s="7" t="s">
        <v>68</v>
      </c>
      <c r="H3126" s="7" t="s">
        <v>99</v>
      </c>
      <c r="I3126" s="7">
        <v>46.787599999999998</v>
      </c>
      <c r="J3126" s="7">
        <v>-71.288600000000002</v>
      </c>
      <c r="K3126" s="7">
        <v>46.8157</v>
      </c>
      <c r="L3126" s="7">
        <v>-71.201899999999995</v>
      </c>
      <c r="M3126" s="10" t="str">
        <f t="shared" si="293"/>
        <v>C52</v>
      </c>
      <c r="N3126" s="10" t="str">
        <f t="shared" si="294"/>
        <v>C83</v>
      </c>
      <c r="O3126" s="5">
        <f t="shared" si="295"/>
        <v>7.3015736667125886</v>
      </c>
      <c r="P3126" s="22">
        <f>O3126/Explications!$C$8</f>
        <v>0.24338578889041962</v>
      </c>
      <c r="Q3126" s="7" t="str">
        <f t="shared" si="296"/>
        <v>C83</v>
      </c>
      <c r="R3126" s="7" t="str">
        <f t="shared" si="297"/>
        <v>C52</v>
      </c>
      <c r="S3126" s="18">
        <f t="shared" si="298"/>
        <v>7.3015736667125886</v>
      </c>
      <c r="T3126" s="18">
        <f>S3126/Explications!$C$8</f>
        <v>0.24338578889041962</v>
      </c>
    </row>
    <row r="3127" spans="7:20">
      <c r="G3127" s="7" t="s">
        <v>68</v>
      </c>
      <c r="H3127" s="7" t="s">
        <v>100</v>
      </c>
      <c r="I3127" s="7">
        <v>46.787599999999998</v>
      </c>
      <c r="J3127" s="7">
        <v>-71.288600000000002</v>
      </c>
      <c r="K3127" s="7">
        <v>46.837600000000002</v>
      </c>
      <c r="L3127" s="7">
        <v>-71.196299999999994</v>
      </c>
      <c r="M3127" s="10" t="str">
        <f t="shared" si="293"/>
        <v>C52</v>
      </c>
      <c r="N3127" s="10" t="str">
        <f t="shared" si="294"/>
        <v>C84</v>
      </c>
      <c r="O3127" s="5">
        <f t="shared" si="295"/>
        <v>8.958135708871362</v>
      </c>
      <c r="P3127" s="22">
        <f>O3127/Explications!$C$8</f>
        <v>0.29860452362904538</v>
      </c>
      <c r="Q3127" s="7" t="str">
        <f t="shared" si="296"/>
        <v>C84</v>
      </c>
      <c r="R3127" s="7" t="str">
        <f t="shared" si="297"/>
        <v>C52</v>
      </c>
      <c r="S3127" s="18">
        <f t="shared" si="298"/>
        <v>8.958135708871362</v>
      </c>
      <c r="T3127" s="18">
        <f>S3127/Explications!$C$8</f>
        <v>0.29860452362904538</v>
      </c>
    </row>
    <row r="3128" spans="7:20">
      <c r="G3128" s="7" t="s">
        <v>68</v>
      </c>
      <c r="H3128" s="7" t="s">
        <v>101</v>
      </c>
      <c r="I3128" s="7">
        <v>46.787599999999998</v>
      </c>
      <c r="J3128" s="7">
        <v>-71.288600000000002</v>
      </c>
      <c r="K3128" s="7">
        <v>46.7988</v>
      </c>
      <c r="L3128" s="7">
        <v>-71.318200000000004</v>
      </c>
      <c r="M3128" s="10" t="str">
        <f t="shared" si="293"/>
        <v>C52</v>
      </c>
      <c r="N3128" s="10" t="str">
        <f t="shared" si="294"/>
        <v>C85</v>
      </c>
      <c r="O3128" s="5">
        <f t="shared" si="295"/>
        <v>2.5746284203322718</v>
      </c>
      <c r="P3128" s="22">
        <f>O3128/Explications!$C$8</f>
        <v>8.5820947344409065E-2</v>
      </c>
      <c r="Q3128" s="7" t="str">
        <f t="shared" si="296"/>
        <v>C85</v>
      </c>
      <c r="R3128" s="7" t="str">
        <f t="shared" si="297"/>
        <v>C52</v>
      </c>
      <c r="S3128" s="18">
        <f t="shared" si="298"/>
        <v>2.5746284203322718</v>
      </c>
      <c r="T3128" s="18">
        <f>S3128/Explications!$C$8</f>
        <v>8.5820947344409065E-2</v>
      </c>
    </row>
    <row r="3129" spans="7:20">
      <c r="G3129" s="7" t="s">
        <v>69</v>
      </c>
      <c r="H3129" s="7" t="s">
        <v>70</v>
      </c>
      <c r="I3129" s="7">
        <v>46.764600000000002</v>
      </c>
      <c r="J3129" s="7">
        <v>-71.308300000000003</v>
      </c>
      <c r="K3129" s="7">
        <v>46.849699999999999</v>
      </c>
      <c r="L3129" s="7">
        <v>-71.097399999999993</v>
      </c>
      <c r="M3129" s="10" t="str">
        <f t="shared" si="293"/>
        <v>C53</v>
      </c>
      <c r="N3129" s="10" t="str">
        <f t="shared" si="294"/>
        <v>C54</v>
      </c>
      <c r="O3129" s="5">
        <f t="shared" si="295"/>
        <v>18.632840085344345</v>
      </c>
      <c r="P3129" s="22">
        <f>O3129/Explications!$C$8</f>
        <v>0.62109466951147818</v>
      </c>
      <c r="Q3129" s="7" t="str">
        <f t="shared" si="296"/>
        <v>C54</v>
      </c>
      <c r="R3129" s="7" t="str">
        <f t="shared" si="297"/>
        <v>C53</v>
      </c>
      <c r="S3129" s="18">
        <f t="shared" si="298"/>
        <v>18.632840085344345</v>
      </c>
      <c r="T3129" s="18">
        <f>S3129/Explications!$C$8</f>
        <v>0.62109466951147818</v>
      </c>
    </row>
    <row r="3130" spans="7:20">
      <c r="G3130" s="7" t="s">
        <v>69</v>
      </c>
      <c r="H3130" s="7" t="s">
        <v>71</v>
      </c>
      <c r="I3130" s="7">
        <v>46.764600000000002</v>
      </c>
      <c r="J3130" s="7">
        <v>-71.308300000000003</v>
      </c>
      <c r="K3130" s="7">
        <v>46.788899999999998</v>
      </c>
      <c r="L3130" s="7">
        <v>-71.321399999999997</v>
      </c>
      <c r="M3130" s="10" t="str">
        <f t="shared" si="293"/>
        <v>C53</v>
      </c>
      <c r="N3130" s="10" t="str">
        <f t="shared" si="294"/>
        <v>C55</v>
      </c>
      <c r="O3130" s="5">
        <f t="shared" si="295"/>
        <v>2.880306539365348</v>
      </c>
      <c r="P3130" s="22">
        <f>O3130/Explications!$C$8</f>
        <v>9.6010217978844931E-2</v>
      </c>
      <c r="Q3130" s="7" t="str">
        <f t="shared" si="296"/>
        <v>C55</v>
      </c>
      <c r="R3130" s="7" t="str">
        <f t="shared" si="297"/>
        <v>C53</v>
      </c>
      <c r="S3130" s="18">
        <f t="shared" si="298"/>
        <v>2.880306539365348</v>
      </c>
      <c r="T3130" s="18">
        <f>S3130/Explications!$C$8</f>
        <v>9.6010217978844931E-2</v>
      </c>
    </row>
    <row r="3131" spans="7:20">
      <c r="G3131" s="7" t="s">
        <v>69</v>
      </c>
      <c r="H3131" s="7" t="s">
        <v>72</v>
      </c>
      <c r="I3131" s="7">
        <v>46.764600000000002</v>
      </c>
      <c r="J3131" s="7">
        <v>-71.308300000000003</v>
      </c>
      <c r="K3131" s="7">
        <v>46.795400000000001</v>
      </c>
      <c r="L3131" s="7">
        <v>-71.232600000000005</v>
      </c>
      <c r="M3131" s="10" t="str">
        <f t="shared" si="293"/>
        <v>C53</v>
      </c>
      <c r="N3131" s="10" t="str">
        <f t="shared" si="294"/>
        <v>C56</v>
      </c>
      <c r="O3131" s="5">
        <f t="shared" si="295"/>
        <v>6.704944079670601</v>
      </c>
      <c r="P3131" s="22">
        <f>O3131/Explications!$C$8</f>
        <v>0.22349813598902005</v>
      </c>
      <c r="Q3131" s="7" t="str">
        <f t="shared" si="296"/>
        <v>C56</v>
      </c>
      <c r="R3131" s="7" t="str">
        <f t="shared" si="297"/>
        <v>C53</v>
      </c>
      <c r="S3131" s="18">
        <f t="shared" si="298"/>
        <v>6.704944079670601</v>
      </c>
      <c r="T3131" s="18">
        <f>S3131/Explications!$C$8</f>
        <v>0.22349813598902005</v>
      </c>
    </row>
    <row r="3132" spans="7:20">
      <c r="G3132" s="7" t="s">
        <v>69</v>
      </c>
      <c r="H3132" s="7" t="s">
        <v>73</v>
      </c>
      <c r="I3132" s="7">
        <v>46.764600000000002</v>
      </c>
      <c r="J3132" s="7">
        <v>-71.308300000000003</v>
      </c>
      <c r="K3132" s="7">
        <v>46.801200000000001</v>
      </c>
      <c r="L3132" s="7">
        <v>-71.224999999999994</v>
      </c>
      <c r="M3132" s="10" t="str">
        <f t="shared" si="293"/>
        <v>C53</v>
      </c>
      <c r="N3132" s="10" t="str">
        <f t="shared" si="294"/>
        <v>C57</v>
      </c>
      <c r="O3132" s="5">
        <f t="shared" si="295"/>
        <v>7.536049284229394</v>
      </c>
      <c r="P3132" s="22">
        <f>O3132/Explications!$C$8</f>
        <v>0.25120164280764645</v>
      </c>
      <c r="Q3132" s="7" t="str">
        <f t="shared" si="296"/>
        <v>C57</v>
      </c>
      <c r="R3132" s="7" t="str">
        <f t="shared" si="297"/>
        <v>C53</v>
      </c>
      <c r="S3132" s="18">
        <f t="shared" si="298"/>
        <v>7.536049284229394</v>
      </c>
      <c r="T3132" s="18">
        <f>S3132/Explications!$C$8</f>
        <v>0.25120164280764645</v>
      </c>
    </row>
    <row r="3133" spans="7:20">
      <c r="G3133" s="7" t="s">
        <v>69</v>
      </c>
      <c r="H3133" s="7" t="s">
        <v>74</v>
      </c>
      <c r="I3133" s="7">
        <v>46.764600000000002</v>
      </c>
      <c r="J3133" s="7">
        <v>-71.308300000000003</v>
      </c>
      <c r="K3133" s="7">
        <v>46.773200000000003</v>
      </c>
      <c r="L3133" s="7">
        <v>-71.275899999999993</v>
      </c>
      <c r="M3133" s="10" t="str">
        <f t="shared" si="293"/>
        <v>C53</v>
      </c>
      <c r="N3133" s="10" t="str">
        <f t="shared" si="294"/>
        <v>C58</v>
      </c>
      <c r="O3133" s="5">
        <f t="shared" si="295"/>
        <v>2.6464654257213707</v>
      </c>
      <c r="P3133" s="22">
        <f>O3133/Explications!$C$8</f>
        <v>8.8215514190712357E-2</v>
      </c>
      <c r="Q3133" s="7" t="str">
        <f t="shared" si="296"/>
        <v>C58</v>
      </c>
      <c r="R3133" s="7" t="str">
        <f t="shared" si="297"/>
        <v>C53</v>
      </c>
      <c r="S3133" s="18">
        <f t="shared" si="298"/>
        <v>2.6464654257213707</v>
      </c>
      <c r="T3133" s="18">
        <f>S3133/Explications!$C$8</f>
        <v>8.8215514190712357E-2</v>
      </c>
    </row>
    <row r="3134" spans="7:20">
      <c r="G3134" s="7" t="s">
        <v>69</v>
      </c>
      <c r="H3134" s="7" t="s">
        <v>75</v>
      </c>
      <c r="I3134" s="7">
        <v>46.764600000000002</v>
      </c>
      <c r="J3134" s="7">
        <v>-71.308300000000003</v>
      </c>
      <c r="K3134" s="7">
        <v>46.814399999999999</v>
      </c>
      <c r="L3134" s="7">
        <v>-71.225700000000003</v>
      </c>
      <c r="M3134" s="10" t="str">
        <f t="shared" si="293"/>
        <v>C53</v>
      </c>
      <c r="N3134" s="10" t="str">
        <f t="shared" si="294"/>
        <v>C59</v>
      </c>
      <c r="O3134" s="5">
        <f t="shared" si="295"/>
        <v>8.3791588867782849</v>
      </c>
      <c r="P3134" s="22">
        <f>O3134/Explications!$C$8</f>
        <v>0.27930529622594286</v>
      </c>
      <c r="Q3134" s="7" t="str">
        <f t="shared" si="296"/>
        <v>C59</v>
      </c>
      <c r="R3134" s="7" t="str">
        <f t="shared" si="297"/>
        <v>C53</v>
      </c>
      <c r="S3134" s="18">
        <f t="shared" si="298"/>
        <v>8.3791588867782849</v>
      </c>
      <c r="T3134" s="18">
        <f>S3134/Explications!$C$8</f>
        <v>0.27930529622594286</v>
      </c>
    </row>
    <row r="3135" spans="7:20">
      <c r="G3135" s="7" t="s">
        <v>69</v>
      </c>
      <c r="H3135" s="7" t="s">
        <v>76</v>
      </c>
      <c r="I3135" s="7">
        <v>46.764600000000002</v>
      </c>
      <c r="J3135" s="7">
        <v>-71.308300000000003</v>
      </c>
      <c r="K3135" s="7">
        <v>46.772500000000001</v>
      </c>
      <c r="L3135" s="7">
        <v>-71.276300000000006</v>
      </c>
      <c r="M3135" s="10" t="str">
        <f t="shared" si="293"/>
        <v>C53</v>
      </c>
      <c r="N3135" s="10" t="str">
        <f t="shared" si="294"/>
        <v>C60</v>
      </c>
      <c r="O3135" s="5">
        <f t="shared" si="295"/>
        <v>2.5906800840997368</v>
      </c>
      <c r="P3135" s="22">
        <f>O3135/Explications!$C$8</f>
        <v>8.6356002803324561E-2</v>
      </c>
      <c r="Q3135" s="7" t="str">
        <f t="shared" si="296"/>
        <v>C60</v>
      </c>
      <c r="R3135" s="7" t="str">
        <f t="shared" si="297"/>
        <v>C53</v>
      </c>
      <c r="S3135" s="18">
        <f t="shared" si="298"/>
        <v>2.5906800840997368</v>
      </c>
      <c r="T3135" s="18">
        <f>S3135/Explications!$C$8</f>
        <v>8.6356002803324561E-2</v>
      </c>
    </row>
    <row r="3136" spans="7:20">
      <c r="G3136" s="7" t="s">
        <v>69</v>
      </c>
      <c r="H3136" s="7" t="s">
        <v>77</v>
      </c>
      <c r="I3136" s="7">
        <v>46.764600000000002</v>
      </c>
      <c r="J3136" s="7">
        <v>-71.308300000000003</v>
      </c>
      <c r="K3136" s="7">
        <v>46.810899999999997</v>
      </c>
      <c r="L3136" s="7">
        <v>-71.215599999999995</v>
      </c>
      <c r="M3136" s="10" t="str">
        <f t="shared" si="293"/>
        <v>C53</v>
      </c>
      <c r="N3136" s="10" t="str">
        <f t="shared" si="294"/>
        <v>C61</v>
      </c>
      <c r="O3136" s="5">
        <f t="shared" si="295"/>
        <v>8.7359724033254302</v>
      </c>
      <c r="P3136" s="22">
        <f>O3136/Explications!$C$8</f>
        <v>0.29119908011084766</v>
      </c>
      <c r="Q3136" s="7" t="str">
        <f t="shared" si="296"/>
        <v>C61</v>
      </c>
      <c r="R3136" s="7" t="str">
        <f t="shared" si="297"/>
        <v>C53</v>
      </c>
      <c r="S3136" s="18">
        <f t="shared" si="298"/>
        <v>8.7359724033254302</v>
      </c>
      <c r="T3136" s="18">
        <f>S3136/Explications!$C$8</f>
        <v>0.29119908011084766</v>
      </c>
    </row>
    <row r="3137" spans="7:20">
      <c r="G3137" s="7" t="s">
        <v>69</v>
      </c>
      <c r="H3137" s="7" t="s">
        <v>78</v>
      </c>
      <c r="I3137" s="7">
        <v>46.764600000000002</v>
      </c>
      <c r="J3137" s="7">
        <v>-71.308300000000003</v>
      </c>
      <c r="K3137" s="7">
        <v>46.795200000000001</v>
      </c>
      <c r="L3137" s="7">
        <v>-71.245099999999994</v>
      </c>
      <c r="M3137" s="10" t="str">
        <f t="shared" si="293"/>
        <v>C53</v>
      </c>
      <c r="N3137" s="10" t="str">
        <f t="shared" si="294"/>
        <v>C62</v>
      </c>
      <c r="O3137" s="5">
        <f t="shared" si="295"/>
        <v>5.893832507464448</v>
      </c>
      <c r="P3137" s="22">
        <f>O3137/Explications!$C$8</f>
        <v>0.19646108358214825</v>
      </c>
      <c r="Q3137" s="7" t="str">
        <f t="shared" si="296"/>
        <v>C62</v>
      </c>
      <c r="R3137" s="7" t="str">
        <f t="shared" si="297"/>
        <v>C53</v>
      </c>
      <c r="S3137" s="18">
        <f t="shared" si="298"/>
        <v>5.893832507464448</v>
      </c>
      <c r="T3137" s="18">
        <f>S3137/Explications!$C$8</f>
        <v>0.19646108358214825</v>
      </c>
    </row>
    <row r="3138" spans="7:20">
      <c r="G3138" s="7" t="s">
        <v>69</v>
      </c>
      <c r="H3138" s="7" t="s">
        <v>79</v>
      </c>
      <c r="I3138" s="7">
        <v>46.764600000000002</v>
      </c>
      <c r="J3138" s="7">
        <v>-71.308300000000003</v>
      </c>
      <c r="K3138" s="7">
        <v>46.822000000000003</v>
      </c>
      <c r="L3138" s="7">
        <v>-71.345699999999994</v>
      </c>
      <c r="M3138" s="10" t="str">
        <f t="shared" si="293"/>
        <v>C53</v>
      </c>
      <c r="N3138" s="10" t="str">
        <f t="shared" si="294"/>
        <v>C63</v>
      </c>
      <c r="O3138" s="5">
        <f t="shared" si="295"/>
        <v>6.9888364923322861</v>
      </c>
      <c r="P3138" s="22">
        <f>O3138/Explications!$C$8</f>
        <v>0.2329612164110762</v>
      </c>
      <c r="Q3138" s="7" t="str">
        <f t="shared" si="296"/>
        <v>C63</v>
      </c>
      <c r="R3138" s="7" t="str">
        <f t="shared" si="297"/>
        <v>C53</v>
      </c>
      <c r="S3138" s="18">
        <f t="shared" si="298"/>
        <v>6.9888364923322861</v>
      </c>
      <c r="T3138" s="18">
        <f>S3138/Explications!$C$8</f>
        <v>0.2329612164110762</v>
      </c>
    </row>
    <row r="3139" spans="7:20">
      <c r="G3139" s="7" t="s">
        <v>69</v>
      </c>
      <c r="H3139" s="7" t="s">
        <v>80</v>
      </c>
      <c r="I3139" s="7">
        <v>46.764600000000002</v>
      </c>
      <c r="J3139" s="7">
        <v>-71.308300000000003</v>
      </c>
      <c r="K3139" s="7">
        <v>46.779400000000003</v>
      </c>
      <c r="L3139" s="7">
        <v>-71.350399999999993</v>
      </c>
      <c r="M3139" s="10" t="str">
        <f t="shared" si="293"/>
        <v>C53</v>
      </c>
      <c r="N3139" s="10" t="str">
        <f t="shared" si="294"/>
        <v>C64</v>
      </c>
      <c r="O3139" s="5">
        <f t="shared" si="295"/>
        <v>3.6039237512059197</v>
      </c>
      <c r="P3139" s="22">
        <f>O3139/Explications!$C$8</f>
        <v>0.12013079170686398</v>
      </c>
      <c r="Q3139" s="7" t="str">
        <f t="shared" si="296"/>
        <v>C64</v>
      </c>
      <c r="R3139" s="7" t="str">
        <f t="shared" si="297"/>
        <v>C53</v>
      </c>
      <c r="S3139" s="18">
        <f t="shared" si="298"/>
        <v>3.6039237512059197</v>
      </c>
      <c r="T3139" s="18">
        <f>S3139/Explications!$C$8</f>
        <v>0.12013079170686398</v>
      </c>
    </row>
    <row r="3140" spans="7:20">
      <c r="G3140" s="7" t="s">
        <v>69</v>
      </c>
      <c r="H3140" s="7" t="s">
        <v>81</v>
      </c>
      <c r="I3140" s="7">
        <v>46.764600000000002</v>
      </c>
      <c r="J3140" s="7">
        <v>-71.308300000000003</v>
      </c>
      <c r="K3140" s="7">
        <v>46.772300000000001</v>
      </c>
      <c r="L3140" s="7">
        <v>-71.279799999999994</v>
      </c>
      <c r="M3140" s="10" t="str">
        <f t="shared" ref="M3140:M3203" si="299">G3140</f>
        <v>C53</v>
      </c>
      <c r="N3140" s="10" t="str">
        <f t="shared" ref="N3140:N3203" si="300">H3140</f>
        <v>C65</v>
      </c>
      <c r="O3140" s="5">
        <f t="shared" ref="O3140:O3203" si="301">ACOS(SIN(RADIANS(I3140))*SIN(RADIANS(K3140))+COS(RADIANS(I3140))*COS(RADIANS(K3140))*COS(RADIANS(J3140-L3140)))*6371</f>
        <v>2.3334000147145706</v>
      </c>
      <c r="P3140" s="22">
        <f>O3140/Explications!$C$8</f>
        <v>7.7780000490485682E-2</v>
      </c>
      <c r="Q3140" s="7" t="str">
        <f t="shared" ref="Q3140:Q3203" si="302">N3140</f>
        <v>C65</v>
      </c>
      <c r="R3140" s="7" t="str">
        <f t="shared" ref="R3140:R3203" si="303">M3140</f>
        <v>C53</v>
      </c>
      <c r="S3140" s="18">
        <f t="shared" ref="S3140:S3203" si="304">O3140</f>
        <v>2.3334000147145706</v>
      </c>
      <c r="T3140" s="18">
        <f>S3140/Explications!$C$8</f>
        <v>7.7780000490485682E-2</v>
      </c>
    </row>
    <row r="3141" spans="7:20">
      <c r="G3141" s="7" t="s">
        <v>69</v>
      </c>
      <c r="H3141" s="7" t="s">
        <v>82</v>
      </c>
      <c r="I3141" s="7">
        <v>46.764600000000002</v>
      </c>
      <c r="J3141" s="7">
        <v>-71.308300000000003</v>
      </c>
      <c r="K3141" s="7">
        <v>46.814900000000002</v>
      </c>
      <c r="L3141" s="7">
        <v>-71.225200000000001</v>
      </c>
      <c r="M3141" s="10" t="str">
        <f t="shared" si="299"/>
        <v>C53</v>
      </c>
      <c r="N3141" s="10" t="str">
        <f t="shared" si="300"/>
        <v>C66</v>
      </c>
      <c r="O3141" s="5">
        <f t="shared" si="301"/>
        <v>8.4444646582735992</v>
      </c>
      <c r="P3141" s="22">
        <f>O3141/Explications!$C$8</f>
        <v>0.28148215527578663</v>
      </c>
      <c r="Q3141" s="7" t="str">
        <f t="shared" si="302"/>
        <v>C66</v>
      </c>
      <c r="R3141" s="7" t="str">
        <f t="shared" si="303"/>
        <v>C53</v>
      </c>
      <c r="S3141" s="18">
        <f t="shared" si="304"/>
        <v>8.4444646582735992</v>
      </c>
      <c r="T3141" s="18">
        <f>S3141/Explications!$C$8</f>
        <v>0.28148215527578663</v>
      </c>
    </row>
    <row r="3142" spans="7:20">
      <c r="G3142" s="7" t="s">
        <v>69</v>
      </c>
      <c r="H3142" s="7" t="s">
        <v>83</v>
      </c>
      <c r="I3142" s="7">
        <v>46.764600000000002</v>
      </c>
      <c r="J3142" s="7">
        <v>-71.308300000000003</v>
      </c>
      <c r="K3142" s="7">
        <v>46.814700000000002</v>
      </c>
      <c r="L3142" s="7">
        <v>-71.207300000000004</v>
      </c>
      <c r="M3142" s="10" t="str">
        <f t="shared" si="299"/>
        <v>C53</v>
      </c>
      <c r="N3142" s="10" t="str">
        <f t="shared" si="300"/>
        <v>C67</v>
      </c>
      <c r="O3142" s="5">
        <f t="shared" si="301"/>
        <v>9.495346250471469</v>
      </c>
      <c r="P3142" s="22">
        <f>O3142/Explications!$C$8</f>
        <v>0.31651154168238232</v>
      </c>
      <c r="Q3142" s="7" t="str">
        <f t="shared" si="302"/>
        <v>C67</v>
      </c>
      <c r="R3142" s="7" t="str">
        <f t="shared" si="303"/>
        <v>C53</v>
      </c>
      <c r="S3142" s="18">
        <f t="shared" si="304"/>
        <v>9.495346250471469</v>
      </c>
      <c r="T3142" s="18">
        <f>S3142/Explications!$C$8</f>
        <v>0.31651154168238232</v>
      </c>
    </row>
    <row r="3143" spans="7:20">
      <c r="G3143" s="7" t="s">
        <v>69</v>
      </c>
      <c r="H3143" s="7" t="s">
        <v>84</v>
      </c>
      <c r="I3143" s="7">
        <v>46.764600000000002</v>
      </c>
      <c r="J3143" s="7">
        <v>-71.308300000000003</v>
      </c>
      <c r="K3143" s="7">
        <v>46.815600000000003</v>
      </c>
      <c r="L3143" s="7">
        <v>-71.2029</v>
      </c>
      <c r="M3143" s="10" t="str">
        <f t="shared" si="299"/>
        <v>C53</v>
      </c>
      <c r="N3143" s="10" t="str">
        <f t="shared" si="300"/>
        <v>C68</v>
      </c>
      <c r="O3143" s="5">
        <f t="shared" si="301"/>
        <v>9.8259569314279531</v>
      </c>
      <c r="P3143" s="22">
        <f>O3143/Explications!$C$8</f>
        <v>0.32753189771426511</v>
      </c>
      <c r="Q3143" s="7" t="str">
        <f t="shared" si="302"/>
        <v>C68</v>
      </c>
      <c r="R3143" s="7" t="str">
        <f t="shared" si="303"/>
        <v>C53</v>
      </c>
      <c r="S3143" s="18">
        <f t="shared" si="304"/>
        <v>9.8259569314279531</v>
      </c>
      <c r="T3143" s="18">
        <f>S3143/Explications!$C$8</f>
        <v>0.32753189771426511</v>
      </c>
    </row>
    <row r="3144" spans="7:20">
      <c r="G3144" s="7" t="s">
        <v>69</v>
      </c>
      <c r="H3144" s="7" t="s">
        <v>85</v>
      </c>
      <c r="I3144" s="7">
        <v>46.764600000000002</v>
      </c>
      <c r="J3144" s="7">
        <v>-71.308300000000003</v>
      </c>
      <c r="K3144" s="7">
        <v>46.821899999999999</v>
      </c>
      <c r="L3144" s="7">
        <v>-71.249899999999997</v>
      </c>
      <c r="M3144" s="10" t="str">
        <f t="shared" si="299"/>
        <v>C53</v>
      </c>
      <c r="N3144" s="10" t="str">
        <f t="shared" si="300"/>
        <v>C69</v>
      </c>
      <c r="O3144" s="5">
        <f t="shared" si="301"/>
        <v>7.7692516153833733</v>
      </c>
      <c r="P3144" s="22">
        <f>O3144/Explications!$C$8</f>
        <v>0.25897505384611247</v>
      </c>
      <c r="Q3144" s="7" t="str">
        <f t="shared" si="302"/>
        <v>C69</v>
      </c>
      <c r="R3144" s="7" t="str">
        <f t="shared" si="303"/>
        <v>C53</v>
      </c>
      <c r="S3144" s="18">
        <f t="shared" si="304"/>
        <v>7.7692516153833733</v>
      </c>
      <c r="T3144" s="18">
        <f>S3144/Explications!$C$8</f>
        <v>0.25897505384611247</v>
      </c>
    </row>
    <row r="3145" spans="7:20">
      <c r="G3145" s="7" t="s">
        <v>69</v>
      </c>
      <c r="H3145" s="7" t="s">
        <v>86</v>
      </c>
      <c r="I3145" s="7">
        <v>46.764600000000002</v>
      </c>
      <c r="J3145" s="7">
        <v>-71.308300000000003</v>
      </c>
      <c r="K3145" s="7">
        <v>46.8872</v>
      </c>
      <c r="L3145" s="7">
        <v>-71.27</v>
      </c>
      <c r="M3145" s="10" t="str">
        <f t="shared" si="299"/>
        <v>C53</v>
      </c>
      <c r="N3145" s="10" t="str">
        <f t="shared" si="300"/>
        <v>C70</v>
      </c>
      <c r="O3145" s="5">
        <f t="shared" si="301"/>
        <v>13.940442219223359</v>
      </c>
      <c r="P3145" s="22">
        <f>O3145/Explications!$C$8</f>
        <v>0.46468140730744528</v>
      </c>
      <c r="Q3145" s="7" t="str">
        <f t="shared" si="302"/>
        <v>C70</v>
      </c>
      <c r="R3145" s="7" t="str">
        <f t="shared" si="303"/>
        <v>C53</v>
      </c>
      <c r="S3145" s="18">
        <f t="shared" si="304"/>
        <v>13.940442219223359</v>
      </c>
      <c r="T3145" s="18">
        <f>S3145/Explications!$C$8</f>
        <v>0.46468140730744528</v>
      </c>
    </row>
    <row r="3146" spans="7:20">
      <c r="G3146" s="7" t="s">
        <v>69</v>
      </c>
      <c r="H3146" s="7" t="s">
        <v>87</v>
      </c>
      <c r="I3146" s="7">
        <v>46.764600000000002</v>
      </c>
      <c r="J3146" s="7">
        <v>-71.308300000000003</v>
      </c>
      <c r="K3146" s="7">
        <v>46.816299999999998</v>
      </c>
      <c r="L3146" s="7">
        <v>-71.210300000000004</v>
      </c>
      <c r="M3146" s="10" t="str">
        <f t="shared" si="299"/>
        <v>C53</v>
      </c>
      <c r="N3146" s="10" t="str">
        <f t="shared" si="300"/>
        <v>C71</v>
      </c>
      <c r="O3146" s="5">
        <f t="shared" si="301"/>
        <v>9.4187850430847</v>
      </c>
      <c r="P3146" s="22">
        <f>O3146/Explications!$C$8</f>
        <v>0.31395950143615664</v>
      </c>
      <c r="Q3146" s="7" t="str">
        <f t="shared" si="302"/>
        <v>C71</v>
      </c>
      <c r="R3146" s="7" t="str">
        <f t="shared" si="303"/>
        <v>C53</v>
      </c>
      <c r="S3146" s="18">
        <f t="shared" si="304"/>
        <v>9.4187850430847</v>
      </c>
      <c r="T3146" s="18">
        <f>S3146/Explications!$C$8</f>
        <v>0.31395950143615664</v>
      </c>
    </row>
    <row r="3147" spans="7:20">
      <c r="G3147" s="7" t="s">
        <v>69</v>
      </c>
      <c r="H3147" s="7" t="s">
        <v>88</v>
      </c>
      <c r="I3147" s="7">
        <v>46.764600000000002</v>
      </c>
      <c r="J3147" s="7">
        <v>-71.308300000000003</v>
      </c>
      <c r="K3147" s="7">
        <v>46.807000000000002</v>
      </c>
      <c r="L3147" s="7">
        <v>-71.3566</v>
      </c>
      <c r="M3147" s="10" t="str">
        <f t="shared" si="299"/>
        <v>C53</v>
      </c>
      <c r="N3147" s="10" t="str">
        <f t="shared" si="300"/>
        <v>C72</v>
      </c>
      <c r="O3147" s="5">
        <f t="shared" si="301"/>
        <v>5.9792895201015543</v>
      </c>
      <c r="P3147" s="22">
        <f>O3147/Explications!$C$8</f>
        <v>0.19930965067005182</v>
      </c>
      <c r="Q3147" s="7" t="str">
        <f t="shared" si="302"/>
        <v>C72</v>
      </c>
      <c r="R3147" s="7" t="str">
        <f t="shared" si="303"/>
        <v>C53</v>
      </c>
      <c r="S3147" s="18">
        <f t="shared" si="304"/>
        <v>5.9792895201015543</v>
      </c>
      <c r="T3147" s="18">
        <f>S3147/Explications!$C$8</f>
        <v>0.19930965067005182</v>
      </c>
    </row>
    <row r="3148" spans="7:20">
      <c r="G3148" s="7" t="s">
        <v>69</v>
      </c>
      <c r="H3148" s="7" t="s">
        <v>89</v>
      </c>
      <c r="I3148" s="7">
        <v>46.764600000000002</v>
      </c>
      <c r="J3148" s="7">
        <v>-71.308300000000003</v>
      </c>
      <c r="K3148" s="7">
        <v>46.822899999999997</v>
      </c>
      <c r="L3148" s="7">
        <v>-71.341899999999995</v>
      </c>
      <c r="M3148" s="10" t="str">
        <f t="shared" si="299"/>
        <v>C53</v>
      </c>
      <c r="N3148" s="10" t="str">
        <f t="shared" si="300"/>
        <v>C73</v>
      </c>
      <c r="O3148" s="5">
        <f t="shared" si="301"/>
        <v>6.9690471825344442</v>
      </c>
      <c r="P3148" s="22">
        <f>O3148/Explications!$C$8</f>
        <v>0.23230157275114813</v>
      </c>
      <c r="Q3148" s="7" t="str">
        <f t="shared" si="302"/>
        <v>C73</v>
      </c>
      <c r="R3148" s="7" t="str">
        <f t="shared" si="303"/>
        <v>C53</v>
      </c>
      <c r="S3148" s="18">
        <f t="shared" si="304"/>
        <v>6.9690471825344442</v>
      </c>
      <c r="T3148" s="18">
        <f>S3148/Explications!$C$8</f>
        <v>0.23230157275114813</v>
      </c>
    </row>
    <row r="3149" spans="7:20">
      <c r="G3149" s="7" t="s">
        <v>69</v>
      </c>
      <c r="H3149" s="7" t="s">
        <v>90</v>
      </c>
      <c r="I3149" s="7">
        <v>46.764600000000002</v>
      </c>
      <c r="J3149" s="7">
        <v>-71.308300000000003</v>
      </c>
      <c r="K3149" s="7">
        <v>46.730699999999999</v>
      </c>
      <c r="L3149" s="7">
        <v>-71.261099999999999</v>
      </c>
      <c r="M3149" s="10" t="str">
        <f t="shared" si="299"/>
        <v>C53</v>
      </c>
      <c r="N3149" s="10" t="str">
        <f t="shared" si="300"/>
        <v>C74</v>
      </c>
      <c r="O3149" s="5">
        <f t="shared" si="301"/>
        <v>5.2098327980005044</v>
      </c>
      <c r="P3149" s="22">
        <f>O3149/Explications!$C$8</f>
        <v>0.17366109326668347</v>
      </c>
      <c r="Q3149" s="7" t="str">
        <f t="shared" si="302"/>
        <v>C74</v>
      </c>
      <c r="R3149" s="7" t="str">
        <f t="shared" si="303"/>
        <v>C53</v>
      </c>
      <c r="S3149" s="18">
        <f t="shared" si="304"/>
        <v>5.2098327980005044</v>
      </c>
      <c r="T3149" s="18">
        <f>S3149/Explications!$C$8</f>
        <v>0.17366109326668347</v>
      </c>
    </row>
    <row r="3150" spans="7:20">
      <c r="G3150" s="7" t="s">
        <v>69</v>
      </c>
      <c r="H3150" s="7" t="s">
        <v>91</v>
      </c>
      <c r="I3150" s="7">
        <v>46.764600000000002</v>
      </c>
      <c r="J3150" s="7">
        <v>-71.308300000000003</v>
      </c>
      <c r="K3150" s="7">
        <v>46.840600000000002</v>
      </c>
      <c r="L3150" s="7">
        <v>-71.289100000000005</v>
      </c>
      <c r="M3150" s="10" t="str">
        <f t="shared" si="299"/>
        <v>C53</v>
      </c>
      <c r="N3150" s="10" t="str">
        <f t="shared" si="300"/>
        <v>C75</v>
      </c>
      <c r="O3150" s="5">
        <f t="shared" si="301"/>
        <v>8.5762432106792108</v>
      </c>
      <c r="P3150" s="22">
        <f>O3150/Explications!$C$8</f>
        <v>0.28587477368930703</v>
      </c>
      <c r="Q3150" s="7" t="str">
        <f t="shared" si="302"/>
        <v>C75</v>
      </c>
      <c r="R3150" s="7" t="str">
        <f t="shared" si="303"/>
        <v>C53</v>
      </c>
      <c r="S3150" s="18">
        <f t="shared" si="304"/>
        <v>8.5762432106792108</v>
      </c>
      <c r="T3150" s="18">
        <f>S3150/Explications!$C$8</f>
        <v>0.28587477368930703</v>
      </c>
    </row>
    <row r="3151" spans="7:20">
      <c r="G3151" s="7" t="s">
        <v>69</v>
      </c>
      <c r="H3151" s="7" t="s">
        <v>92</v>
      </c>
      <c r="I3151" s="7">
        <v>46.764600000000002</v>
      </c>
      <c r="J3151" s="7">
        <v>-71.308300000000003</v>
      </c>
      <c r="K3151" s="7">
        <v>46.840600000000002</v>
      </c>
      <c r="L3151" s="7">
        <v>-71.281599999999997</v>
      </c>
      <c r="M3151" s="10" t="str">
        <f t="shared" si="299"/>
        <v>C53</v>
      </c>
      <c r="N3151" s="10" t="str">
        <f t="shared" si="300"/>
        <v>C76</v>
      </c>
      <c r="O3151" s="5">
        <f t="shared" si="301"/>
        <v>8.6917391500517098</v>
      </c>
      <c r="P3151" s="22">
        <f>O3151/Explications!$C$8</f>
        <v>0.28972463833505702</v>
      </c>
      <c r="Q3151" s="7" t="str">
        <f t="shared" si="302"/>
        <v>C76</v>
      </c>
      <c r="R3151" s="7" t="str">
        <f t="shared" si="303"/>
        <v>C53</v>
      </c>
      <c r="S3151" s="18">
        <f t="shared" si="304"/>
        <v>8.6917391500517098</v>
      </c>
      <c r="T3151" s="18">
        <f>S3151/Explications!$C$8</f>
        <v>0.28972463833505702</v>
      </c>
    </row>
    <row r="3152" spans="7:20">
      <c r="G3152" s="7" t="s">
        <v>69</v>
      </c>
      <c r="H3152" s="7" t="s">
        <v>93</v>
      </c>
      <c r="I3152" s="7">
        <v>46.764600000000002</v>
      </c>
      <c r="J3152" s="7">
        <v>-71.308300000000003</v>
      </c>
      <c r="K3152" s="7">
        <v>46.839399999999998</v>
      </c>
      <c r="L3152" s="7">
        <v>-71.282600000000002</v>
      </c>
      <c r="M3152" s="10" t="str">
        <f t="shared" si="299"/>
        <v>C53</v>
      </c>
      <c r="N3152" s="10" t="str">
        <f t="shared" si="300"/>
        <v>C77</v>
      </c>
      <c r="O3152" s="5">
        <f t="shared" si="301"/>
        <v>8.5443194149542325</v>
      </c>
      <c r="P3152" s="22">
        <f>O3152/Explications!$C$8</f>
        <v>0.2848106471651411</v>
      </c>
      <c r="Q3152" s="7" t="str">
        <f t="shared" si="302"/>
        <v>C77</v>
      </c>
      <c r="R3152" s="7" t="str">
        <f t="shared" si="303"/>
        <v>C53</v>
      </c>
      <c r="S3152" s="18">
        <f t="shared" si="304"/>
        <v>8.5443194149542325</v>
      </c>
      <c r="T3152" s="18">
        <f>S3152/Explications!$C$8</f>
        <v>0.2848106471651411</v>
      </c>
    </row>
    <row r="3153" spans="7:20">
      <c r="G3153" s="7" t="s">
        <v>69</v>
      </c>
      <c r="H3153" s="7" t="s">
        <v>94</v>
      </c>
      <c r="I3153" s="7">
        <v>46.764600000000002</v>
      </c>
      <c r="J3153" s="7">
        <v>-71.308300000000003</v>
      </c>
      <c r="K3153" s="7">
        <v>46.788499999999999</v>
      </c>
      <c r="L3153" s="7">
        <v>-71.282399999999996</v>
      </c>
      <c r="M3153" s="10" t="str">
        <f t="shared" si="299"/>
        <v>C53</v>
      </c>
      <c r="N3153" s="10" t="str">
        <f t="shared" si="300"/>
        <v>C78</v>
      </c>
      <c r="O3153" s="5">
        <f t="shared" si="301"/>
        <v>3.3094807185289805</v>
      </c>
      <c r="P3153" s="22">
        <f>O3153/Explications!$C$8</f>
        <v>0.11031602395096601</v>
      </c>
      <c r="Q3153" s="7" t="str">
        <f t="shared" si="302"/>
        <v>C78</v>
      </c>
      <c r="R3153" s="7" t="str">
        <f t="shared" si="303"/>
        <v>C53</v>
      </c>
      <c r="S3153" s="18">
        <f t="shared" si="304"/>
        <v>3.3094807185289805</v>
      </c>
      <c r="T3153" s="18">
        <f>S3153/Explications!$C$8</f>
        <v>0.11031602395096601</v>
      </c>
    </row>
    <row r="3154" spans="7:20">
      <c r="G3154" s="7" t="s">
        <v>69</v>
      </c>
      <c r="H3154" s="7" t="s">
        <v>95</v>
      </c>
      <c r="I3154" s="7">
        <v>46.764600000000002</v>
      </c>
      <c r="J3154" s="7">
        <v>-71.308300000000003</v>
      </c>
      <c r="K3154" s="7">
        <v>46.840699999999998</v>
      </c>
      <c r="L3154" s="7">
        <v>-71.325400000000002</v>
      </c>
      <c r="M3154" s="10" t="str">
        <f t="shared" si="299"/>
        <v>C53</v>
      </c>
      <c r="N3154" s="10" t="str">
        <f t="shared" si="300"/>
        <v>C79</v>
      </c>
      <c r="O3154" s="5">
        <f t="shared" si="301"/>
        <v>8.561446950512968</v>
      </c>
      <c r="P3154" s="22">
        <f>O3154/Explications!$C$8</f>
        <v>0.28538156501709894</v>
      </c>
      <c r="Q3154" s="7" t="str">
        <f t="shared" si="302"/>
        <v>C79</v>
      </c>
      <c r="R3154" s="7" t="str">
        <f t="shared" si="303"/>
        <v>C53</v>
      </c>
      <c r="S3154" s="18">
        <f t="shared" si="304"/>
        <v>8.561446950512968</v>
      </c>
      <c r="T3154" s="18">
        <f>S3154/Explications!$C$8</f>
        <v>0.28538156501709894</v>
      </c>
    </row>
    <row r="3155" spans="7:20">
      <c r="G3155" s="7" t="s">
        <v>69</v>
      </c>
      <c r="H3155" s="7" t="s">
        <v>96</v>
      </c>
      <c r="I3155" s="7">
        <v>46.764600000000002</v>
      </c>
      <c r="J3155" s="7">
        <v>-71.308300000000003</v>
      </c>
      <c r="K3155" s="7">
        <v>46.798400000000001</v>
      </c>
      <c r="L3155" s="7">
        <v>-71.183199999999999</v>
      </c>
      <c r="M3155" s="10" t="str">
        <f t="shared" si="299"/>
        <v>C53</v>
      </c>
      <c r="N3155" s="10" t="str">
        <f t="shared" si="300"/>
        <v>C80</v>
      </c>
      <c r="O3155" s="5">
        <f t="shared" si="301"/>
        <v>10.24029190872178</v>
      </c>
      <c r="P3155" s="22">
        <f>O3155/Explications!$C$8</f>
        <v>0.34134306362405931</v>
      </c>
      <c r="Q3155" s="7" t="str">
        <f t="shared" si="302"/>
        <v>C80</v>
      </c>
      <c r="R3155" s="7" t="str">
        <f t="shared" si="303"/>
        <v>C53</v>
      </c>
      <c r="S3155" s="18">
        <f t="shared" si="304"/>
        <v>10.24029190872178</v>
      </c>
      <c r="T3155" s="18">
        <f>S3155/Explications!$C$8</f>
        <v>0.34134306362405931</v>
      </c>
    </row>
    <row r="3156" spans="7:20">
      <c r="G3156" s="7" t="s">
        <v>69</v>
      </c>
      <c r="H3156" s="7" t="s">
        <v>97</v>
      </c>
      <c r="I3156" s="7">
        <v>46.764600000000002</v>
      </c>
      <c r="J3156" s="7">
        <v>-71.308300000000003</v>
      </c>
      <c r="K3156" s="7">
        <v>46.724800000000002</v>
      </c>
      <c r="L3156" s="7">
        <v>-71.2988</v>
      </c>
      <c r="M3156" s="10" t="str">
        <f t="shared" si="299"/>
        <v>C53</v>
      </c>
      <c r="N3156" s="10" t="str">
        <f t="shared" si="300"/>
        <v>C81</v>
      </c>
      <c r="O3156" s="5">
        <f t="shared" si="301"/>
        <v>4.4843667807057512</v>
      </c>
      <c r="P3156" s="22">
        <f>O3156/Explications!$C$8</f>
        <v>0.14947889269019171</v>
      </c>
      <c r="Q3156" s="7" t="str">
        <f t="shared" si="302"/>
        <v>C81</v>
      </c>
      <c r="R3156" s="7" t="str">
        <f t="shared" si="303"/>
        <v>C53</v>
      </c>
      <c r="S3156" s="18">
        <f t="shared" si="304"/>
        <v>4.4843667807057512</v>
      </c>
      <c r="T3156" s="18">
        <f>S3156/Explications!$C$8</f>
        <v>0.14947889269019171</v>
      </c>
    </row>
    <row r="3157" spans="7:20">
      <c r="G3157" s="7" t="s">
        <v>69</v>
      </c>
      <c r="H3157" s="7" t="s">
        <v>98</v>
      </c>
      <c r="I3157" s="7">
        <v>46.764600000000002</v>
      </c>
      <c r="J3157" s="7">
        <v>-71.308300000000003</v>
      </c>
      <c r="K3157" s="7">
        <v>46.795499999999997</v>
      </c>
      <c r="L3157" s="7">
        <v>-71.242900000000006</v>
      </c>
      <c r="M3157" s="10" t="str">
        <f t="shared" si="299"/>
        <v>C53</v>
      </c>
      <c r="N3157" s="10" t="str">
        <f t="shared" si="300"/>
        <v>C82</v>
      </c>
      <c r="O3157" s="5">
        <f t="shared" si="301"/>
        <v>6.0502645232372334</v>
      </c>
      <c r="P3157" s="22">
        <f>O3157/Explications!$C$8</f>
        <v>0.20167548410790778</v>
      </c>
      <c r="Q3157" s="7" t="str">
        <f t="shared" si="302"/>
        <v>C82</v>
      </c>
      <c r="R3157" s="7" t="str">
        <f t="shared" si="303"/>
        <v>C53</v>
      </c>
      <c r="S3157" s="18">
        <f t="shared" si="304"/>
        <v>6.0502645232372334</v>
      </c>
      <c r="T3157" s="18">
        <f>S3157/Explications!$C$8</f>
        <v>0.20167548410790778</v>
      </c>
    </row>
    <row r="3158" spans="7:20">
      <c r="G3158" s="7" t="s">
        <v>69</v>
      </c>
      <c r="H3158" s="7" t="s">
        <v>99</v>
      </c>
      <c r="I3158" s="7">
        <v>46.764600000000002</v>
      </c>
      <c r="J3158" s="7">
        <v>-71.308300000000003</v>
      </c>
      <c r="K3158" s="7">
        <v>46.8157</v>
      </c>
      <c r="L3158" s="7">
        <v>-71.201899999999995</v>
      </c>
      <c r="M3158" s="10" t="str">
        <f t="shared" si="299"/>
        <v>C53</v>
      </c>
      <c r="N3158" s="10" t="str">
        <f t="shared" si="300"/>
        <v>C83</v>
      </c>
      <c r="O3158" s="5">
        <f t="shared" si="301"/>
        <v>9.8946026727162657</v>
      </c>
      <c r="P3158" s="22">
        <f>O3158/Explications!$C$8</f>
        <v>0.32982008909054217</v>
      </c>
      <c r="Q3158" s="7" t="str">
        <f t="shared" si="302"/>
        <v>C83</v>
      </c>
      <c r="R3158" s="7" t="str">
        <f t="shared" si="303"/>
        <v>C53</v>
      </c>
      <c r="S3158" s="18">
        <f t="shared" si="304"/>
        <v>9.8946026727162657</v>
      </c>
      <c r="T3158" s="18">
        <f>S3158/Explications!$C$8</f>
        <v>0.32982008909054217</v>
      </c>
    </row>
    <row r="3159" spans="7:20">
      <c r="G3159" s="7" t="s">
        <v>69</v>
      </c>
      <c r="H3159" s="7" t="s">
        <v>100</v>
      </c>
      <c r="I3159" s="7">
        <v>46.764600000000002</v>
      </c>
      <c r="J3159" s="7">
        <v>-71.308300000000003</v>
      </c>
      <c r="K3159" s="7">
        <v>46.837600000000002</v>
      </c>
      <c r="L3159" s="7">
        <v>-71.196299999999994</v>
      </c>
      <c r="M3159" s="10" t="str">
        <f t="shared" si="299"/>
        <v>C53</v>
      </c>
      <c r="N3159" s="10" t="str">
        <f t="shared" si="300"/>
        <v>C84</v>
      </c>
      <c r="O3159" s="5">
        <f t="shared" si="301"/>
        <v>11.771406590192333</v>
      </c>
      <c r="P3159" s="22">
        <f>O3159/Explications!$C$8</f>
        <v>0.39238021967307779</v>
      </c>
      <c r="Q3159" s="7" t="str">
        <f t="shared" si="302"/>
        <v>C84</v>
      </c>
      <c r="R3159" s="7" t="str">
        <f t="shared" si="303"/>
        <v>C53</v>
      </c>
      <c r="S3159" s="18">
        <f t="shared" si="304"/>
        <v>11.771406590192333</v>
      </c>
      <c r="T3159" s="18">
        <f>S3159/Explications!$C$8</f>
        <v>0.39238021967307779</v>
      </c>
    </row>
    <row r="3160" spans="7:20">
      <c r="G3160" s="7" t="s">
        <v>69</v>
      </c>
      <c r="H3160" s="7" t="s">
        <v>101</v>
      </c>
      <c r="I3160" s="7">
        <v>46.764600000000002</v>
      </c>
      <c r="J3160" s="7">
        <v>-71.308300000000003</v>
      </c>
      <c r="K3160" s="7">
        <v>46.7988</v>
      </c>
      <c r="L3160" s="7">
        <v>-71.318200000000004</v>
      </c>
      <c r="M3160" s="10" t="str">
        <f t="shared" si="299"/>
        <v>C53</v>
      </c>
      <c r="N3160" s="10" t="str">
        <f t="shared" si="300"/>
        <v>C85</v>
      </c>
      <c r="O3160" s="5">
        <f t="shared" si="301"/>
        <v>3.876860491263602</v>
      </c>
      <c r="P3160" s="22">
        <f>O3160/Explications!$C$8</f>
        <v>0.12922868304212007</v>
      </c>
      <c r="Q3160" s="7" t="str">
        <f t="shared" si="302"/>
        <v>C85</v>
      </c>
      <c r="R3160" s="7" t="str">
        <f t="shared" si="303"/>
        <v>C53</v>
      </c>
      <c r="S3160" s="18">
        <f t="shared" si="304"/>
        <v>3.876860491263602</v>
      </c>
      <c r="T3160" s="18">
        <f>S3160/Explications!$C$8</f>
        <v>0.12922868304212007</v>
      </c>
    </row>
    <row r="3161" spans="7:20">
      <c r="G3161" s="7" t="s">
        <v>70</v>
      </c>
      <c r="H3161" s="7" t="s">
        <v>71</v>
      </c>
      <c r="I3161" s="7">
        <v>46.849699999999999</v>
      </c>
      <c r="J3161" s="7">
        <v>-71.097399999999993</v>
      </c>
      <c r="K3161" s="7">
        <v>46.788899999999998</v>
      </c>
      <c r="L3161" s="7">
        <v>-71.321399999999997</v>
      </c>
      <c r="M3161" s="10" t="str">
        <f t="shared" si="299"/>
        <v>C54</v>
      </c>
      <c r="N3161" s="10" t="str">
        <f t="shared" si="300"/>
        <v>C55</v>
      </c>
      <c r="O3161" s="5">
        <f t="shared" si="301"/>
        <v>18.33619438790544</v>
      </c>
      <c r="P3161" s="22">
        <f>O3161/Explications!$C$8</f>
        <v>0.61120647959684804</v>
      </c>
      <c r="Q3161" s="7" t="str">
        <f t="shared" si="302"/>
        <v>C55</v>
      </c>
      <c r="R3161" s="7" t="str">
        <f t="shared" si="303"/>
        <v>C54</v>
      </c>
      <c r="S3161" s="18">
        <f t="shared" si="304"/>
        <v>18.33619438790544</v>
      </c>
      <c r="T3161" s="18">
        <f>S3161/Explications!$C$8</f>
        <v>0.61120647959684804</v>
      </c>
    </row>
    <row r="3162" spans="7:20">
      <c r="G3162" s="7" t="s">
        <v>70</v>
      </c>
      <c r="H3162" s="7" t="s">
        <v>72</v>
      </c>
      <c r="I3162" s="7">
        <v>46.849699999999999</v>
      </c>
      <c r="J3162" s="7">
        <v>-71.097399999999993</v>
      </c>
      <c r="K3162" s="7">
        <v>46.795400000000001</v>
      </c>
      <c r="L3162" s="7">
        <v>-71.232600000000005</v>
      </c>
      <c r="M3162" s="10" t="str">
        <f t="shared" si="299"/>
        <v>C54</v>
      </c>
      <c r="N3162" s="10" t="str">
        <f t="shared" si="300"/>
        <v>C56</v>
      </c>
      <c r="O3162" s="5">
        <f t="shared" si="301"/>
        <v>11.927930168217518</v>
      </c>
      <c r="P3162" s="22">
        <f>O3162/Explications!$C$8</f>
        <v>0.39759767227391729</v>
      </c>
      <c r="Q3162" s="7" t="str">
        <f t="shared" si="302"/>
        <v>C56</v>
      </c>
      <c r="R3162" s="7" t="str">
        <f t="shared" si="303"/>
        <v>C54</v>
      </c>
      <c r="S3162" s="18">
        <f t="shared" si="304"/>
        <v>11.927930168217518</v>
      </c>
      <c r="T3162" s="18">
        <f>S3162/Explications!$C$8</f>
        <v>0.39759767227391729</v>
      </c>
    </row>
    <row r="3163" spans="7:20">
      <c r="G3163" s="7" t="s">
        <v>70</v>
      </c>
      <c r="H3163" s="7" t="s">
        <v>73</v>
      </c>
      <c r="I3163" s="7">
        <v>46.849699999999999</v>
      </c>
      <c r="J3163" s="7">
        <v>-71.097399999999993</v>
      </c>
      <c r="K3163" s="7">
        <v>46.801200000000001</v>
      </c>
      <c r="L3163" s="7">
        <v>-71.224999999999994</v>
      </c>
      <c r="M3163" s="10" t="str">
        <f t="shared" si="299"/>
        <v>C54</v>
      </c>
      <c r="N3163" s="10" t="str">
        <f t="shared" si="300"/>
        <v>C57</v>
      </c>
      <c r="O3163" s="5">
        <f t="shared" si="301"/>
        <v>11.105439070917843</v>
      </c>
      <c r="P3163" s="22">
        <f>O3163/Explications!$C$8</f>
        <v>0.3701813023639281</v>
      </c>
      <c r="Q3163" s="7" t="str">
        <f t="shared" si="302"/>
        <v>C57</v>
      </c>
      <c r="R3163" s="7" t="str">
        <f t="shared" si="303"/>
        <v>C54</v>
      </c>
      <c r="S3163" s="18">
        <f t="shared" si="304"/>
        <v>11.105439070917843</v>
      </c>
      <c r="T3163" s="18">
        <f>S3163/Explications!$C$8</f>
        <v>0.3701813023639281</v>
      </c>
    </row>
    <row r="3164" spans="7:20">
      <c r="G3164" s="7" t="s">
        <v>70</v>
      </c>
      <c r="H3164" s="7" t="s">
        <v>74</v>
      </c>
      <c r="I3164" s="7">
        <v>46.849699999999999</v>
      </c>
      <c r="J3164" s="7">
        <v>-71.097399999999993</v>
      </c>
      <c r="K3164" s="7">
        <v>46.773200000000003</v>
      </c>
      <c r="L3164" s="7">
        <v>-71.275899999999993</v>
      </c>
      <c r="M3164" s="10" t="str">
        <f t="shared" si="299"/>
        <v>C54</v>
      </c>
      <c r="N3164" s="10" t="str">
        <f t="shared" si="300"/>
        <v>C58</v>
      </c>
      <c r="O3164" s="5">
        <f t="shared" si="301"/>
        <v>16.027768212961931</v>
      </c>
      <c r="P3164" s="22">
        <f>O3164/Explications!$C$8</f>
        <v>0.53425894043206434</v>
      </c>
      <c r="Q3164" s="7" t="str">
        <f t="shared" si="302"/>
        <v>C58</v>
      </c>
      <c r="R3164" s="7" t="str">
        <f t="shared" si="303"/>
        <v>C54</v>
      </c>
      <c r="S3164" s="18">
        <f t="shared" si="304"/>
        <v>16.027768212961931</v>
      </c>
      <c r="T3164" s="18">
        <f>S3164/Explications!$C$8</f>
        <v>0.53425894043206434</v>
      </c>
    </row>
    <row r="3165" spans="7:20">
      <c r="G3165" s="7" t="s">
        <v>70</v>
      </c>
      <c r="H3165" s="7" t="s">
        <v>75</v>
      </c>
      <c r="I3165" s="7">
        <v>46.849699999999999</v>
      </c>
      <c r="J3165" s="7">
        <v>-71.097399999999993</v>
      </c>
      <c r="K3165" s="7">
        <v>46.814399999999999</v>
      </c>
      <c r="L3165" s="7">
        <v>-71.225700000000003</v>
      </c>
      <c r="M3165" s="10" t="str">
        <f t="shared" si="299"/>
        <v>C54</v>
      </c>
      <c r="N3165" s="10" t="str">
        <f t="shared" si="300"/>
        <v>C59</v>
      </c>
      <c r="O3165" s="5">
        <f t="shared" si="301"/>
        <v>10.519856318100215</v>
      </c>
      <c r="P3165" s="22">
        <f>O3165/Explications!$C$8</f>
        <v>0.35066187727000719</v>
      </c>
      <c r="Q3165" s="7" t="str">
        <f t="shared" si="302"/>
        <v>C59</v>
      </c>
      <c r="R3165" s="7" t="str">
        <f t="shared" si="303"/>
        <v>C54</v>
      </c>
      <c r="S3165" s="18">
        <f t="shared" si="304"/>
        <v>10.519856318100215</v>
      </c>
      <c r="T3165" s="18">
        <f>S3165/Explications!$C$8</f>
        <v>0.35066187727000719</v>
      </c>
    </row>
    <row r="3166" spans="7:20">
      <c r="G3166" s="7" t="s">
        <v>70</v>
      </c>
      <c r="H3166" s="7" t="s">
        <v>76</v>
      </c>
      <c r="I3166" s="7">
        <v>46.849699999999999</v>
      </c>
      <c r="J3166" s="7">
        <v>-71.097399999999993</v>
      </c>
      <c r="K3166" s="7">
        <v>46.772500000000001</v>
      </c>
      <c r="L3166" s="7">
        <v>-71.276300000000006</v>
      </c>
      <c r="M3166" s="10" t="str">
        <f t="shared" si="299"/>
        <v>C54</v>
      </c>
      <c r="N3166" s="10" t="str">
        <f t="shared" si="300"/>
        <v>C60</v>
      </c>
      <c r="O3166" s="5">
        <f t="shared" si="301"/>
        <v>16.095030081592046</v>
      </c>
      <c r="P3166" s="22">
        <f>O3166/Explications!$C$8</f>
        <v>0.53650100271973489</v>
      </c>
      <c r="Q3166" s="7" t="str">
        <f t="shared" si="302"/>
        <v>C60</v>
      </c>
      <c r="R3166" s="7" t="str">
        <f t="shared" si="303"/>
        <v>C54</v>
      </c>
      <c r="S3166" s="18">
        <f t="shared" si="304"/>
        <v>16.095030081592046</v>
      </c>
      <c r="T3166" s="18">
        <f>S3166/Explications!$C$8</f>
        <v>0.53650100271973489</v>
      </c>
    </row>
    <row r="3167" spans="7:20">
      <c r="G3167" s="7" t="s">
        <v>70</v>
      </c>
      <c r="H3167" s="7" t="s">
        <v>77</v>
      </c>
      <c r="I3167" s="7">
        <v>46.849699999999999</v>
      </c>
      <c r="J3167" s="7">
        <v>-71.097399999999993</v>
      </c>
      <c r="K3167" s="7">
        <v>46.810899999999997</v>
      </c>
      <c r="L3167" s="7">
        <v>-71.215599999999995</v>
      </c>
      <c r="M3167" s="10" t="str">
        <f t="shared" si="299"/>
        <v>C54</v>
      </c>
      <c r="N3167" s="10" t="str">
        <f t="shared" si="300"/>
        <v>C61</v>
      </c>
      <c r="O3167" s="5">
        <f t="shared" si="301"/>
        <v>9.9735423394513649</v>
      </c>
      <c r="P3167" s="22">
        <f>O3167/Explications!$C$8</f>
        <v>0.33245141131504552</v>
      </c>
      <c r="Q3167" s="7" t="str">
        <f t="shared" si="302"/>
        <v>C61</v>
      </c>
      <c r="R3167" s="7" t="str">
        <f t="shared" si="303"/>
        <v>C54</v>
      </c>
      <c r="S3167" s="18">
        <f t="shared" si="304"/>
        <v>9.9735423394513649</v>
      </c>
      <c r="T3167" s="18">
        <f>S3167/Explications!$C$8</f>
        <v>0.33245141131504552</v>
      </c>
    </row>
    <row r="3168" spans="7:20">
      <c r="G3168" s="7" t="s">
        <v>70</v>
      </c>
      <c r="H3168" s="7" t="s">
        <v>78</v>
      </c>
      <c r="I3168" s="7">
        <v>46.849699999999999</v>
      </c>
      <c r="J3168" s="7">
        <v>-71.097399999999993</v>
      </c>
      <c r="K3168" s="7">
        <v>46.795200000000001</v>
      </c>
      <c r="L3168" s="7">
        <v>-71.245099999999994</v>
      </c>
      <c r="M3168" s="10" t="str">
        <f t="shared" si="299"/>
        <v>C54</v>
      </c>
      <c r="N3168" s="10" t="str">
        <f t="shared" si="300"/>
        <v>C62</v>
      </c>
      <c r="O3168" s="5">
        <f t="shared" si="301"/>
        <v>12.767802774773354</v>
      </c>
      <c r="P3168" s="22">
        <f>O3168/Explications!$C$8</f>
        <v>0.42559342582577847</v>
      </c>
      <c r="Q3168" s="7" t="str">
        <f t="shared" si="302"/>
        <v>C62</v>
      </c>
      <c r="R3168" s="7" t="str">
        <f t="shared" si="303"/>
        <v>C54</v>
      </c>
      <c r="S3168" s="18">
        <f t="shared" si="304"/>
        <v>12.767802774773354</v>
      </c>
      <c r="T3168" s="18">
        <f>S3168/Explications!$C$8</f>
        <v>0.42559342582577847</v>
      </c>
    </row>
    <row r="3169" spans="7:20">
      <c r="G3169" s="7" t="s">
        <v>70</v>
      </c>
      <c r="H3169" s="7" t="s">
        <v>79</v>
      </c>
      <c r="I3169" s="7">
        <v>46.849699999999999</v>
      </c>
      <c r="J3169" s="7">
        <v>-71.097399999999993</v>
      </c>
      <c r="K3169" s="7">
        <v>46.822000000000003</v>
      </c>
      <c r="L3169" s="7">
        <v>-71.345699999999994</v>
      </c>
      <c r="M3169" s="10" t="str">
        <f t="shared" si="299"/>
        <v>C54</v>
      </c>
      <c r="N3169" s="10" t="str">
        <f t="shared" si="300"/>
        <v>C63</v>
      </c>
      <c r="O3169" s="5">
        <f t="shared" si="301"/>
        <v>19.137031757970213</v>
      </c>
      <c r="P3169" s="22">
        <f>O3169/Explications!$C$8</f>
        <v>0.63790105859900714</v>
      </c>
      <c r="Q3169" s="7" t="str">
        <f t="shared" si="302"/>
        <v>C63</v>
      </c>
      <c r="R3169" s="7" t="str">
        <f t="shared" si="303"/>
        <v>C54</v>
      </c>
      <c r="S3169" s="18">
        <f t="shared" si="304"/>
        <v>19.137031757970213</v>
      </c>
      <c r="T3169" s="18">
        <f>S3169/Explications!$C$8</f>
        <v>0.63790105859900714</v>
      </c>
    </row>
    <row r="3170" spans="7:20">
      <c r="G3170" s="7" t="s">
        <v>70</v>
      </c>
      <c r="H3170" s="7" t="s">
        <v>80</v>
      </c>
      <c r="I3170" s="7">
        <v>46.849699999999999</v>
      </c>
      <c r="J3170" s="7">
        <v>-71.097399999999993</v>
      </c>
      <c r="K3170" s="7">
        <v>46.779400000000003</v>
      </c>
      <c r="L3170" s="7">
        <v>-71.350399999999993</v>
      </c>
      <c r="M3170" s="10" t="str">
        <f t="shared" si="299"/>
        <v>C54</v>
      </c>
      <c r="N3170" s="10" t="str">
        <f t="shared" si="300"/>
        <v>C64</v>
      </c>
      <c r="O3170" s="5">
        <f t="shared" si="301"/>
        <v>20.77909977463424</v>
      </c>
      <c r="P3170" s="22">
        <f>O3170/Explications!$C$8</f>
        <v>0.6926366591544747</v>
      </c>
      <c r="Q3170" s="7" t="str">
        <f t="shared" si="302"/>
        <v>C64</v>
      </c>
      <c r="R3170" s="7" t="str">
        <f t="shared" si="303"/>
        <v>C54</v>
      </c>
      <c r="S3170" s="18">
        <f t="shared" si="304"/>
        <v>20.77909977463424</v>
      </c>
      <c r="T3170" s="18">
        <f>S3170/Explications!$C$8</f>
        <v>0.6926366591544747</v>
      </c>
    </row>
    <row r="3171" spans="7:20">
      <c r="G3171" s="7" t="s">
        <v>70</v>
      </c>
      <c r="H3171" s="7" t="s">
        <v>81</v>
      </c>
      <c r="I3171" s="7">
        <v>46.849699999999999</v>
      </c>
      <c r="J3171" s="7">
        <v>-71.097399999999993</v>
      </c>
      <c r="K3171" s="7">
        <v>46.772300000000001</v>
      </c>
      <c r="L3171" s="7">
        <v>-71.279799999999994</v>
      </c>
      <c r="M3171" s="10" t="str">
        <f t="shared" si="299"/>
        <v>C54</v>
      </c>
      <c r="N3171" s="10" t="str">
        <f t="shared" si="300"/>
        <v>C65</v>
      </c>
      <c r="O3171" s="5">
        <f t="shared" si="301"/>
        <v>16.332689629559361</v>
      </c>
      <c r="P3171" s="22">
        <f>O3171/Explications!$C$8</f>
        <v>0.54442298765197872</v>
      </c>
      <c r="Q3171" s="7" t="str">
        <f t="shared" si="302"/>
        <v>C65</v>
      </c>
      <c r="R3171" s="7" t="str">
        <f t="shared" si="303"/>
        <v>C54</v>
      </c>
      <c r="S3171" s="18">
        <f t="shared" si="304"/>
        <v>16.332689629559361</v>
      </c>
      <c r="T3171" s="18">
        <f>S3171/Explications!$C$8</f>
        <v>0.54442298765197872</v>
      </c>
    </row>
    <row r="3172" spans="7:20">
      <c r="G3172" s="7" t="s">
        <v>70</v>
      </c>
      <c r="H3172" s="7" t="s">
        <v>82</v>
      </c>
      <c r="I3172" s="7">
        <v>46.849699999999999</v>
      </c>
      <c r="J3172" s="7">
        <v>-71.097399999999993</v>
      </c>
      <c r="K3172" s="7">
        <v>46.814900000000002</v>
      </c>
      <c r="L3172" s="7">
        <v>-71.225200000000001</v>
      </c>
      <c r="M3172" s="10" t="str">
        <f t="shared" si="299"/>
        <v>C54</v>
      </c>
      <c r="N3172" s="10" t="str">
        <f t="shared" si="300"/>
        <v>C66</v>
      </c>
      <c r="O3172" s="5">
        <f t="shared" si="301"/>
        <v>10.463847028492088</v>
      </c>
      <c r="P3172" s="22">
        <f>O3172/Explications!$C$8</f>
        <v>0.34879490094973625</v>
      </c>
      <c r="Q3172" s="7" t="str">
        <f t="shared" si="302"/>
        <v>C66</v>
      </c>
      <c r="R3172" s="7" t="str">
        <f t="shared" si="303"/>
        <v>C54</v>
      </c>
      <c r="S3172" s="18">
        <f t="shared" si="304"/>
        <v>10.463847028492088</v>
      </c>
      <c r="T3172" s="18">
        <f>S3172/Explications!$C$8</f>
        <v>0.34879490094973625</v>
      </c>
    </row>
    <row r="3173" spans="7:20">
      <c r="G3173" s="7" t="s">
        <v>70</v>
      </c>
      <c r="H3173" s="7" t="s">
        <v>83</v>
      </c>
      <c r="I3173" s="7">
        <v>46.849699999999999</v>
      </c>
      <c r="J3173" s="7">
        <v>-71.097399999999993</v>
      </c>
      <c r="K3173" s="7">
        <v>46.814700000000002</v>
      </c>
      <c r="L3173" s="7">
        <v>-71.207300000000004</v>
      </c>
      <c r="M3173" s="10" t="str">
        <f t="shared" si="299"/>
        <v>C54</v>
      </c>
      <c r="N3173" s="10" t="str">
        <f t="shared" si="300"/>
        <v>C67</v>
      </c>
      <c r="O3173" s="5">
        <f t="shared" si="301"/>
        <v>9.2218323552869563</v>
      </c>
      <c r="P3173" s="22">
        <f>O3173/Explications!$C$8</f>
        <v>0.30739441184289856</v>
      </c>
      <c r="Q3173" s="7" t="str">
        <f t="shared" si="302"/>
        <v>C67</v>
      </c>
      <c r="R3173" s="7" t="str">
        <f t="shared" si="303"/>
        <v>C54</v>
      </c>
      <c r="S3173" s="18">
        <f t="shared" si="304"/>
        <v>9.2218323552869563</v>
      </c>
      <c r="T3173" s="18">
        <f>S3173/Explications!$C$8</f>
        <v>0.30739441184289856</v>
      </c>
    </row>
    <row r="3174" spans="7:20">
      <c r="G3174" s="7" t="s">
        <v>70</v>
      </c>
      <c r="H3174" s="7" t="s">
        <v>84</v>
      </c>
      <c r="I3174" s="7">
        <v>46.849699999999999</v>
      </c>
      <c r="J3174" s="7">
        <v>-71.097399999999993</v>
      </c>
      <c r="K3174" s="7">
        <v>46.815600000000003</v>
      </c>
      <c r="L3174" s="7">
        <v>-71.2029</v>
      </c>
      <c r="M3174" s="10" t="str">
        <f t="shared" si="299"/>
        <v>C54</v>
      </c>
      <c r="N3174" s="10" t="str">
        <f t="shared" si="300"/>
        <v>C68</v>
      </c>
      <c r="O3174" s="5">
        <f t="shared" si="301"/>
        <v>8.8762297386370221</v>
      </c>
      <c r="P3174" s="22">
        <f>O3174/Explications!$C$8</f>
        <v>0.29587432462123409</v>
      </c>
      <c r="Q3174" s="7" t="str">
        <f t="shared" si="302"/>
        <v>C68</v>
      </c>
      <c r="R3174" s="7" t="str">
        <f t="shared" si="303"/>
        <v>C54</v>
      </c>
      <c r="S3174" s="18">
        <f t="shared" si="304"/>
        <v>8.8762297386370221</v>
      </c>
      <c r="T3174" s="18">
        <f>S3174/Explications!$C$8</f>
        <v>0.29587432462123409</v>
      </c>
    </row>
    <row r="3175" spans="7:20">
      <c r="G3175" s="7" t="s">
        <v>70</v>
      </c>
      <c r="H3175" s="7" t="s">
        <v>85</v>
      </c>
      <c r="I3175" s="7">
        <v>46.849699999999999</v>
      </c>
      <c r="J3175" s="7">
        <v>-71.097399999999993</v>
      </c>
      <c r="K3175" s="7">
        <v>46.821899999999999</v>
      </c>
      <c r="L3175" s="7">
        <v>-71.249899999999997</v>
      </c>
      <c r="M3175" s="10" t="str">
        <f t="shared" si="299"/>
        <v>C54</v>
      </c>
      <c r="N3175" s="10" t="str">
        <f t="shared" si="300"/>
        <v>C69</v>
      </c>
      <c r="O3175" s="5">
        <f t="shared" si="301"/>
        <v>12.005099233000827</v>
      </c>
      <c r="P3175" s="22">
        <f>O3175/Explications!$C$8</f>
        <v>0.40016997443336089</v>
      </c>
      <c r="Q3175" s="7" t="str">
        <f t="shared" si="302"/>
        <v>C69</v>
      </c>
      <c r="R3175" s="7" t="str">
        <f t="shared" si="303"/>
        <v>C54</v>
      </c>
      <c r="S3175" s="18">
        <f t="shared" si="304"/>
        <v>12.005099233000827</v>
      </c>
      <c r="T3175" s="18">
        <f>S3175/Explications!$C$8</f>
        <v>0.40016997443336089</v>
      </c>
    </row>
    <row r="3176" spans="7:20">
      <c r="G3176" s="7" t="s">
        <v>70</v>
      </c>
      <c r="H3176" s="7" t="s">
        <v>86</v>
      </c>
      <c r="I3176" s="7">
        <v>46.849699999999999</v>
      </c>
      <c r="J3176" s="7">
        <v>-71.097399999999993</v>
      </c>
      <c r="K3176" s="7">
        <v>46.8872</v>
      </c>
      <c r="L3176" s="7">
        <v>-71.27</v>
      </c>
      <c r="M3176" s="10" t="str">
        <f t="shared" si="299"/>
        <v>C54</v>
      </c>
      <c r="N3176" s="10" t="str">
        <f t="shared" si="300"/>
        <v>C70</v>
      </c>
      <c r="O3176" s="5">
        <f t="shared" si="301"/>
        <v>13.767897053500214</v>
      </c>
      <c r="P3176" s="22">
        <f>O3176/Explications!$C$8</f>
        <v>0.45892990178334048</v>
      </c>
      <c r="Q3176" s="7" t="str">
        <f t="shared" si="302"/>
        <v>C70</v>
      </c>
      <c r="R3176" s="7" t="str">
        <f t="shared" si="303"/>
        <v>C54</v>
      </c>
      <c r="S3176" s="18">
        <f t="shared" si="304"/>
        <v>13.767897053500214</v>
      </c>
      <c r="T3176" s="18">
        <f>S3176/Explications!$C$8</f>
        <v>0.45892990178334048</v>
      </c>
    </row>
    <row r="3177" spans="7:20">
      <c r="G3177" s="7" t="s">
        <v>70</v>
      </c>
      <c r="H3177" s="7" t="s">
        <v>87</v>
      </c>
      <c r="I3177" s="7">
        <v>46.849699999999999</v>
      </c>
      <c r="J3177" s="7">
        <v>-71.097399999999993</v>
      </c>
      <c r="K3177" s="7">
        <v>46.816299999999998</v>
      </c>
      <c r="L3177" s="7">
        <v>-71.210300000000004</v>
      </c>
      <c r="M3177" s="10" t="str">
        <f t="shared" si="299"/>
        <v>C54</v>
      </c>
      <c r="N3177" s="10" t="str">
        <f t="shared" si="300"/>
        <v>C71</v>
      </c>
      <c r="O3177" s="5">
        <f t="shared" si="301"/>
        <v>9.3570776703141423</v>
      </c>
      <c r="P3177" s="22">
        <f>O3177/Explications!$C$8</f>
        <v>0.31190258901047141</v>
      </c>
      <c r="Q3177" s="7" t="str">
        <f t="shared" si="302"/>
        <v>C71</v>
      </c>
      <c r="R3177" s="7" t="str">
        <f t="shared" si="303"/>
        <v>C54</v>
      </c>
      <c r="S3177" s="18">
        <f t="shared" si="304"/>
        <v>9.3570776703141423</v>
      </c>
      <c r="T3177" s="18">
        <f>S3177/Explications!$C$8</f>
        <v>0.31190258901047141</v>
      </c>
    </row>
    <row r="3178" spans="7:20">
      <c r="G3178" s="7" t="s">
        <v>70</v>
      </c>
      <c r="H3178" s="7" t="s">
        <v>88</v>
      </c>
      <c r="I3178" s="7">
        <v>46.849699999999999</v>
      </c>
      <c r="J3178" s="7">
        <v>-71.097399999999993</v>
      </c>
      <c r="K3178" s="7">
        <v>46.807000000000002</v>
      </c>
      <c r="L3178" s="7">
        <v>-71.3566</v>
      </c>
      <c r="M3178" s="10" t="str">
        <f t="shared" si="299"/>
        <v>C54</v>
      </c>
      <c r="N3178" s="10" t="str">
        <f t="shared" si="300"/>
        <v>C72</v>
      </c>
      <c r="O3178" s="5">
        <f t="shared" si="301"/>
        <v>20.282978590008909</v>
      </c>
      <c r="P3178" s="22">
        <f>O3178/Explications!$C$8</f>
        <v>0.67609928633363026</v>
      </c>
      <c r="Q3178" s="7" t="str">
        <f t="shared" si="302"/>
        <v>C72</v>
      </c>
      <c r="R3178" s="7" t="str">
        <f t="shared" si="303"/>
        <v>C54</v>
      </c>
      <c r="S3178" s="18">
        <f t="shared" si="304"/>
        <v>20.282978590008909</v>
      </c>
      <c r="T3178" s="18">
        <f>S3178/Explications!$C$8</f>
        <v>0.67609928633363026</v>
      </c>
    </row>
    <row r="3179" spans="7:20">
      <c r="G3179" s="7" t="s">
        <v>70</v>
      </c>
      <c r="H3179" s="7" t="s">
        <v>89</v>
      </c>
      <c r="I3179" s="7">
        <v>46.849699999999999</v>
      </c>
      <c r="J3179" s="7">
        <v>-71.097399999999993</v>
      </c>
      <c r="K3179" s="7">
        <v>46.822899999999997</v>
      </c>
      <c r="L3179" s="7">
        <v>-71.341899999999995</v>
      </c>
      <c r="M3179" s="10" t="str">
        <f t="shared" si="299"/>
        <v>C54</v>
      </c>
      <c r="N3179" s="10" t="str">
        <f t="shared" si="300"/>
        <v>C73</v>
      </c>
      <c r="O3179" s="5">
        <f t="shared" si="301"/>
        <v>18.835556033536953</v>
      </c>
      <c r="P3179" s="22">
        <f>O3179/Explications!$C$8</f>
        <v>0.62785186778456514</v>
      </c>
      <c r="Q3179" s="7" t="str">
        <f t="shared" si="302"/>
        <v>C73</v>
      </c>
      <c r="R3179" s="7" t="str">
        <f t="shared" si="303"/>
        <v>C54</v>
      </c>
      <c r="S3179" s="18">
        <f t="shared" si="304"/>
        <v>18.835556033536953</v>
      </c>
      <c r="T3179" s="18">
        <f>S3179/Explications!$C$8</f>
        <v>0.62785186778456514</v>
      </c>
    </row>
    <row r="3180" spans="7:20">
      <c r="G3180" s="7" t="s">
        <v>70</v>
      </c>
      <c r="H3180" s="7" t="s">
        <v>90</v>
      </c>
      <c r="I3180" s="7">
        <v>46.849699999999999</v>
      </c>
      <c r="J3180" s="7">
        <v>-71.097399999999993</v>
      </c>
      <c r="K3180" s="7">
        <v>46.730699999999999</v>
      </c>
      <c r="L3180" s="7">
        <v>-71.261099999999999</v>
      </c>
      <c r="M3180" s="10" t="str">
        <f t="shared" si="299"/>
        <v>C54</v>
      </c>
      <c r="N3180" s="10" t="str">
        <f t="shared" si="300"/>
        <v>C74</v>
      </c>
      <c r="O3180" s="5">
        <f t="shared" si="301"/>
        <v>18.177250216889821</v>
      </c>
      <c r="P3180" s="22">
        <f>O3180/Explications!$C$8</f>
        <v>0.60590834056299403</v>
      </c>
      <c r="Q3180" s="7" t="str">
        <f t="shared" si="302"/>
        <v>C74</v>
      </c>
      <c r="R3180" s="7" t="str">
        <f t="shared" si="303"/>
        <v>C54</v>
      </c>
      <c r="S3180" s="18">
        <f t="shared" si="304"/>
        <v>18.177250216889821</v>
      </c>
      <c r="T3180" s="18">
        <f>S3180/Explications!$C$8</f>
        <v>0.60590834056299403</v>
      </c>
    </row>
    <row r="3181" spans="7:20">
      <c r="G3181" s="7" t="s">
        <v>70</v>
      </c>
      <c r="H3181" s="7" t="s">
        <v>91</v>
      </c>
      <c r="I3181" s="7">
        <v>46.849699999999999</v>
      </c>
      <c r="J3181" s="7">
        <v>-71.097399999999993</v>
      </c>
      <c r="K3181" s="7">
        <v>46.840600000000002</v>
      </c>
      <c r="L3181" s="7">
        <v>-71.289100000000005</v>
      </c>
      <c r="M3181" s="10" t="str">
        <f t="shared" si="299"/>
        <v>C54</v>
      </c>
      <c r="N3181" s="10" t="str">
        <f t="shared" si="300"/>
        <v>C75</v>
      </c>
      <c r="O3181" s="5">
        <f t="shared" si="301"/>
        <v>14.614670838612232</v>
      </c>
      <c r="P3181" s="22">
        <f>O3181/Explications!$C$8</f>
        <v>0.48715569462040775</v>
      </c>
      <c r="Q3181" s="7" t="str">
        <f t="shared" si="302"/>
        <v>C75</v>
      </c>
      <c r="R3181" s="7" t="str">
        <f t="shared" si="303"/>
        <v>C54</v>
      </c>
      <c r="S3181" s="18">
        <f t="shared" si="304"/>
        <v>14.614670838612232</v>
      </c>
      <c r="T3181" s="18">
        <f>S3181/Explications!$C$8</f>
        <v>0.48715569462040775</v>
      </c>
    </row>
    <row r="3182" spans="7:20">
      <c r="G3182" s="7" t="s">
        <v>70</v>
      </c>
      <c r="H3182" s="7" t="s">
        <v>92</v>
      </c>
      <c r="I3182" s="7">
        <v>46.849699999999999</v>
      </c>
      <c r="J3182" s="7">
        <v>-71.097399999999993</v>
      </c>
      <c r="K3182" s="7">
        <v>46.840600000000002</v>
      </c>
      <c r="L3182" s="7">
        <v>-71.281599999999997</v>
      </c>
      <c r="M3182" s="10" t="str">
        <f t="shared" si="299"/>
        <v>C54</v>
      </c>
      <c r="N3182" s="10" t="str">
        <f t="shared" si="300"/>
        <v>C76</v>
      </c>
      <c r="O3182" s="5">
        <f t="shared" si="301"/>
        <v>14.045688604334206</v>
      </c>
      <c r="P3182" s="22">
        <f>O3182/Explications!$C$8</f>
        <v>0.46818962014447352</v>
      </c>
      <c r="Q3182" s="7" t="str">
        <f t="shared" si="302"/>
        <v>C76</v>
      </c>
      <c r="R3182" s="7" t="str">
        <f t="shared" si="303"/>
        <v>C54</v>
      </c>
      <c r="S3182" s="18">
        <f t="shared" si="304"/>
        <v>14.045688604334206</v>
      </c>
      <c r="T3182" s="18">
        <f>S3182/Explications!$C$8</f>
        <v>0.46818962014447352</v>
      </c>
    </row>
    <row r="3183" spans="7:20">
      <c r="G3183" s="7" t="s">
        <v>70</v>
      </c>
      <c r="H3183" s="7" t="s">
        <v>93</v>
      </c>
      <c r="I3183" s="7">
        <v>46.849699999999999</v>
      </c>
      <c r="J3183" s="7">
        <v>-71.097399999999993</v>
      </c>
      <c r="K3183" s="7">
        <v>46.839399999999998</v>
      </c>
      <c r="L3183" s="7">
        <v>-71.282600000000002</v>
      </c>
      <c r="M3183" s="10" t="str">
        <f t="shared" si="299"/>
        <v>C54</v>
      </c>
      <c r="N3183" s="10" t="str">
        <f t="shared" si="300"/>
        <v>C77</v>
      </c>
      <c r="O3183" s="5">
        <f t="shared" si="301"/>
        <v>14.131890932720406</v>
      </c>
      <c r="P3183" s="22">
        <f>O3183/Explications!$C$8</f>
        <v>0.47106303109068021</v>
      </c>
      <c r="Q3183" s="7" t="str">
        <f t="shared" si="302"/>
        <v>C77</v>
      </c>
      <c r="R3183" s="7" t="str">
        <f t="shared" si="303"/>
        <v>C54</v>
      </c>
      <c r="S3183" s="18">
        <f t="shared" si="304"/>
        <v>14.131890932720406</v>
      </c>
      <c r="T3183" s="18">
        <f>S3183/Explications!$C$8</f>
        <v>0.47106303109068021</v>
      </c>
    </row>
    <row r="3184" spans="7:20">
      <c r="G3184" s="7" t="s">
        <v>70</v>
      </c>
      <c r="H3184" s="7" t="s">
        <v>94</v>
      </c>
      <c r="I3184" s="7">
        <v>46.849699999999999</v>
      </c>
      <c r="J3184" s="7">
        <v>-71.097399999999993</v>
      </c>
      <c r="K3184" s="7">
        <v>46.788499999999999</v>
      </c>
      <c r="L3184" s="7">
        <v>-71.282399999999996</v>
      </c>
      <c r="M3184" s="10" t="str">
        <f t="shared" si="299"/>
        <v>C54</v>
      </c>
      <c r="N3184" s="10" t="str">
        <f t="shared" si="300"/>
        <v>C78</v>
      </c>
      <c r="O3184" s="5">
        <f t="shared" si="301"/>
        <v>15.635460494608743</v>
      </c>
      <c r="P3184" s="22">
        <f>O3184/Explications!$C$8</f>
        <v>0.52118201648695817</v>
      </c>
      <c r="Q3184" s="7" t="str">
        <f t="shared" si="302"/>
        <v>C78</v>
      </c>
      <c r="R3184" s="7" t="str">
        <f t="shared" si="303"/>
        <v>C54</v>
      </c>
      <c r="S3184" s="18">
        <f t="shared" si="304"/>
        <v>15.635460494608743</v>
      </c>
      <c r="T3184" s="18">
        <f>S3184/Explications!$C$8</f>
        <v>0.52118201648695817</v>
      </c>
    </row>
    <row r="3185" spans="7:20">
      <c r="G3185" s="7" t="s">
        <v>70</v>
      </c>
      <c r="H3185" s="7" t="s">
        <v>95</v>
      </c>
      <c r="I3185" s="7">
        <v>46.849699999999999</v>
      </c>
      <c r="J3185" s="7">
        <v>-71.097399999999993</v>
      </c>
      <c r="K3185" s="7">
        <v>46.840699999999998</v>
      </c>
      <c r="L3185" s="7">
        <v>-71.325400000000002</v>
      </c>
      <c r="M3185" s="10" t="str">
        <f t="shared" si="299"/>
        <v>C54</v>
      </c>
      <c r="N3185" s="10" t="str">
        <f t="shared" si="300"/>
        <v>C79</v>
      </c>
      <c r="O3185" s="5">
        <f t="shared" si="301"/>
        <v>17.369204537199966</v>
      </c>
      <c r="P3185" s="22">
        <f>O3185/Explications!$C$8</f>
        <v>0.5789734845733322</v>
      </c>
      <c r="Q3185" s="7" t="str">
        <f t="shared" si="302"/>
        <v>C79</v>
      </c>
      <c r="R3185" s="7" t="str">
        <f t="shared" si="303"/>
        <v>C54</v>
      </c>
      <c r="S3185" s="18">
        <f t="shared" si="304"/>
        <v>17.369204537199966</v>
      </c>
      <c r="T3185" s="18">
        <f>S3185/Explications!$C$8</f>
        <v>0.5789734845733322</v>
      </c>
    </row>
    <row r="3186" spans="7:20">
      <c r="G3186" s="7" t="s">
        <v>70</v>
      </c>
      <c r="H3186" s="7" t="s">
        <v>96</v>
      </c>
      <c r="I3186" s="7">
        <v>46.849699999999999</v>
      </c>
      <c r="J3186" s="7">
        <v>-71.097399999999993</v>
      </c>
      <c r="K3186" s="7">
        <v>46.798400000000001</v>
      </c>
      <c r="L3186" s="7">
        <v>-71.183199999999999</v>
      </c>
      <c r="M3186" s="10" t="str">
        <f t="shared" si="299"/>
        <v>C54</v>
      </c>
      <c r="N3186" s="10" t="str">
        <f t="shared" si="300"/>
        <v>C80</v>
      </c>
      <c r="O3186" s="5">
        <f t="shared" si="301"/>
        <v>8.6691434021067266</v>
      </c>
      <c r="P3186" s="22">
        <f>O3186/Explications!$C$8</f>
        <v>0.2889714467368909</v>
      </c>
      <c r="Q3186" s="7" t="str">
        <f t="shared" si="302"/>
        <v>C80</v>
      </c>
      <c r="R3186" s="7" t="str">
        <f t="shared" si="303"/>
        <v>C54</v>
      </c>
      <c r="S3186" s="18">
        <f t="shared" si="304"/>
        <v>8.6691434021067266</v>
      </c>
      <c r="T3186" s="18">
        <f>S3186/Explications!$C$8</f>
        <v>0.2889714467368909</v>
      </c>
    </row>
    <row r="3187" spans="7:20">
      <c r="G3187" s="7" t="s">
        <v>70</v>
      </c>
      <c r="H3187" s="7" t="s">
        <v>97</v>
      </c>
      <c r="I3187" s="7">
        <v>46.849699999999999</v>
      </c>
      <c r="J3187" s="7">
        <v>-71.097399999999993</v>
      </c>
      <c r="K3187" s="7">
        <v>46.724800000000002</v>
      </c>
      <c r="L3187" s="7">
        <v>-71.2988</v>
      </c>
      <c r="M3187" s="10" t="str">
        <f t="shared" si="299"/>
        <v>C54</v>
      </c>
      <c r="N3187" s="10" t="str">
        <f t="shared" si="300"/>
        <v>C81</v>
      </c>
      <c r="O3187" s="5">
        <f t="shared" si="301"/>
        <v>20.688383648494991</v>
      </c>
      <c r="P3187" s="22">
        <f>O3187/Explications!$C$8</f>
        <v>0.68961278828316641</v>
      </c>
      <c r="Q3187" s="7" t="str">
        <f t="shared" si="302"/>
        <v>C81</v>
      </c>
      <c r="R3187" s="7" t="str">
        <f t="shared" si="303"/>
        <v>C54</v>
      </c>
      <c r="S3187" s="18">
        <f t="shared" si="304"/>
        <v>20.688383648494991</v>
      </c>
      <c r="T3187" s="18">
        <f>S3187/Explications!$C$8</f>
        <v>0.68961278828316641</v>
      </c>
    </row>
    <row r="3188" spans="7:20">
      <c r="G3188" s="7" t="s">
        <v>70</v>
      </c>
      <c r="H3188" s="7" t="s">
        <v>98</v>
      </c>
      <c r="I3188" s="7">
        <v>46.849699999999999</v>
      </c>
      <c r="J3188" s="7">
        <v>-71.097399999999993</v>
      </c>
      <c r="K3188" s="7">
        <v>46.795499999999997</v>
      </c>
      <c r="L3188" s="7">
        <v>-71.242900000000006</v>
      </c>
      <c r="M3188" s="10" t="str">
        <f t="shared" si="299"/>
        <v>C54</v>
      </c>
      <c r="N3188" s="10" t="str">
        <f t="shared" si="300"/>
        <v>C82</v>
      </c>
      <c r="O3188" s="5">
        <f t="shared" si="301"/>
        <v>12.604708665147813</v>
      </c>
      <c r="P3188" s="22">
        <f>O3188/Explications!$C$8</f>
        <v>0.4201569555049271</v>
      </c>
      <c r="Q3188" s="7" t="str">
        <f t="shared" si="302"/>
        <v>C82</v>
      </c>
      <c r="R3188" s="7" t="str">
        <f t="shared" si="303"/>
        <v>C54</v>
      </c>
      <c r="S3188" s="18">
        <f t="shared" si="304"/>
        <v>12.604708665147813</v>
      </c>
      <c r="T3188" s="18">
        <f>S3188/Explications!$C$8</f>
        <v>0.4201569555049271</v>
      </c>
    </row>
    <row r="3189" spans="7:20">
      <c r="G3189" s="7" t="s">
        <v>70</v>
      </c>
      <c r="H3189" s="7" t="s">
        <v>99</v>
      </c>
      <c r="I3189" s="7">
        <v>46.849699999999999</v>
      </c>
      <c r="J3189" s="7">
        <v>-71.097399999999993</v>
      </c>
      <c r="K3189" s="7">
        <v>46.8157</v>
      </c>
      <c r="L3189" s="7">
        <v>-71.201899999999995</v>
      </c>
      <c r="M3189" s="10" t="str">
        <f t="shared" si="299"/>
        <v>C54</v>
      </c>
      <c r="N3189" s="10" t="str">
        <f t="shared" si="300"/>
        <v>C83</v>
      </c>
      <c r="O3189" s="5">
        <f t="shared" si="301"/>
        <v>8.8027199359874331</v>
      </c>
      <c r="P3189" s="22">
        <f>O3189/Explications!$C$8</f>
        <v>0.29342399786624779</v>
      </c>
      <c r="Q3189" s="7" t="str">
        <f t="shared" si="302"/>
        <v>C83</v>
      </c>
      <c r="R3189" s="7" t="str">
        <f t="shared" si="303"/>
        <v>C54</v>
      </c>
      <c r="S3189" s="18">
        <f t="shared" si="304"/>
        <v>8.8027199359874331</v>
      </c>
      <c r="T3189" s="18">
        <f>S3189/Explications!$C$8</f>
        <v>0.29342399786624779</v>
      </c>
    </row>
    <row r="3190" spans="7:20">
      <c r="G3190" s="7" t="s">
        <v>70</v>
      </c>
      <c r="H3190" s="7" t="s">
        <v>100</v>
      </c>
      <c r="I3190" s="7">
        <v>46.849699999999999</v>
      </c>
      <c r="J3190" s="7">
        <v>-71.097399999999993</v>
      </c>
      <c r="K3190" s="7">
        <v>46.837600000000002</v>
      </c>
      <c r="L3190" s="7">
        <v>-71.196299999999994</v>
      </c>
      <c r="M3190" s="10" t="str">
        <f t="shared" si="299"/>
        <v>C54</v>
      </c>
      <c r="N3190" s="10" t="str">
        <f t="shared" si="300"/>
        <v>C84</v>
      </c>
      <c r="O3190" s="5">
        <f t="shared" si="301"/>
        <v>7.6413604024147999</v>
      </c>
      <c r="P3190" s="22">
        <f>O3190/Explications!$C$8</f>
        <v>0.25471201341382665</v>
      </c>
      <c r="Q3190" s="7" t="str">
        <f t="shared" si="302"/>
        <v>C84</v>
      </c>
      <c r="R3190" s="7" t="str">
        <f t="shared" si="303"/>
        <v>C54</v>
      </c>
      <c r="S3190" s="18">
        <f t="shared" si="304"/>
        <v>7.6413604024147999</v>
      </c>
      <c r="T3190" s="18">
        <f>S3190/Explications!$C$8</f>
        <v>0.25471201341382665</v>
      </c>
    </row>
    <row r="3191" spans="7:20">
      <c r="G3191" s="7" t="s">
        <v>70</v>
      </c>
      <c r="H3191" s="7" t="s">
        <v>101</v>
      </c>
      <c r="I3191" s="7">
        <v>46.849699999999999</v>
      </c>
      <c r="J3191" s="7">
        <v>-71.097399999999993</v>
      </c>
      <c r="K3191" s="7">
        <v>46.7988</v>
      </c>
      <c r="L3191" s="7">
        <v>-71.318200000000004</v>
      </c>
      <c r="M3191" s="10" t="str">
        <f t="shared" si="299"/>
        <v>C54</v>
      </c>
      <c r="N3191" s="10" t="str">
        <f t="shared" si="300"/>
        <v>C85</v>
      </c>
      <c r="O3191" s="5">
        <f t="shared" si="301"/>
        <v>17.727105765020635</v>
      </c>
      <c r="P3191" s="22">
        <f>O3191/Explications!$C$8</f>
        <v>0.59090352550068781</v>
      </c>
      <c r="Q3191" s="7" t="str">
        <f t="shared" si="302"/>
        <v>C85</v>
      </c>
      <c r="R3191" s="7" t="str">
        <f t="shared" si="303"/>
        <v>C54</v>
      </c>
      <c r="S3191" s="18">
        <f t="shared" si="304"/>
        <v>17.727105765020635</v>
      </c>
      <c r="T3191" s="18">
        <f>S3191/Explications!$C$8</f>
        <v>0.59090352550068781</v>
      </c>
    </row>
    <row r="3192" spans="7:20">
      <c r="G3192" s="7" t="s">
        <v>71</v>
      </c>
      <c r="H3192" s="7" t="s">
        <v>72</v>
      </c>
      <c r="I3192" s="7">
        <v>46.788899999999998</v>
      </c>
      <c r="J3192" s="7">
        <v>-71.321399999999997</v>
      </c>
      <c r="K3192" s="7">
        <v>46.795400000000001</v>
      </c>
      <c r="L3192" s="7">
        <v>-71.232600000000005</v>
      </c>
      <c r="M3192" s="10" t="str">
        <f t="shared" si="299"/>
        <v>C55</v>
      </c>
      <c r="N3192" s="10" t="str">
        <f t="shared" si="300"/>
        <v>C56</v>
      </c>
      <c r="O3192" s="5">
        <f t="shared" si="301"/>
        <v>6.7988059051786198</v>
      </c>
      <c r="P3192" s="22">
        <f>O3192/Explications!$C$8</f>
        <v>0.22662686350595398</v>
      </c>
      <c r="Q3192" s="7" t="str">
        <f t="shared" si="302"/>
        <v>C56</v>
      </c>
      <c r="R3192" s="7" t="str">
        <f t="shared" si="303"/>
        <v>C55</v>
      </c>
      <c r="S3192" s="18">
        <f t="shared" si="304"/>
        <v>6.7988059051786198</v>
      </c>
      <c r="T3192" s="18">
        <f>S3192/Explications!$C$8</f>
        <v>0.22662686350595398</v>
      </c>
    </row>
    <row r="3193" spans="7:20">
      <c r="G3193" s="7" t="s">
        <v>71</v>
      </c>
      <c r="H3193" s="7" t="s">
        <v>73</v>
      </c>
      <c r="I3193" s="7">
        <v>46.788899999999998</v>
      </c>
      <c r="J3193" s="7">
        <v>-71.321399999999997</v>
      </c>
      <c r="K3193" s="7">
        <v>46.801200000000001</v>
      </c>
      <c r="L3193" s="7">
        <v>-71.224999999999994</v>
      </c>
      <c r="M3193" s="10" t="str">
        <f t="shared" si="299"/>
        <v>C55</v>
      </c>
      <c r="N3193" s="10" t="str">
        <f t="shared" si="300"/>
        <v>C57</v>
      </c>
      <c r="O3193" s="5">
        <f t="shared" si="301"/>
        <v>7.4648291938697247</v>
      </c>
      <c r="P3193" s="22">
        <f>O3193/Explications!$C$8</f>
        <v>0.2488276397956575</v>
      </c>
      <c r="Q3193" s="7" t="str">
        <f t="shared" si="302"/>
        <v>C57</v>
      </c>
      <c r="R3193" s="7" t="str">
        <f t="shared" si="303"/>
        <v>C55</v>
      </c>
      <c r="S3193" s="18">
        <f t="shared" si="304"/>
        <v>7.4648291938697247</v>
      </c>
      <c r="T3193" s="18">
        <f>S3193/Explications!$C$8</f>
        <v>0.2488276397956575</v>
      </c>
    </row>
    <row r="3194" spans="7:20">
      <c r="G3194" s="7" t="s">
        <v>71</v>
      </c>
      <c r="H3194" s="7" t="s">
        <v>74</v>
      </c>
      <c r="I3194" s="7">
        <v>46.788899999999998</v>
      </c>
      <c r="J3194" s="7">
        <v>-71.321399999999997</v>
      </c>
      <c r="K3194" s="7">
        <v>46.773200000000003</v>
      </c>
      <c r="L3194" s="7">
        <v>-71.275899999999993</v>
      </c>
      <c r="M3194" s="10" t="str">
        <f t="shared" si="299"/>
        <v>C55</v>
      </c>
      <c r="N3194" s="10" t="str">
        <f t="shared" si="300"/>
        <v>C58</v>
      </c>
      <c r="O3194" s="5">
        <f t="shared" si="301"/>
        <v>3.8795753540884257</v>
      </c>
      <c r="P3194" s="22">
        <f>O3194/Explications!$C$8</f>
        <v>0.12931917846961419</v>
      </c>
      <c r="Q3194" s="7" t="str">
        <f t="shared" si="302"/>
        <v>C58</v>
      </c>
      <c r="R3194" s="7" t="str">
        <f t="shared" si="303"/>
        <v>C55</v>
      </c>
      <c r="S3194" s="18">
        <f t="shared" si="304"/>
        <v>3.8795753540884257</v>
      </c>
      <c r="T3194" s="18">
        <f>S3194/Explications!$C$8</f>
        <v>0.12931917846961419</v>
      </c>
    </row>
    <row r="3195" spans="7:20">
      <c r="G3195" s="7" t="s">
        <v>71</v>
      </c>
      <c r="H3195" s="7" t="s">
        <v>75</v>
      </c>
      <c r="I3195" s="7">
        <v>46.788899999999998</v>
      </c>
      <c r="J3195" s="7">
        <v>-71.321399999999997</v>
      </c>
      <c r="K3195" s="7">
        <v>46.814399999999999</v>
      </c>
      <c r="L3195" s="7">
        <v>-71.225700000000003</v>
      </c>
      <c r="M3195" s="10" t="str">
        <f t="shared" si="299"/>
        <v>C55</v>
      </c>
      <c r="N3195" s="10" t="str">
        <f t="shared" si="300"/>
        <v>C59</v>
      </c>
      <c r="O3195" s="5">
        <f t="shared" si="301"/>
        <v>7.8166931304560068</v>
      </c>
      <c r="P3195" s="22">
        <f>O3195/Explications!$C$8</f>
        <v>0.26055643768186687</v>
      </c>
      <c r="Q3195" s="7" t="str">
        <f t="shared" si="302"/>
        <v>C59</v>
      </c>
      <c r="R3195" s="7" t="str">
        <f t="shared" si="303"/>
        <v>C55</v>
      </c>
      <c r="S3195" s="18">
        <f t="shared" si="304"/>
        <v>7.8166931304560068</v>
      </c>
      <c r="T3195" s="18">
        <f>S3195/Explications!$C$8</f>
        <v>0.26055643768186687</v>
      </c>
    </row>
    <row r="3196" spans="7:20">
      <c r="G3196" s="7" t="s">
        <v>71</v>
      </c>
      <c r="H3196" s="7" t="s">
        <v>76</v>
      </c>
      <c r="I3196" s="7">
        <v>46.788899999999998</v>
      </c>
      <c r="J3196" s="7">
        <v>-71.321399999999997</v>
      </c>
      <c r="K3196" s="7">
        <v>46.772500000000001</v>
      </c>
      <c r="L3196" s="7">
        <v>-71.276300000000006</v>
      </c>
      <c r="M3196" s="10" t="str">
        <f t="shared" si="299"/>
        <v>C55</v>
      </c>
      <c r="N3196" s="10" t="str">
        <f t="shared" si="300"/>
        <v>C60</v>
      </c>
      <c r="O3196" s="5">
        <f t="shared" si="301"/>
        <v>3.8883110418853959</v>
      </c>
      <c r="P3196" s="22">
        <f>O3196/Explications!$C$8</f>
        <v>0.12961036806284654</v>
      </c>
      <c r="Q3196" s="7" t="str">
        <f t="shared" si="302"/>
        <v>C60</v>
      </c>
      <c r="R3196" s="7" t="str">
        <f t="shared" si="303"/>
        <v>C55</v>
      </c>
      <c r="S3196" s="18">
        <f t="shared" si="304"/>
        <v>3.8883110418853959</v>
      </c>
      <c r="T3196" s="18">
        <f>S3196/Explications!$C$8</f>
        <v>0.12961036806284654</v>
      </c>
    </row>
    <row r="3197" spans="7:20">
      <c r="G3197" s="7" t="s">
        <v>71</v>
      </c>
      <c r="H3197" s="7" t="s">
        <v>77</v>
      </c>
      <c r="I3197" s="7">
        <v>46.788899999999998</v>
      </c>
      <c r="J3197" s="7">
        <v>-71.321399999999997</v>
      </c>
      <c r="K3197" s="7">
        <v>46.810899999999997</v>
      </c>
      <c r="L3197" s="7">
        <v>-71.215599999999995</v>
      </c>
      <c r="M3197" s="10" t="str">
        <f t="shared" si="299"/>
        <v>C55</v>
      </c>
      <c r="N3197" s="10" t="str">
        <f t="shared" si="300"/>
        <v>C61</v>
      </c>
      <c r="O3197" s="5">
        <f t="shared" si="301"/>
        <v>8.4166635812200603</v>
      </c>
      <c r="P3197" s="22">
        <f>O3197/Explications!$C$8</f>
        <v>0.28055545270733534</v>
      </c>
      <c r="Q3197" s="7" t="str">
        <f t="shared" si="302"/>
        <v>C61</v>
      </c>
      <c r="R3197" s="7" t="str">
        <f t="shared" si="303"/>
        <v>C55</v>
      </c>
      <c r="S3197" s="18">
        <f t="shared" si="304"/>
        <v>8.4166635812200603</v>
      </c>
      <c r="T3197" s="18">
        <f>S3197/Explications!$C$8</f>
        <v>0.28055545270733534</v>
      </c>
    </row>
    <row r="3198" spans="7:20">
      <c r="G3198" s="7" t="s">
        <v>71</v>
      </c>
      <c r="H3198" s="7" t="s">
        <v>78</v>
      </c>
      <c r="I3198" s="7">
        <v>46.788899999999998</v>
      </c>
      <c r="J3198" s="7">
        <v>-71.321399999999997</v>
      </c>
      <c r="K3198" s="7">
        <v>46.795200000000001</v>
      </c>
      <c r="L3198" s="7">
        <v>-71.245099999999994</v>
      </c>
      <c r="M3198" s="10" t="str">
        <f t="shared" si="299"/>
        <v>C55</v>
      </c>
      <c r="N3198" s="10" t="str">
        <f t="shared" si="300"/>
        <v>C62</v>
      </c>
      <c r="O3198" s="5">
        <f t="shared" si="301"/>
        <v>5.8507633291372425</v>
      </c>
      <c r="P3198" s="22">
        <f>O3198/Explications!$C$8</f>
        <v>0.19502544430457475</v>
      </c>
      <c r="Q3198" s="7" t="str">
        <f t="shared" si="302"/>
        <v>C62</v>
      </c>
      <c r="R3198" s="7" t="str">
        <f t="shared" si="303"/>
        <v>C55</v>
      </c>
      <c r="S3198" s="18">
        <f t="shared" si="304"/>
        <v>5.8507633291372425</v>
      </c>
      <c r="T3198" s="18">
        <f>S3198/Explications!$C$8</f>
        <v>0.19502544430457475</v>
      </c>
    </row>
    <row r="3199" spans="7:20">
      <c r="G3199" s="7" t="s">
        <v>71</v>
      </c>
      <c r="H3199" s="7" t="s">
        <v>79</v>
      </c>
      <c r="I3199" s="7">
        <v>46.788899999999998</v>
      </c>
      <c r="J3199" s="7">
        <v>-71.321399999999997</v>
      </c>
      <c r="K3199" s="7">
        <v>46.822000000000003</v>
      </c>
      <c r="L3199" s="7">
        <v>-71.345699999999994</v>
      </c>
      <c r="M3199" s="10" t="str">
        <f t="shared" si="299"/>
        <v>C55</v>
      </c>
      <c r="N3199" s="10" t="str">
        <f t="shared" si="300"/>
        <v>C63</v>
      </c>
      <c r="O3199" s="5">
        <f t="shared" si="301"/>
        <v>4.119108441428434</v>
      </c>
      <c r="P3199" s="22">
        <f>O3199/Explications!$C$8</f>
        <v>0.13730361471428112</v>
      </c>
      <c r="Q3199" s="7" t="str">
        <f t="shared" si="302"/>
        <v>C63</v>
      </c>
      <c r="R3199" s="7" t="str">
        <f t="shared" si="303"/>
        <v>C55</v>
      </c>
      <c r="S3199" s="18">
        <f t="shared" si="304"/>
        <v>4.119108441428434</v>
      </c>
      <c r="T3199" s="18">
        <f>S3199/Explications!$C$8</f>
        <v>0.13730361471428112</v>
      </c>
    </row>
    <row r="3200" spans="7:20">
      <c r="G3200" s="7" t="s">
        <v>71</v>
      </c>
      <c r="H3200" s="7" t="s">
        <v>80</v>
      </c>
      <c r="I3200" s="7">
        <v>46.788899999999998</v>
      </c>
      <c r="J3200" s="7">
        <v>-71.321399999999997</v>
      </c>
      <c r="K3200" s="7">
        <v>46.779400000000003</v>
      </c>
      <c r="L3200" s="7">
        <v>-71.350399999999993</v>
      </c>
      <c r="M3200" s="10" t="str">
        <f t="shared" si="299"/>
        <v>C55</v>
      </c>
      <c r="N3200" s="10" t="str">
        <f t="shared" si="300"/>
        <v>C64</v>
      </c>
      <c r="O3200" s="5">
        <f t="shared" si="301"/>
        <v>2.4477505983315169</v>
      </c>
      <c r="P3200" s="22">
        <f>O3200/Explications!$C$8</f>
        <v>8.1591686611050568E-2</v>
      </c>
      <c r="Q3200" s="7" t="str">
        <f t="shared" si="302"/>
        <v>C64</v>
      </c>
      <c r="R3200" s="7" t="str">
        <f t="shared" si="303"/>
        <v>C55</v>
      </c>
      <c r="S3200" s="18">
        <f t="shared" si="304"/>
        <v>2.4477505983315169</v>
      </c>
      <c r="T3200" s="18">
        <f>S3200/Explications!$C$8</f>
        <v>8.1591686611050568E-2</v>
      </c>
    </row>
    <row r="3201" spans="7:20">
      <c r="G3201" s="7" t="s">
        <v>71</v>
      </c>
      <c r="H3201" s="7" t="s">
        <v>81</v>
      </c>
      <c r="I3201" s="7">
        <v>46.788899999999998</v>
      </c>
      <c r="J3201" s="7">
        <v>-71.321399999999997</v>
      </c>
      <c r="K3201" s="7">
        <v>46.772300000000001</v>
      </c>
      <c r="L3201" s="7">
        <v>-71.279799999999994</v>
      </c>
      <c r="M3201" s="10" t="str">
        <f t="shared" si="299"/>
        <v>C55</v>
      </c>
      <c r="N3201" s="10" t="str">
        <f t="shared" si="300"/>
        <v>C65</v>
      </c>
      <c r="O3201" s="5">
        <f t="shared" si="301"/>
        <v>3.6662189676506545</v>
      </c>
      <c r="P3201" s="22">
        <f>O3201/Explications!$C$8</f>
        <v>0.12220729892168848</v>
      </c>
      <c r="Q3201" s="7" t="str">
        <f t="shared" si="302"/>
        <v>C65</v>
      </c>
      <c r="R3201" s="7" t="str">
        <f t="shared" si="303"/>
        <v>C55</v>
      </c>
      <c r="S3201" s="18">
        <f t="shared" si="304"/>
        <v>3.6662189676506545</v>
      </c>
      <c r="T3201" s="18">
        <f>S3201/Explications!$C$8</f>
        <v>0.12220729892168848</v>
      </c>
    </row>
    <row r="3202" spans="7:20">
      <c r="G3202" s="7" t="s">
        <v>71</v>
      </c>
      <c r="H3202" s="7" t="s">
        <v>82</v>
      </c>
      <c r="I3202" s="7">
        <v>46.788899999999998</v>
      </c>
      <c r="J3202" s="7">
        <v>-71.321399999999997</v>
      </c>
      <c r="K3202" s="7">
        <v>46.814900000000002</v>
      </c>
      <c r="L3202" s="7">
        <v>-71.225200000000001</v>
      </c>
      <c r="M3202" s="10" t="str">
        <f t="shared" si="299"/>
        <v>C55</v>
      </c>
      <c r="N3202" s="10" t="str">
        <f t="shared" si="300"/>
        <v>C66</v>
      </c>
      <c r="O3202" s="5">
        <f t="shared" si="301"/>
        <v>7.8723866597950174</v>
      </c>
      <c r="P3202" s="22">
        <f>O3202/Explications!$C$8</f>
        <v>0.26241288865983392</v>
      </c>
      <c r="Q3202" s="7" t="str">
        <f t="shared" si="302"/>
        <v>C66</v>
      </c>
      <c r="R3202" s="7" t="str">
        <f t="shared" si="303"/>
        <v>C55</v>
      </c>
      <c r="S3202" s="18">
        <f t="shared" si="304"/>
        <v>7.8723866597950174</v>
      </c>
      <c r="T3202" s="18">
        <f>S3202/Explications!$C$8</f>
        <v>0.26241288865983392</v>
      </c>
    </row>
    <row r="3203" spans="7:20">
      <c r="G3203" s="7" t="s">
        <v>71</v>
      </c>
      <c r="H3203" s="7" t="s">
        <v>83</v>
      </c>
      <c r="I3203" s="7">
        <v>46.788899999999998</v>
      </c>
      <c r="J3203" s="7">
        <v>-71.321399999999997</v>
      </c>
      <c r="K3203" s="7">
        <v>46.814700000000002</v>
      </c>
      <c r="L3203" s="7">
        <v>-71.207300000000004</v>
      </c>
      <c r="M3203" s="10" t="str">
        <f t="shared" si="299"/>
        <v>C55</v>
      </c>
      <c r="N3203" s="10" t="str">
        <f t="shared" si="300"/>
        <v>C67</v>
      </c>
      <c r="O3203" s="5">
        <f t="shared" si="301"/>
        <v>9.1463531142899264</v>
      </c>
      <c r="P3203" s="22">
        <f>O3203/Explications!$C$8</f>
        <v>0.30487843714299756</v>
      </c>
      <c r="Q3203" s="7" t="str">
        <f t="shared" si="302"/>
        <v>C67</v>
      </c>
      <c r="R3203" s="7" t="str">
        <f t="shared" si="303"/>
        <v>C55</v>
      </c>
      <c r="S3203" s="18">
        <f t="shared" si="304"/>
        <v>9.1463531142899264</v>
      </c>
      <c r="T3203" s="18">
        <f>S3203/Explications!$C$8</f>
        <v>0.30487843714299756</v>
      </c>
    </row>
    <row r="3204" spans="7:20">
      <c r="G3204" s="7" t="s">
        <v>71</v>
      </c>
      <c r="H3204" s="7" t="s">
        <v>84</v>
      </c>
      <c r="I3204" s="7">
        <v>46.788899999999998</v>
      </c>
      <c r="J3204" s="7">
        <v>-71.321399999999997</v>
      </c>
      <c r="K3204" s="7">
        <v>46.815600000000003</v>
      </c>
      <c r="L3204" s="7">
        <v>-71.2029</v>
      </c>
      <c r="M3204" s="10" t="str">
        <f t="shared" ref="M3204:M3267" si="305">G3204</f>
        <v>C55</v>
      </c>
      <c r="N3204" s="10" t="str">
        <f t="shared" ref="N3204:N3267" si="306">H3204</f>
        <v>C68</v>
      </c>
      <c r="O3204" s="5">
        <f t="shared" ref="O3204:O3267" si="307">ACOS(SIN(RADIANS(I3204))*SIN(RADIANS(K3204))+COS(RADIANS(I3204))*COS(RADIANS(K3204))*COS(RADIANS(J3204-L3204)))*6371</f>
        <v>9.4956839740009951</v>
      </c>
      <c r="P3204" s="22">
        <f>O3204/Explications!$C$8</f>
        <v>0.31652279913336651</v>
      </c>
      <c r="Q3204" s="7" t="str">
        <f t="shared" ref="Q3204:Q3267" si="308">N3204</f>
        <v>C68</v>
      </c>
      <c r="R3204" s="7" t="str">
        <f t="shared" ref="R3204:R3267" si="309">M3204</f>
        <v>C55</v>
      </c>
      <c r="S3204" s="18">
        <f t="shared" ref="S3204:S3267" si="310">O3204</f>
        <v>9.4956839740009951</v>
      </c>
      <c r="T3204" s="18">
        <f>S3204/Explications!$C$8</f>
        <v>0.31652279913336651</v>
      </c>
    </row>
    <row r="3205" spans="7:20">
      <c r="G3205" s="7" t="s">
        <v>71</v>
      </c>
      <c r="H3205" s="7" t="s">
        <v>85</v>
      </c>
      <c r="I3205" s="7">
        <v>46.788899999999998</v>
      </c>
      <c r="J3205" s="7">
        <v>-71.321399999999997</v>
      </c>
      <c r="K3205" s="7">
        <v>46.821899999999999</v>
      </c>
      <c r="L3205" s="7">
        <v>-71.249899999999997</v>
      </c>
      <c r="M3205" s="10" t="str">
        <f t="shared" si="305"/>
        <v>C55</v>
      </c>
      <c r="N3205" s="10" t="str">
        <f t="shared" si="306"/>
        <v>C69</v>
      </c>
      <c r="O3205" s="5">
        <f t="shared" si="307"/>
        <v>6.5634619932178042</v>
      </c>
      <c r="P3205" s="22">
        <f>O3205/Explications!$C$8</f>
        <v>0.21878206644059348</v>
      </c>
      <c r="Q3205" s="7" t="str">
        <f t="shared" si="308"/>
        <v>C69</v>
      </c>
      <c r="R3205" s="7" t="str">
        <f t="shared" si="309"/>
        <v>C55</v>
      </c>
      <c r="S3205" s="18">
        <f t="shared" si="310"/>
        <v>6.5634619932178042</v>
      </c>
      <c r="T3205" s="18">
        <f>S3205/Explications!$C$8</f>
        <v>0.21878206644059348</v>
      </c>
    </row>
    <row r="3206" spans="7:20">
      <c r="G3206" s="7" t="s">
        <v>71</v>
      </c>
      <c r="H3206" s="7" t="s">
        <v>86</v>
      </c>
      <c r="I3206" s="7">
        <v>46.788899999999998</v>
      </c>
      <c r="J3206" s="7">
        <v>-71.321399999999997</v>
      </c>
      <c r="K3206" s="7">
        <v>46.8872</v>
      </c>
      <c r="L3206" s="7">
        <v>-71.27</v>
      </c>
      <c r="M3206" s="10" t="str">
        <f t="shared" si="305"/>
        <v>C55</v>
      </c>
      <c r="N3206" s="10" t="str">
        <f t="shared" si="306"/>
        <v>C70</v>
      </c>
      <c r="O3206" s="5">
        <f t="shared" si="307"/>
        <v>11.608650549875454</v>
      </c>
      <c r="P3206" s="22">
        <f>O3206/Explications!$C$8</f>
        <v>0.38695501832918183</v>
      </c>
      <c r="Q3206" s="7" t="str">
        <f t="shared" si="308"/>
        <v>C70</v>
      </c>
      <c r="R3206" s="7" t="str">
        <f t="shared" si="309"/>
        <v>C55</v>
      </c>
      <c r="S3206" s="18">
        <f t="shared" si="310"/>
        <v>11.608650549875454</v>
      </c>
      <c r="T3206" s="18">
        <f>S3206/Explications!$C$8</f>
        <v>0.38695501832918183</v>
      </c>
    </row>
    <row r="3207" spans="7:20">
      <c r="G3207" s="7" t="s">
        <v>71</v>
      </c>
      <c r="H3207" s="7" t="s">
        <v>87</v>
      </c>
      <c r="I3207" s="7">
        <v>46.788899999999998</v>
      </c>
      <c r="J3207" s="7">
        <v>-71.321399999999997</v>
      </c>
      <c r="K3207" s="7">
        <v>46.816299999999998</v>
      </c>
      <c r="L3207" s="7">
        <v>-71.210300000000004</v>
      </c>
      <c r="M3207" s="10" t="str">
        <f t="shared" si="305"/>
        <v>C55</v>
      </c>
      <c r="N3207" s="10" t="str">
        <f t="shared" si="306"/>
        <v>C71</v>
      </c>
      <c r="O3207" s="5">
        <f t="shared" si="307"/>
        <v>8.9884343511337441</v>
      </c>
      <c r="P3207" s="22">
        <f>O3207/Explications!$C$8</f>
        <v>0.29961447837112481</v>
      </c>
      <c r="Q3207" s="7" t="str">
        <f t="shared" si="308"/>
        <v>C71</v>
      </c>
      <c r="R3207" s="7" t="str">
        <f t="shared" si="309"/>
        <v>C55</v>
      </c>
      <c r="S3207" s="18">
        <f t="shared" si="310"/>
        <v>8.9884343511337441</v>
      </c>
      <c r="T3207" s="18">
        <f>S3207/Explications!$C$8</f>
        <v>0.29961447837112481</v>
      </c>
    </row>
    <row r="3208" spans="7:20">
      <c r="G3208" s="7" t="s">
        <v>71</v>
      </c>
      <c r="H3208" s="7" t="s">
        <v>88</v>
      </c>
      <c r="I3208" s="7">
        <v>46.788899999999998</v>
      </c>
      <c r="J3208" s="7">
        <v>-71.321399999999997</v>
      </c>
      <c r="K3208" s="7">
        <v>46.807000000000002</v>
      </c>
      <c r="L3208" s="7">
        <v>-71.3566</v>
      </c>
      <c r="M3208" s="10" t="str">
        <f t="shared" si="305"/>
        <v>C55</v>
      </c>
      <c r="N3208" s="10" t="str">
        <f t="shared" si="306"/>
        <v>C72</v>
      </c>
      <c r="O3208" s="5">
        <f t="shared" si="307"/>
        <v>3.3511469254716006</v>
      </c>
      <c r="P3208" s="22">
        <f>O3208/Explications!$C$8</f>
        <v>0.11170489751572002</v>
      </c>
      <c r="Q3208" s="7" t="str">
        <f t="shared" si="308"/>
        <v>C72</v>
      </c>
      <c r="R3208" s="7" t="str">
        <f t="shared" si="309"/>
        <v>C55</v>
      </c>
      <c r="S3208" s="18">
        <f t="shared" si="310"/>
        <v>3.3511469254716006</v>
      </c>
      <c r="T3208" s="18">
        <f>S3208/Explications!$C$8</f>
        <v>0.11170489751572002</v>
      </c>
    </row>
    <row r="3209" spans="7:20">
      <c r="G3209" s="7" t="s">
        <v>71</v>
      </c>
      <c r="H3209" s="7" t="s">
        <v>89</v>
      </c>
      <c r="I3209" s="7">
        <v>46.788899999999998</v>
      </c>
      <c r="J3209" s="7">
        <v>-71.321399999999997</v>
      </c>
      <c r="K3209" s="7">
        <v>46.822899999999997</v>
      </c>
      <c r="L3209" s="7">
        <v>-71.341899999999995</v>
      </c>
      <c r="M3209" s="10" t="str">
        <f t="shared" si="305"/>
        <v>C55</v>
      </c>
      <c r="N3209" s="10" t="str">
        <f t="shared" si="306"/>
        <v>C73</v>
      </c>
      <c r="O3209" s="5">
        <f t="shared" si="307"/>
        <v>4.0899300771676819</v>
      </c>
      <c r="P3209" s="22">
        <f>O3209/Explications!$C$8</f>
        <v>0.13633100257225605</v>
      </c>
      <c r="Q3209" s="7" t="str">
        <f t="shared" si="308"/>
        <v>C73</v>
      </c>
      <c r="R3209" s="7" t="str">
        <f t="shared" si="309"/>
        <v>C55</v>
      </c>
      <c r="S3209" s="18">
        <f t="shared" si="310"/>
        <v>4.0899300771676819</v>
      </c>
      <c r="T3209" s="18">
        <f>S3209/Explications!$C$8</f>
        <v>0.13633100257225605</v>
      </c>
    </row>
    <row r="3210" spans="7:20">
      <c r="G3210" s="7" t="s">
        <v>71</v>
      </c>
      <c r="H3210" s="7" t="s">
        <v>90</v>
      </c>
      <c r="I3210" s="7">
        <v>46.788899999999998</v>
      </c>
      <c r="J3210" s="7">
        <v>-71.321399999999997</v>
      </c>
      <c r="K3210" s="7">
        <v>46.730699999999999</v>
      </c>
      <c r="L3210" s="7">
        <v>-71.261099999999999</v>
      </c>
      <c r="M3210" s="10" t="str">
        <f t="shared" si="305"/>
        <v>C55</v>
      </c>
      <c r="N3210" s="10" t="str">
        <f t="shared" si="306"/>
        <v>C74</v>
      </c>
      <c r="O3210" s="5">
        <f t="shared" si="307"/>
        <v>7.9359800615834191</v>
      </c>
      <c r="P3210" s="22">
        <f>O3210/Explications!$C$8</f>
        <v>0.26453266871944731</v>
      </c>
      <c r="Q3210" s="7" t="str">
        <f t="shared" si="308"/>
        <v>C74</v>
      </c>
      <c r="R3210" s="7" t="str">
        <f t="shared" si="309"/>
        <v>C55</v>
      </c>
      <c r="S3210" s="18">
        <f t="shared" si="310"/>
        <v>7.9359800615834191</v>
      </c>
      <c r="T3210" s="18">
        <f>S3210/Explications!$C$8</f>
        <v>0.26453266871944731</v>
      </c>
    </row>
    <row r="3211" spans="7:20">
      <c r="G3211" s="7" t="s">
        <v>71</v>
      </c>
      <c r="H3211" s="7" t="s">
        <v>91</v>
      </c>
      <c r="I3211" s="7">
        <v>46.788899999999998</v>
      </c>
      <c r="J3211" s="7">
        <v>-71.321399999999997</v>
      </c>
      <c r="K3211" s="7">
        <v>46.840600000000002</v>
      </c>
      <c r="L3211" s="7">
        <v>-71.289100000000005</v>
      </c>
      <c r="M3211" s="10" t="str">
        <f t="shared" si="305"/>
        <v>C55</v>
      </c>
      <c r="N3211" s="10" t="str">
        <f t="shared" si="306"/>
        <v>C75</v>
      </c>
      <c r="O3211" s="5">
        <f t="shared" si="307"/>
        <v>6.2521936389064265</v>
      </c>
      <c r="P3211" s="22">
        <f>O3211/Explications!$C$8</f>
        <v>0.20840645463021421</v>
      </c>
      <c r="Q3211" s="7" t="str">
        <f t="shared" si="308"/>
        <v>C75</v>
      </c>
      <c r="R3211" s="7" t="str">
        <f t="shared" si="309"/>
        <v>C55</v>
      </c>
      <c r="S3211" s="18">
        <f t="shared" si="310"/>
        <v>6.2521936389064265</v>
      </c>
      <c r="T3211" s="18">
        <f>S3211/Explications!$C$8</f>
        <v>0.20840645463021421</v>
      </c>
    </row>
    <row r="3212" spans="7:20">
      <c r="G3212" s="7" t="s">
        <v>71</v>
      </c>
      <c r="H3212" s="7" t="s">
        <v>92</v>
      </c>
      <c r="I3212" s="7">
        <v>46.788899999999998</v>
      </c>
      <c r="J3212" s="7">
        <v>-71.321399999999997</v>
      </c>
      <c r="K3212" s="7">
        <v>46.840600000000002</v>
      </c>
      <c r="L3212" s="7">
        <v>-71.281599999999997</v>
      </c>
      <c r="M3212" s="10" t="str">
        <f t="shared" si="305"/>
        <v>C55</v>
      </c>
      <c r="N3212" s="10" t="str">
        <f t="shared" si="306"/>
        <v>C76</v>
      </c>
      <c r="O3212" s="5">
        <f t="shared" si="307"/>
        <v>6.4977918152541712</v>
      </c>
      <c r="P3212" s="22">
        <f>O3212/Explications!$C$8</f>
        <v>0.21659306050847238</v>
      </c>
      <c r="Q3212" s="7" t="str">
        <f t="shared" si="308"/>
        <v>C76</v>
      </c>
      <c r="R3212" s="7" t="str">
        <f t="shared" si="309"/>
        <v>C55</v>
      </c>
      <c r="S3212" s="18">
        <f t="shared" si="310"/>
        <v>6.4977918152541712</v>
      </c>
      <c r="T3212" s="18">
        <f>S3212/Explications!$C$8</f>
        <v>0.21659306050847238</v>
      </c>
    </row>
    <row r="3213" spans="7:20">
      <c r="G3213" s="7" t="s">
        <v>71</v>
      </c>
      <c r="H3213" s="7" t="s">
        <v>93</v>
      </c>
      <c r="I3213" s="7">
        <v>46.788899999999998</v>
      </c>
      <c r="J3213" s="7">
        <v>-71.321399999999997</v>
      </c>
      <c r="K3213" s="7">
        <v>46.839399999999998</v>
      </c>
      <c r="L3213" s="7">
        <v>-71.282600000000002</v>
      </c>
      <c r="M3213" s="10" t="str">
        <f t="shared" si="305"/>
        <v>C55</v>
      </c>
      <c r="N3213" s="10" t="str">
        <f t="shared" si="306"/>
        <v>C77</v>
      </c>
      <c r="O3213" s="5">
        <f t="shared" si="307"/>
        <v>6.3442869845917773</v>
      </c>
      <c r="P3213" s="22">
        <f>O3213/Explications!$C$8</f>
        <v>0.21147623281972591</v>
      </c>
      <c r="Q3213" s="7" t="str">
        <f t="shared" si="308"/>
        <v>C77</v>
      </c>
      <c r="R3213" s="7" t="str">
        <f t="shared" si="309"/>
        <v>C55</v>
      </c>
      <c r="S3213" s="18">
        <f t="shared" si="310"/>
        <v>6.3442869845917773</v>
      </c>
      <c r="T3213" s="18">
        <f>S3213/Explications!$C$8</f>
        <v>0.21147623281972591</v>
      </c>
    </row>
    <row r="3214" spans="7:20">
      <c r="G3214" s="7" t="s">
        <v>71</v>
      </c>
      <c r="H3214" s="7" t="s">
        <v>94</v>
      </c>
      <c r="I3214" s="7">
        <v>46.788899999999998</v>
      </c>
      <c r="J3214" s="7">
        <v>-71.321399999999997</v>
      </c>
      <c r="K3214" s="7">
        <v>46.788499999999999</v>
      </c>
      <c r="L3214" s="7">
        <v>-71.282399999999996</v>
      </c>
      <c r="M3214" s="10" t="str">
        <f t="shared" si="305"/>
        <v>C55</v>
      </c>
      <c r="N3214" s="10" t="str">
        <f t="shared" si="306"/>
        <v>C78</v>
      </c>
      <c r="O3214" s="5">
        <f t="shared" si="307"/>
        <v>2.9695649358882426</v>
      </c>
      <c r="P3214" s="22">
        <f>O3214/Explications!$C$8</f>
        <v>9.8985497862941418E-2</v>
      </c>
      <c r="Q3214" s="7" t="str">
        <f t="shared" si="308"/>
        <v>C78</v>
      </c>
      <c r="R3214" s="7" t="str">
        <f t="shared" si="309"/>
        <v>C55</v>
      </c>
      <c r="S3214" s="18">
        <f t="shared" si="310"/>
        <v>2.9695649358882426</v>
      </c>
      <c r="T3214" s="18">
        <f>S3214/Explications!$C$8</f>
        <v>9.8985497862941418E-2</v>
      </c>
    </row>
    <row r="3215" spans="7:20">
      <c r="G3215" s="7" t="s">
        <v>71</v>
      </c>
      <c r="H3215" s="7" t="s">
        <v>95</v>
      </c>
      <c r="I3215" s="7">
        <v>46.788899999999998</v>
      </c>
      <c r="J3215" s="7">
        <v>-71.321399999999997</v>
      </c>
      <c r="K3215" s="7">
        <v>46.840699999999998</v>
      </c>
      <c r="L3215" s="7">
        <v>-71.325400000000002</v>
      </c>
      <c r="M3215" s="10" t="str">
        <f t="shared" si="305"/>
        <v>C55</v>
      </c>
      <c r="N3215" s="10" t="str">
        <f t="shared" si="306"/>
        <v>C79</v>
      </c>
      <c r="O3215" s="5">
        <f t="shared" si="307"/>
        <v>5.7679344939945256</v>
      </c>
      <c r="P3215" s="22">
        <f>O3215/Explications!$C$8</f>
        <v>0.19226448313315087</v>
      </c>
      <c r="Q3215" s="7" t="str">
        <f t="shared" si="308"/>
        <v>C79</v>
      </c>
      <c r="R3215" s="7" t="str">
        <f t="shared" si="309"/>
        <v>C55</v>
      </c>
      <c r="S3215" s="18">
        <f t="shared" si="310"/>
        <v>5.7679344939945256</v>
      </c>
      <c r="T3215" s="18">
        <f>S3215/Explications!$C$8</f>
        <v>0.19226448313315087</v>
      </c>
    </row>
    <row r="3216" spans="7:20">
      <c r="G3216" s="7" t="s">
        <v>71</v>
      </c>
      <c r="H3216" s="7" t="s">
        <v>96</v>
      </c>
      <c r="I3216" s="7">
        <v>46.788899999999998</v>
      </c>
      <c r="J3216" s="7">
        <v>-71.321399999999997</v>
      </c>
      <c r="K3216" s="7">
        <v>46.798400000000001</v>
      </c>
      <c r="L3216" s="7">
        <v>-71.183199999999999</v>
      </c>
      <c r="M3216" s="10" t="str">
        <f t="shared" si="305"/>
        <v>C55</v>
      </c>
      <c r="N3216" s="10" t="str">
        <f t="shared" si="306"/>
        <v>C80</v>
      </c>
      <c r="O3216" s="5">
        <f t="shared" si="307"/>
        <v>10.573669685397622</v>
      </c>
      <c r="P3216" s="22">
        <f>O3216/Explications!$C$8</f>
        <v>0.35245565617992075</v>
      </c>
      <c r="Q3216" s="7" t="str">
        <f t="shared" si="308"/>
        <v>C80</v>
      </c>
      <c r="R3216" s="7" t="str">
        <f t="shared" si="309"/>
        <v>C55</v>
      </c>
      <c r="S3216" s="18">
        <f t="shared" si="310"/>
        <v>10.573669685397622</v>
      </c>
      <c r="T3216" s="18">
        <f>S3216/Explications!$C$8</f>
        <v>0.35245565617992075</v>
      </c>
    </row>
    <row r="3217" spans="7:20">
      <c r="G3217" s="7" t="s">
        <v>71</v>
      </c>
      <c r="H3217" s="7" t="s">
        <v>97</v>
      </c>
      <c r="I3217" s="7">
        <v>46.788899999999998</v>
      </c>
      <c r="J3217" s="7">
        <v>-71.321399999999997</v>
      </c>
      <c r="K3217" s="7">
        <v>46.724800000000002</v>
      </c>
      <c r="L3217" s="7">
        <v>-71.2988</v>
      </c>
      <c r="M3217" s="10" t="str">
        <f t="shared" si="305"/>
        <v>C55</v>
      </c>
      <c r="N3217" s="10" t="str">
        <f t="shared" si="306"/>
        <v>C81</v>
      </c>
      <c r="O3217" s="5">
        <f t="shared" si="307"/>
        <v>7.3325768875669102</v>
      </c>
      <c r="P3217" s="22">
        <f>O3217/Explications!$C$8</f>
        <v>0.24441922958556367</v>
      </c>
      <c r="Q3217" s="7" t="str">
        <f t="shared" si="308"/>
        <v>C81</v>
      </c>
      <c r="R3217" s="7" t="str">
        <f t="shared" si="309"/>
        <v>C55</v>
      </c>
      <c r="S3217" s="18">
        <f t="shared" si="310"/>
        <v>7.3325768875669102</v>
      </c>
      <c r="T3217" s="18">
        <f>S3217/Explications!$C$8</f>
        <v>0.24441922958556367</v>
      </c>
    </row>
    <row r="3218" spans="7:20">
      <c r="G3218" s="7" t="s">
        <v>71</v>
      </c>
      <c r="H3218" s="7" t="s">
        <v>98</v>
      </c>
      <c r="I3218" s="7">
        <v>46.788899999999998</v>
      </c>
      <c r="J3218" s="7">
        <v>-71.321399999999997</v>
      </c>
      <c r="K3218" s="7">
        <v>46.795499999999997</v>
      </c>
      <c r="L3218" s="7">
        <v>-71.242900000000006</v>
      </c>
      <c r="M3218" s="10" t="str">
        <f t="shared" si="305"/>
        <v>C55</v>
      </c>
      <c r="N3218" s="10" t="str">
        <f t="shared" si="306"/>
        <v>C82</v>
      </c>
      <c r="O3218" s="5">
        <f t="shared" si="307"/>
        <v>6.0210349000842287</v>
      </c>
      <c r="P3218" s="22">
        <f>O3218/Explications!$C$8</f>
        <v>0.20070116333614096</v>
      </c>
      <c r="Q3218" s="7" t="str">
        <f t="shared" si="308"/>
        <v>C82</v>
      </c>
      <c r="R3218" s="7" t="str">
        <f t="shared" si="309"/>
        <v>C55</v>
      </c>
      <c r="S3218" s="18">
        <f t="shared" si="310"/>
        <v>6.0210349000842287</v>
      </c>
      <c r="T3218" s="18">
        <f>S3218/Explications!$C$8</f>
        <v>0.20070116333614096</v>
      </c>
    </row>
    <row r="3219" spans="7:20">
      <c r="G3219" s="7" t="s">
        <v>71</v>
      </c>
      <c r="H3219" s="7" t="s">
        <v>99</v>
      </c>
      <c r="I3219" s="7">
        <v>46.788899999999998</v>
      </c>
      <c r="J3219" s="7">
        <v>-71.321399999999997</v>
      </c>
      <c r="K3219" s="7">
        <v>46.8157</v>
      </c>
      <c r="L3219" s="7">
        <v>-71.201899999999995</v>
      </c>
      <c r="M3219" s="10" t="str">
        <f t="shared" si="305"/>
        <v>C55</v>
      </c>
      <c r="N3219" s="10" t="str">
        <f t="shared" si="306"/>
        <v>C83</v>
      </c>
      <c r="O3219" s="5">
        <f t="shared" si="307"/>
        <v>9.5714606766080497</v>
      </c>
      <c r="P3219" s="22">
        <f>O3219/Explications!$C$8</f>
        <v>0.3190486892202683</v>
      </c>
      <c r="Q3219" s="7" t="str">
        <f t="shared" si="308"/>
        <v>C83</v>
      </c>
      <c r="R3219" s="7" t="str">
        <f t="shared" si="309"/>
        <v>C55</v>
      </c>
      <c r="S3219" s="18">
        <f t="shared" si="310"/>
        <v>9.5714606766080497</v>
      </c>
      <c r="T3219" s="18">
        <f>S3219/Explications!$C$8</f>
        <v>0.3190486892202683</v>
      </c>
    </row>
    <row r="3220" spans="7:20">
      <c r="G3220" s="7" t="s">
        <v>71</v>
      </c>
      <c r="H3220" s="7" t="s">
        <v>100</v>
      </c>
      <c r="I3220" s="7">
        <v>46.788899999999998</v>
      </c>
      <c r="J3220" s="7">
        <v>-71.321399999999997</v>
      </c>
      <c r="K3220" s="7">
        <v>46.837600000000002</v>
      </c>
      <c r="L3220" s="7">
        <v>-71.196299999999994</v>
      </c>
      <c r="M3220" s="10" t="str">
        <f t="shared" si="305"/>
        <v>C55</v>
      </c>
      <c r="N3220" s="10" t="str">
        <f t="shared" si="306"/>
        <v>C84</v>
      </c>
      <c r="O3220" s="5">
        <f t="shared" si="307"/>
        <v>10.952414331480355</v>
      </c>
      <c r="P3220" s="22">
        <f>O3220/Explications!$C$8</f>
        <v>0.36508047771601182</v>
      </c>
      <c r="Q3220" s="7" t="str">
        <f t="shared" si="308"/>
        <v>C84</v>
      </c>
      <c r="R3220" s="7" t="str">
        <f t="shared" si="309"/>
        <v>C55</v>
      </c>
      <c r="S3220" s="18">
        <f t="shared" si="310"/>
        <v>10.952414331480355</v>
      </c>
      <c r="T3220" s="18">
        <f>S3220/Explications!$C$8</f>
        <v>0.36508047771601182</v>
      </c>
    </row>
    <row r="3221" spans="7:20">
      <c r="G3221" s="7" t="s">
        <v>71</v>
      </c>
      <c r="H3221" s="7" t="s">
        <v>101</v>
      </c>
      <c r="I3221" s="7">
        <v>46.788899999999998</v>
      </c>
      <c r="J3221" s="7">
        <v>-71.321399999999997</v>
      </c>
      <c r="K3221" s="7">
        <v>46.7988</v>
      </c>
      <c r="L3221" s="7">
        <v>-71.318200000000004</v>
      </c>
      <c r="M3221" s="10" t="str">
        <f t="shared" si="305"/>
        <v>C55</v>
      </c>
      <c r="N3221" s="10" t="str">
        <f t="shared" si="306"/>
        <v>C85</v>
      </c>
      <c r="O3221" s="5">
        <f t="shared" si="307"/>
        <v>1.127461776276574</v>
      </c>
      <c r="P3221" s="22">
        <f>O3221/Explications!$C$8</f>
        <v>3.7582059209219129E-2</v>
      </c>
      <c r="Q3221" s="7" t="str">
        <f t="shared" si="308"/>
        <v>C85</v>
      </c>
      <c r="R3221" s="7" t="str">
        <f t="shared" si="309"/>
        <v>C55</v>
      </c>
      <c r="S3221" s="18">
        <f t="shared" si="310"/>
        <v>1.127461776276574</v>
      </c>
      <c r="T3221" s="18">
        <f>S3221/Explications!$C$8</f>
        <v>3.7582059209219129E-2</v>
      </c>
    </row>
    <row r="3222" spans="7:20">
      <c r="G3222" s="7" t="s">
        <v>72</v>
      </c>
      <c r="H3222" s="7" t="s">
        <v>73</v>
      </c>
      <c r="I3222" s="7">
        <v>46.795400000000001</v>
      </c>
      <c r="J3222" s="7">
        <v>-71.232600000000005</v>
      </c>
      <c r="K3222" s="7">
        <v>46.801200000000001</v>
      </c>
      <c r="L3222" s="7">
        <v>-71.224999999999994</v>
      </c>
      <c r="M3222" s="10" t="str">
        <f t="shared" si="305"/>
        <v>C56</v>
      </c>
      <c r="N3222" s="10" t="str">
        <f t="shared" si="306"/>
        <v>C57</v>
      </c>
      <c r="O3222" s="5">
        <f t="shared" si="307"/>
        <v>0.86638131917258043</v>
      </c>
      <c r="P3222" s="22">
        <f>O3222/Explications!$C$8</f>
        <v>2.8879377305752681E-2</v>
      </c>
      <c r="Q3222" s="7" t="str">
        <f t="shared" si="308"/>
        <v>C57</v>
      </c>
      <c r="R3222" s="7" t="str">
        <f t="shared" si="309"/>
        <v>C56</v>
      </c>
      <c r="S3222" s="18">
        <f t="shared" si="310"/>
        <v>0.86638131917258043</v>
      </c>
      <c r="T3222" s="18">
        <f>S3222/Explications!$C$8</f>
        <v>2.8879377305752681E-2</v>
      </c>
    </row>
    <row r="3223" spans="7:20">
      <c r="G3223" s="7" t="s">
        <v>72</v>
      </c>
      <c r="H3223" s="7" t="s">
        <v>74</v>
      </c>
      <c r="I3223" s="7">
        <v>46.795400000000001</v>
      </c>
      <c r="J3223" s="7">
        <v>-71.232600000000005</v>
      </c>
      <c r="K3223" s="7">
        <v>46.773200000000003</v>
      </c>
      <c r="L3223" s="7">
        <v>-71.275899999999993</v>
      </c>
      <c r="M3223" s="10" t="str">
        <f t="shared" si="305"/>
        <v>C56</v>
      </c>
      <c r="N3223" s="10" t="str">
        <f t="shared" si="306"/>
        <v>C58</v>
      </c>
      <c r="O3223" s="5">
        <f t="shared" si="307"/>
        <v>4.1186201810122913</v>
      </c>
      <c r="P3223" s="22">
        <f>O3223/Explications!$C$8</f>
        <v>0.13728733936707638</v>
      </c>
      <c r="Q3223" s="7" t="str">
        <f t="shared" si="308"/>
        <v>C58</v>
      </c>
      <c r="R3223" s="7" t="str">
        <f t="shared" si="309"/>
        <v>C56</v>
      </c>
      <c r="S3223" s="18">
        <f t="shared" si="310"/>
        <v>4.1186201810122913</v>
      </c>
      <c r="T3223" s="18">
        <f>S3223/Explications!$C$8</f>
        <v>0.13728733936707638</v>
      </c>
    </row>
    <row r="3224" spans="7:20">
      <c r="G3224" s="7" t="s">
        <v>72</v>
      </c>
      <c r="H3224" s="7" t="s">
        <v>75</v>
      </c>
      <c r="I3224" s="7">
        <v>46.795400000000001</v>
      </c>
      <c r="J3224" s="7">
        <v>-71.232600000000005</v>
      </c>
      <c r="K3224" s="7">
        <v>46.814399999999999</v>
      </c>
      <c r="L3224" s="7">
        <v>-71.225700000000003</v>
      </c>
      <c r="M3224" s="10" t="str">
        <f t="shared" si="305"/>
        <v>C56</v>
      </c>
      <c r="N3224" s="10" t="str">
        <f t="shared" si="306"/>
        <v>C59</v>
      </c>
      <c r="O3224" s="5">
        <f t="shared" si="307"/>
        <v>2.176997340105431</v>
      </c>
      <c r="P3224" s="22">
        <f>O3224/Explications!$C$8</f>
        <v>7.2566578003514362E-2</v>
      </c>
      <c r="Q3224" s="7" t="str">
        <f t="shared" si="308"/>
        <v>C59</v>
      </c>
      <c r="R3224" s="7" t="str">
        <f t="shared" si="309"/>
        <v>C56</v>
      </c>
      <c r="S3224" s="18">
        <f t="shared" si="310"/>
        <v>2.176997340105431</v>
      </c>
      <c r="T3224" s="18">
        <f>S3224/Explications!$C$8</f>
        <v>7.2566578003514362E-2</v>
      </c>
    </row>
    <row r="3225" spans="7:20">
      <c r="G3225" s="7" t="s">
        <v>72</v>
      </c>
      <c r="H3225" s="7" t="s">
        <v>76</v>
      </c>
      <c r="I3225" s="7">
        <v>46.795400000000001</v>
      </c>
      <c r="J3225" s="7">
        <v>-71.232600000000005</v>
      </c>
      <c r="K3225" s="7">
        <v>46.772500000000001</v>
      </c>
      <c r="L3225" s="7">
        <v>-71.276300000000006</v>
      </c>
      <c r="M3225" s="10" t="str">
        <f t="shared" si="305"/>
        <v>C56</v>
      </c>
      <c r="N3225" s="10" t="str">
        <f t="shared" si="306"/>
        <v>C60</v>
      </c>
      <c r="O3225" s="5">
        <f t="shared" si="307"/>
        <v>4.1899004061292153</v>
      </c>
      <c r="P3225" s="22">
        <f>O3225/Explications!$C$8</f>
        <v>0.13966334687097384</v>
      </c>
      <c r="Q3225" s="7" t="str">
        <f t="shared" si="308"/>
        <v>C60</v>
      </c>
      <c r="R3225" s="7" t="str">
        <f t="shared" si="309"/>
        <v>C56</v>
      </c>
      <c r="S3225" s="18">
        <f t="shared" si="310"/>
        <v>4.1899004061292153</v>
      </c>
      <c r="T3225" s="18">
        <f>S3225/Explications!$C$8</f>
        <v>0.13966334687097384</v>
      </c>
    </row>
    <row r="3226" spans="7:20">
      <c r="G3226" s="7" t="s">
        <v>72</v>
      </c>
      <c r="H3226" s="7" t="s">
        <v>77</v>
      </c>
      <c r="I3226" s="7">
        <v>46.795400000000001</v>
      </c>
      <c r="J3226" s="7">
        <v>-71.232600000000005</v>
      </c>
      <c r="K3226" s="7">
        <v>46.810899999999997</v>
      </c>
      <c r="L3226" s="7">
        <v>-71.215599999999995</v>
      </c>
      <c r="M3226" s="10" t="str">
        <f t="shared" si="305"/>
        <v>C56</v>
      </c>
      <c r="N3226" s="10" t="str">
        <f t="shared" si="306"/>
        <v>C61</v>
      </c>
      <c r="O3226" s="5">
        <f t="shared" si="307"/>
        <v>2.1551771558628037</v>
      </c>
      <c r="P3226" s="22">
        <f>O3226/Explications!$C$8</f>
        <v>7.1839238528760119E-2</v>
      </c>
      <c r="Q3226" s="7" t="str">
        <f t="shared" si="308"/>
        <v>C61</v>
      </c>
      <c r="R3226" s="7" t="str">
        <f t="shared" si="309"/>
        <v>C56</v>
      </c>
      <c r="S3226" s="18">
        <f t="shared" si="310"/>
        <v>2.1551771558628037</v>
      </c>
      <c r="T3226" s="18">
        <f>S3226/Explications!$C$8</f>
        <v>7.1839238528760119E-2</v>
      </c>
    </row>
    <row r="3227" spans="7:20">
      <c r="G3227" s="7" t="s">
        <v>72</v>
      </c>
      <c r="H3227" s="7" t="s">
        <v>78</v>
      </c>
      <c r="I3227" s="7">
        <v>46.795400000000001</v>
      </c>
      <c r="J3227" s="7">
        <v>-71.232600000000005</v>
      </c>
      <c r="K3227" s="7">
        <v>46.795200000000001</v>
      </c>
      <c r="L3227" s="7">
        <v>-71.245099999999994</v>
      </c>
      <c r="M3227" s="10" t="str">
        <f t="shared" si="305"/>
        <v>C56</v>
      </c>
      <c r="N3227" s="10" t="str">
        <f t="shared" si="306"/>
        <v>C62</v>
      </c>
      <c r="O3227" s="5">
        <f t="shared" si="307"/>
        <v>0.95182001525390403</v>
      </c>
      <c r="P3227" s="22">
        <f>O3227/Explications!$C$8</f>
        <v>3.1727333841796802E-2</v>
      </c>
      <c r="Q3227" s="7" t="str">
        <f t="shared" si="308"/>
        <v>C62</v>
      </c>
      <c r="R3227" s="7" t="str">
        <f t="shared" si="309"/>
        <v>C56</v>
      </c>
      <c r="S3227" s="18">
        <f t="shared" si="310"/>
        <v>0.95182001525390403</v>
      </c>
      <c r="T3227" s="18">
        <f>S3227/Explications!$C$8</f>
        <v>3.1727333841796802E-2</v>
      </c>
    </row>
    <row r="3228" spans="7:20">
      <c r="G3228" s="7" t="s">
        <v>72</v>
      </c>
      <c r="H3228" s="7" t="s">
        <v>79</v>
      </c>
      <c r="I3228" s="7">
        <v>46.795400000000001</v>
      </c>
      <c r="J3228" s="7">
        <v>-71.232600000000005</v>
      </c>
      <c r="K3228" s="7">
        <v>46.822000000000003</v>
      </c>
      <c r="L3228" s="7">
        <v>-71.345699999999994</v>
      </c>
      <c r="M3228" s="10" t="str">
        <f t="shared" si="305"/>
        <v>C56</v>
      </c>
      <c r="N3228" s="10" t="str">
        <f t="shared" si="306"/>
        <v>C63</v>
      </c>
      <c r="O3228" s="5">
        <f t="shared" si="307"/>
        <v>9.1015809286473406</v>
      </c>
      <c r="P3228" s="22">
        <f>O3228/Explications!$C$8</f>
        <v>0.30338603095491135</v>
      </c>
      <c r="Q3228" s="7" t="str">
        <f t="shared" si="308"/>
        <v>C63</v>
      </c>
      <c r="R3228" s="7" t="str">
        <f t="shared" si="309"/>
        <v>C56</v>
      </c>
      <c r="S3228" s="18">
        <f t="shared" si="310"/>
        <v>9.1015809286473406</v>
      </c>
      <c r="T3228" s="18">
        <f>S3228/Explications!$C$8</f>
        <v>0.30338603095491135</v>
      </c>
    </row>
    <row r="3229" spans="7:20">
      <c r="G3229" s="7" t="s">
        <v>72</v>
      </c>
      <c r="H3229" s="7" t="s">
        <v>80</v>
      </c>
      <c r="I3229" s="7">
        <v>46.795400000000001</v>
      </c>
      <c r="J3229" s="7">
        <v>-71.232600000000005</v>
      </c>
      <c r="K3229" s="7">
        <v>46.779400000000003</v>
      </c>
      <c r="L3229" s="7">
        <v>-71.350399999999993</v>
      </c>
      <c r="M3229" s="10" t="str">
        <f t="shared" si="305"/>
        <v>C56</v>
      </c>
      <c r="N3229" s="10" t="str">
        <f t="shared" si="306"/>
        <v>C64</v>
      </c>
      <c r="O3229" s="5">
        <f t="shared" si="307"/>
        <v>9.143575313053125</v>
      </c>
      <c r="P3229" s="22">
        <f>O3229/Explications!$C$8</f>
        <v>0.30478584376843748</v>
      </c>
      <c r="Q3229" s="7" t="str">
        <f t="shared" si="308"/>
        <v>C64</v>
      </c>
      <c r="R3229" s="7" t="str">
        <f t="shared" si="309"/>
        <v>C56</v>
      </c>
      <c r="S3229" s="18">
        <f t="shared" si="310"/>
        <v>9.143575313053125</v>
      </c>
      <c r="T3229" s="18">
        <f>S3229/Explications!$C$8</f>
        <v>0.30478584376843748</v>
      </c>
    </row>
    <row r="3230" spans="7:20">
      <c r="G3230" s="7" t="s">
        <v>72</v>
      </c>
      <c r="H3230" s="7" t="s">
        <v>81</v>
      </c>
      <c r="I3230" s="7">
        <v>46.795400000000001</v>
      </c>
      <c r="J3230" s="7">
        <v>-71.232600000000005</v>
      </c>
      <c r="K3230" s="7">
        <v>46.772300000000001</v>
      </c>
      <c r="L3230" s="7">
        <v>-71.279799999999994</v>
      </c>
      <c r="M3230" s="10" t="str">
        <f t="shared" si="305"/>
        <v>C56</v>
      </c>
      <c r="N3230" s="10" t="str">
        <f t="shared" si="306"/>
        <v>C65</v>
      </c>
      <c r="O3230" s="5">
        <f t="shared" si="307"/>
        <v>4.4174107578111625</v>
      </c>
      <c r="P3230" s="22">
        <f>O3230/Explications!$C$8</f>
        <v>0.14724702526037209</v>
      </c>
      <c r="Q3230" s="7" t="str">
        <f t="shared" si="308"/>
        <v>C65</v>
      </c>
      <c r="R3230" s="7" t="str">
        <f t="shared" si="309"/>
        <v>C56</v>
      </c>
      <c r="S3230" s="18">
        <f t="shared" si="310"/>
        <v>4.4174107578111625</v>
      </c>
      <c r="T3230" s="18">
        <f>S3230/Explications!$C$8</f>
        <v>0.14724702526037209</v>
      </c>
    </row>
    <row r="3231" spans="7:20">
      <c r="G3231" s="7" t="s">
        <v>72</v>
      </c>
      <c r="H3231" s="7" t="s">
        <v>82</v>
      </c>
      <c r="I3231" s="7">
        <v>46.795400000000001</v>
      </c>
      <c r="J3231" s="7">
        <v>-71.232600000000005</v>
      </c>
      <c r="K3231" s="7">
        <v>46.814900000000002</v>
      </c>
      <c r="L3231" s="7">
        <v>-71.225200000000001</v>
      </c>
      <c r="M3231" s="10" t="str">
        <f t="shared" si="305"/>
        <v>C56</v>
      </c>
      <c r="N3231" s="10" t="str">
        <f t="shared" si="306"/>
        <v>C66</v>
      </c>
      <c r="O3231" s="5">
        <f t="shared" si="307"/>
        <v>2.2402559791536842</v>
      </c>
      <c r="P3231" s="22">
        <f>O3231/Explications!$C$8</f>
        <v>7.4675199305122814E-2</v>
      </c>
      <c r="Q3231" s="7" t="str">
        <f t="shared" si="308"/>
        <v>C66</v>
      </c>
      <c r="R3231" s="7" t="str">
        <f t="shared" si="309"/>
        <v>C56</v>
      </c>
      <c r="S3231" s="18">
        <f t="shared" si="310"/>
        <v>2.2402559791536842</v>
      </c>
      <c r="T3231" s="18">
        <f>S3231/Explications!$C$8</f>
        <v>7.4675199305122814E-2</v>
      </c>
    </row>
    <row r="3232" spans="7:20">
      <c r="G3232" s="7" t="s">
        <v>72</v>
      </c>
      <c r="H3232" s="7" t="s">
        <v>83</v>
      </c>
      <c r="I3232" s="7">
        <v>46.795400000000001</v>
      </c>
      <c r="J3232" s="7">
        <v>-71.232600000000005</v>
      </c>
      <c r="K3232" s="7">
        <v>46.814700000000002</v>
      </c>
      <c r="L3232" s="7">
        <v>-71.207300000000004</v>
      </c>
      <c r="M3232" s="10" t="str">
        <f t="shared" si="305"/>
        <v>C56</v>
      </c>
      <c r="N3232" s="10" t="str">
        <f t="shared" si="306"/>
        <v>C67</v>
      </c>
      <c r="O3232" s="5">
        <f t="shared" si="307"/>
        <v>2.883323015880094</v>
      </c>
      <c r="P3232" s="22">
        <f>O3232/Explications!$C$8</f>
        <v>9.611076719600313E-2</v>
      </c>
      <c r="Q3232" s="7" t="str">
        <f t="shared" si="308"/>
        <v>C67</v>
      </c>
      <c r="R3232" s="7" t="str">
        <f t="shared" si="309"/>
        <v>C56</v>
      </c>
      <c r="S3232" s="18">
        <f t="shared" si="310"/>
        <v>2.883323015880094</v>
      </c>
      <c r="T3232" s="18">
        <f>S3232/Explications!$C$8</f>
        <v>9.611076719600313E-2</v>
      </c>
    </row>
    <row r="3233" spans="7:20">
      <c r="G3233" s="7" t="s">
        <v>72</v>
      </c>
      <c r="H3233" s="7" t="s">
        <v>84</v>
      </c>
      <c r="I3233" s="7">
        <v>46.795400000000001</v>
      </c>
      <c r="J3233" s="7">
        <v>-71.232600000000005</v>
      </c>
      <c r="K3233" s="7">
        <v>46.815600000000003</v>
      </c>
      <c r="L3233" s="7">
        <v>-71.2029</v>
      </c>
      <c r="M3233" s="10" t="str">
        <f t="shared" si="305"/>
        <v>C56</v>
      </c>
      <c r="N3233" s="10" t="str">
        <f t="shared" si="306"/>
        <v>C68</v>
      </c>
      <c r="O3233" s="5">
        <f t="shared" si="307"/>
        <v>3.186674766779733</v>
      </c>
      <c r="P3233" s="22">
        <f>O3233/Explications!$C$8</f>
        <v>0.1062224922259911</v>
      </c>
      <c r="Q3233" s="7" t="str">
        <f t="shared" si="308"/>
        <v>C68</v>
      </c>
      <c r="R3233" s="7" t="str">
        <f t="shared" si="309"/>
        <v>C56</v>
      </c>
      <c r="S3233" s="18">
        <f t="shared" si="310"/>
        <v>3.186674766779733</v>
      </c>
      <c r="T3233" s="18">
        <f>S3233/Explications!$C$8</f>
        <v>0.1062224922259911</v>
      </c>
    </row>
    <row r="3234" spans="7:20">
      <c r="G3234" s="7" t="s">
        <v>72</v>
      </c>
      <c r="H3234" s="7" t="s">
        <v>85</v>
      </c>
      <c r="I3234" s="7">
        <v>46.795400000000001</v>
      </c>
      <c r="J3234" s="7">
        <v>-71.232600000000005</v>
      </c>
      <c r="K3234" s="7">
        <v>46.821899999999999</v>
      </c>
      <c r="L3234" s="7">
        <v>-71.249899999999997</v>
      </c>
      <c r="M3234" s="10" t="str">
        <f t="shared" si="305"/>
        <v>C56</v>
      </c>
      <c r="N3234" s="10" t="str">
        <f t="shared" si="306"/>
        <v>C69</v>
      </c>
      <c r="O3234" s="5">
        <f t="shared" si="307"/>
        <v>3.2274384583549516</v>
      </c>
      <c r="P3234" s="22">
        <f>O3234/Explications!$C$8</f>
        <v>0.10758128194516506</v>
      </c>
      <c r="Q3234" s="7" t="str">
        <f t="shared" si="308"/>
        <v>C69</v>
      </c>
      <c r="R3234" s="7" t="str">
        <f t="shared" si="309"/>
        <v>C56</v>
      </c>
      <c r="S3234" s="18">
        <f t="shared" si="310"/>
        <v>3.2274384583549516</v>
      </c>
      <c r="T3234" s="18">
        <f>S3234/Explications!$C$8</f>
        <v>0.10758128194516506</v>
      </c>
    </row>
    <row r="3235" spans="7:20">
      <c r="G3235" s="7" t="s">
        <v>72</v>
      </c>
      <c r="H3235" s="7" t="s">
        <v>86</v>
      </c>
      <c r="I3235" s="7">
        <v>46.795400000000001</v>
      </c>
      <c r="J3235" s="7">
        <v>-71.232600000000005</v>
      </c>
      <c r="K3235" s="7">
        <v>46.8872</v>
      </c>
      <c r="L3235" s="7">
        <v>-71.27</v>
      </c>
      <c r="M3235" s="10" t="str">
        <f t="shared" si="305"/>
        <v>C56</v>
      </c>
      <c r="N3235" s="10" t="str">
        <f t="shared" si="306"/>
        <v>C70</v>
      </c>
      <c r="O3235" s="5">
        <f t="shared" si="307"/>
        <v>10.596648234125563</v>
      </c>
      <c r="P3235" s="22">
        <f>O3235/Explications!$C$8</f>
        <v>0.35322160780418543</v>
      </c>
      <c r="Q3235" s="7" t="str">
        <f t="shared" si="308"/>
        <v>C70</v>
      </c>
      <c r="R3235" s="7" t="str">
        <f t="shared" si="309"/>
        <v>C56</v>
      </c>
      <c r="S3235" s="18">
        <f t="shared" si="310"/>
        <v>10.596648234125563</v>
      </c>
      <c r="T3235" s="18">
        <f>S3235/Explications!$C$8</f>
        <v>0.35322160780418543</v>
      </c>
    </row>
    <row r="3236" spans="7:20">
      <c r="G3236" s="7" t="s">
        <v>72</v>
      </c>
      <c r="H3236" s="7" t="s">
        <v>87</v>
      </c>
      <c r="I3236" s="7">
        <v>46.795400000000001</v>
      </c>
      <c r="J3236" s="7">
        <v>-71.232600000000005</v>
      </c>
      <c r="K3236" s="7">
        <v>46.816299999999998</v>
      </c>
      <c r="L3236" s="7">
        <v>-71.210300000000004</v>
      </c>
      <c r="M3236" s="10" t="str">
        <f t="shared" si="305"/>
        <v>C56</v>
      </c>
      <c r="N3236" s="10" t="str">
        <f t="shared" si="306"/>
        <v>C71</v>
      </c>
      <c r="O3236" s="5">
        <f t="shared" si="307"/>
        <v>2.8777620048859562</v>
      </c>
      <c r="P3236" s="22">
        <f>O3236/Explications!$C$8</f>
        <v>9.5925400162865201E-2</v>
      </c>
      <c r="Q3236" s="7" t="str">
        <f t="shared" si="308"/>
        <v>C71</v>
      </c>
      <c r="R3236" s="7" t="str">
        <f t="shared" si="309"/>
        <v>C56</v>
      </c>
      <c r="S3236" s="18">
        <f t="shared" si="310"/>
        <v>2.8777620048859562</v>
      </c>
      <c r="T3236" s="18">
        <f>S3236/Explications!$C$8</f>
        <v>9.5925400162865201E-2</v>
      </c>
    </row>
    <row r="3237" spans="7:20">
      <c r="G3237" s="7" t="s">
        <v>72</v>
      </c>
      <c r="H3237" s="7" t="s">
        <v>88</v>
      </c>
      <c r="I3237" s="7">
        <v>46.795400000000001</v>
      </c>
      <c r="J3237" s="7">
        <v>-71.232600000000005</v>
      </c>
      <c r="K3237" s="7">
        <v>46.807000000000002</v>
      </c>
      <c r="L3237" s="7">
        <v>-71.3566</v>
      </c>
      <c r="M3237" s="10" t="str">
        <f t="shared" si="305"/>
        <v>C56</v>
      </c>
      <c r="N3237" s="10" t="str">
        <f t="shared" si="306"/>
        <v>C72</v>
      </c>
      <c r="O3237" s="5">
        <f t="shared" si="307"/>
        <v>9.5261696866563241</v>
      </c>
      <c r="P3237" s="22">
        <f>O3237/Explications!$C$8</f>
        <v>0.31753898955521082</v>
      </c>
      <c r="Q3237" s="7" t="str">
        <f t="shared" si="308"/>
        <v>C72</v>
      </c>
      <c r="R3237" s="7" t="str">
        <f t="shared" si="309"/>
        <v>C56</v>
      </c>
      <c r="S3237" s="18">
        <f t="shared" si="310"/>
        <v>9.5261696866563241</v>
      </c>
      <c r="T3237" s="18">
        <f>S3237/Explications!$C$8</f>
        <v>0.31753898955521082</v>
      </c>
    </row>
    <row r="3238" spans="7:20">
      <c r="G3238" s="7" t="s">
        <v>72</v>
      </c>
      <c r="H3238" s="7" t="s">
        <v>89</v>
      </c>
      <c r="I3238" s="7">
        <v>46.795400000000001</v>
      </c>
      <c r="J3238" s="7">
        <v>-71.232600000000005</v>
      </c>
      <c r="K3238" s="7">
        <v>46.822899999999997</v>
      </c>
      <c r="L3238" s="7">
        <v>-71.341899999999995</v>
      </c>
      <c r="M3238" s="10" t="str">
        <f t="shared" si="305"/>
        <v>C56</v>
      </c>
      <c r="N3238" s="10" t="str">
        <f t="shared" si="306"/>
        <v>C73</v>
      </c>
      <c r="O3238" s="5">
        <f t="shared" si="307"/>
        <v>8.8625400927925888</v>
      </c>
      <c r="P3238" s="22">
        <f>O3238/Explications!$C$8</f>
        <v>0.2954180030930863</v>
      </c>
      <c r="Q3238" s="7" t="str">
        <f t="shared" si="308"/>
        <v>C73</v>
      </c>
      <c r="R3238" s="7" t="str">
        <f t="shared" si="309"/>
        <v>C56</v>
      </c>
      <c r="S3238" s="18">
        <f t="shared" si="310"/>
        <v>8.8625400927925888</v>
      </c>
      <c r="T3238" s="18">
        <f>S3238/Explications!$C$8</f>
        <v>0.2954180030930863</v>
      </c>
    </row>
    <row r="3239" spans="7:20">
      <c r="G3239" s="7" t="s">
        <v>72</v>
      </c>
      <c r="H3239" s="7" t="s">
        <v>90</v>
      </c>
      <c r="I3239" s="7">
        <v>46.795400000000001</v>
      </c>
      <c r="J3239" s="7">
        <v>-71.232600000000005</v>
      </c>
      <c r="K3239" s="7">
        <v>46.730699999999999</v>
      </c>
      <c r="L3239" s="7">
        <v>-71.261099999999999</v>
      </c>
      <c r="M3239" s="10" t="str">
        <f t="shared" si="305"/>
        <v>C56</v>
      </c>
      <c r="N3239" s="10" t="str">
        <f t="shared" si="306"/>
        <v>C74</v>
      </c>
      <c r="O3239" s="5">
        <f t="shared" si="307"/>
        <v>7.5147015751442652</v>
      </c>
      <c r="P3239" s="22">
        <f>O3239/Explications!$C$8</f>
        <v>0.25049005250480882</v>
      </c>
      <c r="Q3239" s="7" t="str">
        <f t="shared" si="308"/>
        <v>C74</v>
      </c>
      <c r="R3239" s="7" t="str">
        <f t="shared" si="309"/>
        <v>C56</v>
      </c>
      <c r="S3239" s="18">
        <f t="shared" si="310"/>
        <v>7.5147015751442652</v>
      </c>
      <c r="T3239" s="18">
        <f>S3239/Explications!$C$8</f>
        <v>0.25049005250480882</v>
      </c>
    </row>
    <row r="3240" spans="7:20">
      <c r="G3240" s="7" t="s">
        <v>72</v>
      </c>
      <c r="H3240" s="7" t="s">
        <v>91</v>
      </c>
      <c r="I3240" s="7">
        <v>46.795400000000001</v>
      </c>
      <c r="J3240" s="7">
        <v>-71.232600000000005</v>
      </c>
      <c r="K3240" s="7">
        <v>46.840600000000002</v>
      </c>
      <c r="L3240" s="7">
        <v>-71.289100000000005</v>
      </c>
      <c r="M3240" s="10" t="str">
        <f t="shared" si="305"/>
        <v>C56</v>
      </c>
      <c r="N3240" s="10" t="str">
        <f t="shared" si="306"/>
        <v>C75</v>
      </c>
      <c r="O3240" s="5">
        <f t="shared" si="307"/>
        <v>6.6139413499560176</v>
      </c>
      <c r="P3240" s="22">
        <f>O3240/Explications!$C$8</f>
        <v>0.2204647116652006</v>
      </c>
      <c r="Q3240" s="7" t="str">
        <f t="shared" si="308"/>
        <v>C75</v>
      </c>
      <c r="R3240" s="7" t="str">
        <f t="shared" si="309"/>
        <v>C56</v>
      </c>
      <c r="S3240" s="18">
        <f t="shared" si="310"/>
        <v>6.6139413499560176</v>
      </c>
      <c r="T3240" s="18">
        <f>S3240/Explications!$C$8</f>
        <v>0.2204647116652006</v>
      </c>
    </row>
    <row r="3241" spans="7:20">
      <c r="G3241" s="7" t="s">
        <v>72</v>
      </c>
      <c r="H3241" s="7" t="s">
        <v>92</v>
      </c>
      <c r="I3241" s="7">
        <v>46.795400000000001</v>
      </c>
      <c r="J3241" s="7">
        <v>-71.232600000000005</v>
      </c>
      <c r="K3241" s="7">
        <v>46.840600000000002</v>
      </c>
      <c r="L3241" s="7">
        <v>-71.281599999999997</v>
      </c>
      <c r="M3241" s="10" t="str">
        <f t="shared" si="305"/>
        <v>C56</v>
      </c>
      <c r="N3241" s="10" t="str">
        <f t="shared" si="306"/>
        <v>C76</v>
      </c>
      <c r="O3241" s="5">
        <f t="shared" si="307"/>
        <v>6.258019348273983</v>
      </c>
      <c r="P3241" s="22">
        <f>O3241/Explications!$C$8</f>
        <v>0.20860064494246611</v>
      </c>
      <c r="Q3241" s="7" t="str">
        <f t="shared" si="308"/>
        <v>C76</v>
      </c>
      <c r="R3241" s="7" t="str">
        <f t="shared" si="309"/>
        <v>C56</v>
      </c>
      <c r="S3241" s="18">
        <f t="shared" si="310"/>
        <v>6.258019348273983</v>
      </c>
      <c r="T3241" s="18">
        <f>S3241/Explications!$C$8</f>
        <v>0.20860064494246611</v>
      </c>
    </row>
    <row r="3242" spans="7:20">
      <c r="G3242" s="7" t="s">
        <v>72</v>
      </c>
      <c r="H3242" s="7" t="s">
        <v>93</v>
      </c>
      <c r="I3242" s="7">
        <v>46.795400000000001</v>
      </c>
      <c r="J3242" s="7">
        <v>-71.232600000000005</v>
      </c>
      <c r="K3242" s="7">
        <v>46.839399999999998</v>
      </c>
      <c r="L3242" s="7">
        <v>-71.282600000000002</v>
      </c>
      <c r="M3242" s="10" t="str">
        <f t="shared" si="305"/>
        <v>C56</v>
      </c>
      <c r="N3242" s="10" t="str">
        <f t="shared" si="306"/>
        <v>C77</v>
      </c>
      <c r="O3242" s="5">
        <f t="shared" si="307"/>
        <v>6.1978119552735587</v>
      </c>
      <c r="P3242" s="22">
        <f>O3242/Explications!$C$8</f>
        <v>0.20659373184245194</v>
      </c>
      <c r="Q3242" s="7" t="str">
        <f t="shared" si="308"/>
        <v>C77</v>
      </c>
      <c r="R3242" s="7" t="str">
        <f t="shared" si="309"/>
        <v>C56</v>
      </c>
      <c r="S3242" s="18">
        <f t="shared" si="310"/>
        <v>6.1978119552735587</v>
      </c>
      <c r="T3242" s="18">
        <f>S3242/Explications!$C$8</f>
        <v>0.20659373184245194</v>
      </c>
    </row>
    <row r="3243" spans="7:20">
      <c r="G3243" s="7" t="s">
        <v>72</v>
      </c>
      <c r="H3243" s="7" t="s">
        <v>94</v>
      </c>
      <c r="I3243" s="7">
        <v>46.795400000000001</v>
      </c>
      <c r="J3243" s="7">
        <v>-71.232600000000005</v>
      </c>
      <c r="K3243" s="7">
        <v>46.788499999999999</v>
      </c>
      <c r="L3243" s="7">
        <v>-71.282399999999996</v>
      </c>
      <c r="M3243" s="10" t="str">
        <f t="shared" si="305"/>
        <v>C56</v>
      </c>
      <c r="N3243" s="10" t="str">
        <f t="shared" si="306"/>
        <v>C78</v>
      </c>
      <c r="O3243" s="5">
        <f t="shared" si="307"/>
        <v>3.8681072991200494</v>
      </c>
      <c r="P3243" s="22">
        <f>O3243/Explications!$C$8</f>
        <v>0.12893690997066831</v>
      </c>
      <c r="Q3243" s="7" t="str">
        <f t="shared" si="308"/>
        <v>C78</v>
      </c>
      <c r="R3243" s="7" t="str">
        <f t="shared" si="309"/>
        <v>C56</v>
      </c>
      <c r="S3243" s="18">
        <f t="shared" si="310"/>
        <v>3.8681072991200494</v>
      </c>
      <c r="T3243" s="18">
        <f>S3243/Explications!$C$8</f>
        <v>0.12893690997066831</v>
      </c>
    </row>
    <row r="3244" spans="7:20">
      <c r="G3244" s="7" t="s">
        <v>72</v>
      </c>
      <c r="H3244" s="7" t="s">
        <v>95</v>
      </c>
      <c r="I3244" s="7">
        <v>46.795400000000001</v>
      </c>
      <c r="J3244" s="7">
        <v>-71.232600000000005</v>
      </c>
      <c r="K3244" s="7">
        <v>46.840699999999998</v>
      </c>
      <c r="L3244" s="7">
        <v>-71.325400000000002</v>
      </c>
      <c r="M3244" s="10" t="str">
        <f t="shared" si="305"/>
        <v>C56</v>
      </c>
      <c r="N3244" s="10" t="str">
        <f t="shared" si="306"/>
        <v>C79</v>
      </c>
      <c r="O3244" s="5">
        <f t="shared" si="307"/>
        <v>8.6738671846759523</v>
      </c>
      <c r="P3244" s="22">
        <f>O3244/Explications!$C$8</f>
        <v>0.28912890615586506</v>
      </c>
      <c r="Q3244" s="7" t="str">
        <f t="shared" si="308"/>
        <v>C79</v>
      </c>
      <c r="R3244" s="7" t="str">
        <f t="shared" si="309"/>
        <v>C56</v>
      </c>
      <c r="S3244" s="18">
        <f t="shared" si="310"/>
        <v>8.6738671846759523</v>
      </c>
      <c r="T3244" s="18">
        <f>S3244/Explications!$C$8</f>
        <v>0.28912890615586506</v>
      </c>
    </row>
    <row r="3245" spans="7:20">
      <c r="G3245" s="7" t="s">
        <v>72</v>
      </c>
      <c r="H3245" s="7" t="s">
        <v>96</v>
      </c>
      <c r="I3245" s="7">
        <v>46.795400000000001</v>
      </c>
      <c r="J3245" s="7">
        <v>-71.232600000000005</v>
      </c>
      <c r="K3245" s="7">
        <v>46.798400000000001</v>
      </c>
      <c r="L3245" s="7">
        <v>-71.183199999999999</v>
      </c>
      <c r="M3245" s="10" t="str">
        <f t="shared" si="305"/>
        <v>C56</v>
      </c>
      <c r="N3245" s="10" t="str">
        <f t="shared" si="306"/>
        <v>C80</v>
      </c>
      <c r="O3245" s="5">
        <f t="shared" si="307"/>
        <v>3.7752208765470523</v>
      </c>
      <c r="P3245" s="22">
        <f>O3245/Explications!$C$8</f>
        <v>0.12584069588490174</v>
      </c>
      <c r="Q3245" s="7" t="str">
        <f t="shared" si="308"/>
        <v>C80</v>
      </c>
      <c r="R3245" s="7" t="str">
        <f t="shared" si="309"/>
        <v>C56</v>
      </c>
      <c r="S3245" s="18">
        <f t="shared" si="310"/>
        <v>3.7752208765470523</v>
      </c>
      <c r="T3245" s="18">
        <f>S3245/Explications!$C$8</f>
        <v>0.12584069588490174</v>
      </c>
    </row>
    <row r="3246" spans="7:20">
      <c r="G3246" s="7" t="s">
        <v>72</v>
      </c>
      <c r="H3246" s="7" t="s">
        <v>97</v>
      </c>
      <c r="I3246" s="7">
        <v>46.795400000000001</v>
      </c>
      <c r="J3246" s="7">
        <v>-71.232600000000005</v>
      </c>
      <c r="K3246" s="7">
        <v>46.724800000000002</v>
      </c>
      <c r="L3246" s="7">
        <v>-71.2988</v>
      </c>
      <c r="M3246" s="10" t="str">
        <f t="shared" si="305"/>
        <v>C56</v>
      </c>
      <c r="N3246" s="10" t="str">
        <f t="shared" si="306"/>
        <v>C81</v>
      </c>
      <c r="O3246" s="5">
        <f t="shared" si="307"/>
        <v>9.330464870262519</v>
      </c>
      <c r="P3246" s="22">
        <f>O3246/Explications!$C$8</f>
        <v>0.31101549567541731</v>
      </c>
      <c r="Q3246" s="7" t="str">
        <f t="shared" si="308"/>
        <v>C81</v>
      </c>
      <c r="R3246" s="7" t="str">
        <f t="shared" si="309"/>
        <v>C56</v>
      </c>
      <c r="S3246" s="18">
        <f t="shared" si="310"/>
        <v>9.330464870262519</v>
      </c>
      <c r="T3246" s="18">
        <f>S3246/Explications!$C$8</f>
        <v>0.31101549567541731</v>
      </c>
    </row>
    <row r="3247" spans="7:20">
      <c r="G3247" s="7" t="s">
        <v>72</v>
      </c>
      <c r="H3247" s="7" t="s">
        <v>98</v>
      </c>
      <c r="I3247" s="7">
        <v>46.795400000000001</v>
      </c>
      <c r="J3247" s="7">
        <v>-71.232600000000005</v>
      </c>
      <c r="K3247" s="7">
        <v>46.795499999999997</v>
      </c>
      <c r="L3247" s="7">
        <v>-71.242900000000006</v>
      </c>
      <c r="M3247" s="10" t="str">
        <f t="shared" si="305"/>
        <v>C56</v>
      </c>
      <c r="N3247" s="10" t="str">
        <f t="shared" si="306"/>
        <v>C82</v>
      </c>
      <c r="O3247" s="5">
        <f t="shared" si="307"/>
        <v>0.78416224584713734</v>
      </c>
      <c r="P3247" s="22">
        <f>O3247/Explications!$C$8</f>
        <v>2.6138741528237912E-2</v>
      </c>
      <c r="Q3247" s="7" t="str">
        <f t="shared" si="308"/>
        <v>C82</v>
      </c>
      <c r="R3247" s="7" t="str">
        <f t="shared" si="309"/>
        <v>C56</v>
      </c>
      <c r="S3247" s="18">
        <f t="shared" si="310"/>
        <v>0.78416224584713734</v>
      </c>
      <c r="T3247" s="18">
        <f>S3247/Explications!$C$8</f>
        <v>2.6138741528237912E-2</v>
      </c>
    </row>
    <row r="3248" spans="7:20">
      <c r="G3248" s="7" t="s">
        <v>72</v>
      </c>
      <c r="H3248" s="7" t="s">
        <v>99</v>
      </c>
      <c r="I3248" s="7">
        <v>46.795400000000001</v>
      </c>
      <c r="J3248" s="7">
        <v>-71.232600000000005</v>
      </c>
      <c r="K3248" s="7">
        <v>46.8157</v>
      </c>
      <c r="L3248" s="7">
        <v>-71.201899999999995</v>
      </c>
      <c r="M3248" s="10" t="str">
        <f t="shared" si="305"/>
        <v>C56</v>
      </c>
      <c r="N3248" s="10" t="str">
        <f t="shared" si="306"/>
        <v>C83</v>
      </c>
      <c r="O3248" s="5">
        <f t="shared" si="307"/>
        <v>3.2488222324665235</v>
      </c>
      <c r="P3248" s="22">
        <f>O3248/Explications!$C$8</f>
        <v>0.10829407441555078</v>
      </c>
      <c r="Q3248" s="7" t="str">
        <f t="shared" si="308"/>
        <v>C83</v>
      </c>
      <c r="R3248" s="7" t="str">
        <f t="shared" si="309"/>
        <v>C56</v>
      </c>
      <c r="S3248" s="18">
        <f t="shared" si="310"/>
        <v>3.2488222324665235</v>
      </c>
      <c r="T3248" s="18">
        <f>S3248/Explications!$C$8</f>
        <v>0.10829407441555078</v>
      </c>
    </row>
    <row r="3249" spans="7:20">
      <c r="G3249" s="7" t="s">
        <v>72</v>
      </c>
      <c r="H3249" s="7" t="s">
        <v>100</v>
      </c>
      <c r="I3249" s="7">
        <v>46.795400000000001</v>
      </c>
      <c r="J3249" s="7">
        <v>-71.232600000000005</v>
      </c>
      <c r="K3249" s="7">
        <v>46.837600000000002</v>
      </c>
      <c r="L3249" s="7">
        <v>-71.196299999999994</v>
      </c>
      <c r="M3249" s="10" t="str">
        <f t="shared" si="305"/>
        <v>C56</v>
      </c>
      <c r="N3249" s="10" t="str">
        <f t="shared" si="306"/>
        <v>C84</v>
      </c>
      <c r="O3249" s="5">
        <f t="shared" si="307"/>
        <v>5.4450748135162952</v>
      </c>
      <c r="P3249" s="22">
        <f>O3249/Explications!$C$8</f>
        <v>0.18150249378387651</v>
      </c>
      <c r="Q3249" s="7" t="str">
        <f t="shared" si="308"/>
        <v>C84</v>
      </c>
      <c r="R3249" s="7" t="str">
        <f t="shared" si="309"/>
        <v>C56</v>
      </c>
      <c r="S3249" s="18">
        <f t="shared" si="310"/>
        <v>5.4450748135162952</v>
      </c>
      <c r="T3249" s="18">
        <f>S3249/Explications!$C$8</f>
        <v>0.18150249378387651</v>
      </c>
    </row>
    <row r="3250" spans="7:20">
      <c r="G3250" s="7" t="s">
        <v>72</v>
      </c>
      <c r="H3250" s="7" t="s">
        <v>101</v>
      </c>
      <c r="I3250" s="7">
        <v>46.795400000000001</v>
      </c>
      <c r="J3250" s="7">
        <v>-71.232600000000005</v>
      </c>
      <c r="K3250" s="7">
        <v>46.7988</v>
      </c>
      <c r="L3250" s="7">
        <v>-71.318200000000004</v>
      </c>
      <c r="M3250" s="10" t="str">
        <f t="shared" si="305"/>
        <v>C56</v>
      </c>
      <c r="N3250" s="10" t="str">
        <f t="shared" si="306"/>
        <v>C85</v>
      </c>
      <c r="O3250" s="5">
        <f t="shared" si="307"/>
        <v>6.5270242033953751</v>
      </c>
      <c r="P3250" s="22">
        <f>O3250/Explications!$C$8</f>
        <v>0.2175674734465125</v>
      </c>
      <c r="Q3250" s="7" t="str">
        <f t="shared" si="308"/>
        <v>C85</v>
      </c>
      <c r="R3250" s="7" t="str">
        <f t="shared" si="309"/>
        <v>C56</v>
      </c>
      <c r="S3250" s="18">
        <f t="shared" si="310"/>
        <v>6.5270242033953751</v>
      </c>
      <c r="T3250" s="18">
        <f>S3250/Explications!$C$8</f>
        <v>0.2175674734465125</v>
      </c>
    </row>
    <row r="3251" spans="7:20">
      <c r="G3251" s="7" t="s">
        <v>73</v>
      </c>
      <c r="H3251" s="7" t="s">
        <v>74</v>
      </c>
      <c r="I3251" s="7">
        <v>46.801200000000001</v>
      </c>
      <c r="J3251" s="7">
        <v>-71.224999999999994</v>
      </c>
      <c r="K3251" s="7">
        <v>46.773200000000003</v>
      </c>
      <c r="L3251" s="7">
        <v>-71.275899999999993</v>
      </c>
      <c r="M3251" s="10" t="str">
        <f t="shared" si="305"/>
        <v>C57</v>
      </c>
      <c r="N3251" s="10" t="str">
        <f t="shared" si="306"/>
        <v>C58</v>
      </c>
      <c r="O3251" s="5">
        <f t="shared" si="307"/>
        <v>4.9711014330790384</v>
      </c>
      <c r="P3251" s="22">
        <f>O3251/Explications!$C$8</f>
        <v>0.16570338110263461</v>
      </c>
      <c r="Q3251" s="7" t="str">
        <f t="shared" si="308"/>
        <v>C58</v>
      </c>
      <c r="R3251" s="7" t="str">
        <f t="shared" si="309"/>
        <v>C57</v>
      </c>
      <c r="S3251" s="18">
        <f t="shared" si="310"/>
        <v>4.9711014330790384</v>
      </c>
      <c r="T3251" s="18">
        <f>S3251/Explications!$C$8</f>
        <v>0.16570338110263461</v>
      </c>
    </row>
    <row r="3252" spans="7:20">
      <c r="G3252" s="7" t="s">
        <v>73</v>
      </c>
      <c r="H3252" s="7" t="s">
        <v>75</v>
      </c>
      <c r="I3252" s="7">
        <v>46.801200000000001</v>
      </c>
      <c r="J3252" s="7">
        <v>-71.224999999999994</v>
      </c>
      <c r="K3252" s="7">
        <v>46.814399999999999</v>
      </c>
      <c r="L3252" s="7">
        <v>-71.225700000000003</v>
      </c>
      <c r="M3252" s="10" t="str">
        <f t="shared" si="305"/>
        <v>C57</v>
      </c>
      <c r="N3252" s="10" t="str">
        <f t="shared" si="306"/>
        <v>C59</v>
      </c>
      <c r="O3252" s="5">
        <f t="shared" si="307"/>
        <v>1.468739558436551</v>
      </c>
      <c r="P3252" s="22">
        <f>O3252/Explications!$C$8</f>
        <v>4.8957985281218371E-2</v>
      </c>
      <c r="Q3252" s="7" t="str">
        <f t="shared" si="308"/>
        <v>C59</v>
      </c>
      <c r="R3252" s="7" t="str">
        <f t="shared" si="309"/>
        <v>C57</v>
      </c>
      <c r="S3252" s="18">
        <f t="shared" si="310"/>
        <v>1.468739558436551</v>
      </c>
      <c r="T3252" s="18">
        <f>S3252/Explications!$C$8</f>
        <v>4.8957985281218371E-2</v>
      </c>
    </row>
    <row r="3253" spans="7:20">
      <c r="G3253" s="7" t="s">
        <v>73</v>
      </c>
      <c r="H3253" s="7" t="s">
        <v>76</v>
      </c>
      <c r="I3253" s="7">
        <v>46.801200000000001</v>
      </c>
      <c r="J3253" s="7">
        <v>-71.224999999999994</v>
      </c>
      <c r="K3253" s="7">
        <v>46.772500000000001</v>
      </c>
      <c r="L3253" s="7">
        <v>-71.276300000000006</v>
      </c>
      <c r="M3253" s="10" t="str">
        <f t="shared" si="305"/>
        <v>C57</v>
      </c>
      <c r="N3253" s="10" t="str">
        <f t="shared" si="306"/>
        <v>C60</v>
      </c>
      <c r="O3253" s="5">
        <f t="shared" si="307"/>
        <v>5.0437840615732288</v>
      </c>
      <c r="P3253" s="22">
        <f>O3253/Explications!$C$8</f>
        <v>0.16812613538577428</v>
      </c>
      <c r="Q3253" s="7" t="str">
        <f t="shared" si="308"/>
        <v>C60</v>
      </c>
      <c r="R3253" s="7" t="str">
        <f t="shared" si="309"/>
        <v>C57</v>
      </c>
      <c r="S3253" s="18">
        <f t="shared" si="310"/>
        <v>5.0437840615732288</v>
      </c>
      <c r="T3253" s="18">
        <f>S3253/Explications!$C$8</f>
        <v>0.16812613538577428</v>
      </c>
    </row>
    <row r="3254" spans="7:20">
      <c r="G3254" s="7" t="s">
        <v>73</v>
      </c>
      <c r="H3254" s="7" t="s">
        <v>77</v>
      </c>
      <c r="I3254" s="7">
        <v>46.801200000000001</v>
      </c>
      <c r="J3254" s="7">
        <v>-71.224999999999994</v>
      </c>
      <c r="K3254" s="7">
        <v>46.810899999999997</v>
      </c>
      <c r="L3254" s="7">
        <v>-71.215599999999995</v>
      </c>
      <c r="M3254" s="10" t="str">
        <f t="shared" si="305"/>
        <v>C57</v>
      </c>
      <c r="N3254" s="10" t="str">
        <f t="shared" si="306"/>
        <v>C61</v>
      </c>
      <c r="O3254" s="5">
        <f t="shared" si="307"/>
        <v>1.2942946274429799</v>
      </c>
      <c r="P3254" s="22">
        <f>O3254/Explications!$C$8</f>
        <v>4.3143154248099329E-2</v>
      </c>
      <c r="Q3254" s="7" t="str">
        <f t="shared" si="308"/>
        <v>C61</v>
      </c>
      <c r="R3254" s="7" t="str">
        <f t="shared" si="309"/>
        <v>C57</v>
      </c>
      <c r="S3254" s="18">
        <f t="shared" si="310"/>
        <v>1.2942946274429799</v>
      </c>
      <c r="T3254" s="18">
        <f>S3254/Explications!$C$8</f>
        <v>4.3143154248099329E-2</v>
      </c>
    </row>
    <row r="3255" spans="7:20">
      <c r="G3255" s="7" t="s">
        <v>73</v>
      </c>
      <c r="H3255" s="7" t="s">
        <v>78</v>
      </c>
      <c r="I3255" s="7">
        <v>46.801200000000001</v>
      </c>
      <c r="J3255" s="7">
        <v>-71.224999999999994</v>
      </c>
      <c r="K3255" s="7">
        <v>46.795200000000001</v>
      </c>
      <c r="L3255" s="7">
        <v>-71.245099999999994</v>
      </c>
      <c r="M3255" s="10" t="str">
        <f t="shared" si="305"/>
        <v>C57</v>
      </c>
      <c r="N3255" s="10" t="str">
        <f t="shared" si="306"/>
        <v>C62</v>
      </c>
      <c r="O3255" s="5">
        <f t="shared" si="307"/>
        <v>1.6691601754806205</v>
      </c>
      <c r="P3255" s="22">
        <f>O3255/Explications!$C$8</f>
        <v>5.5638672516020685E-2</v>
      </c>
      <c r="Q3255" s="7" t="str">
        <f t="shared" si="308"/>
        <v>C62</v>
      </c>
      <c r="R3255" s="7" t="str">
        <f t="shared" si="309"/>
        <v>C57</v>
      </c>
      <c r="S3255" s="18">
        <f t="shared" si="310"/>
        <v>1.6691601754806205</v>
      </c>
      <c r="T3255" s="18">
        <f>S3255/Explications!$C$8</f>
        <v>5.5638672516020685E-2</v>
      </c>
    </row>
    <row r="3256" spans="7:20">
      <c r="G3256" s="7" t="s">
        <v>73</v>
      </c>
      <c r="H3256" s="7" t="s">
        <v>79</v>
      </c>
      <c r="I3256" s="7">
        <v>46.801200000000001</v>
      </c>
      <c r="J3256" s="7">
        <v>-71.224999999999994</v>
      </c>
      <c r="K3256" s="7">
        <v>46.822000000000003</v>
      </c>
      <c r="L3256" s="7">
        <v>-71.345699999999994</v>
      </c>
      <c r="M3256" s="10" t="str">
        <f t="shared" si="305"/>
        <v>C57</v>
      </c>
      <c r="N3256" s="10" t="str">
        <f t="shared" si="306"/>
        <v>C63</v>
      </c>
      <c r="O3256" s="5">
        <f t="shared" si="307"/>
        <v>9.4721880727007015</v>
      </c>
      <c r="P3256" s="22">
        <f>O3256/Explications!$C$8</f>
        <v>0.31573960242335669</v>
      </c>
      <c r="Q3256" s="7" t="str">
        <f t="shared" si="308"/>
        <v>C63</v>
      </c>
      <c r="R3256" s="7" t="str">
        <f t="shared" si="309"/>
        <v>C57</v>
      </c>
      <c r="S3256" s="18">
        <f t="shared" si="310"/>
        <v>9.4721880727007015</v>
      </c>
      <c r="T3256" s="18">
        <f>S3256/Explications!$C$8</f>
        <v>0.31573960242335669</v>
      </c>
    </row>
    <row r="3257" spans="7:20">
      <c r="G3257" s="7" t="s">
        <v>73</v>
      </c>
      <c r="H3257" s="7" t="s">
        <v>80</v>
      </c>
      <c r="I3257" s="7">
        <v>46.801200000000001</v>
      </c>
      <c r="J3257" s="7">
        <v>-71.224999999999994</v>
      </c>
      <c r="K3257" s="7">
        <v>46.779400000000003</v>
      </c>
      <c r="L3257" s="7">
        <v>-71.350399999999993</v>
      </c>
      <c r="M3257" s="10" t="str">
        <f t="shared" si="305"/>
        <v>C57</v>
      </c>
      <c r="N3257" s="10" t="str">
        <f t="shared" si="306"/>
        <v>C64</v>
      </c>
      <c r="O3257" s="5">
        <f t="shared" si="307"/>
        <v>9.8498745368441298</v>
      </c>
      <c r="P3257" s="22">
        <f>O3257/Explications!$C$8</f>
        <v>0.32832915122813766</v>
      </c>
      <c r="Q3257" s="7" t="str">
        <f t="shared" si="308"/>
        <v>C64</v>
      </c>
      <c r="R3257" s="7" t="str">
        <f t="shared" si="309"/>
        <v>C57</v>
      </c>
      <c r="S3257" s="18">
        <f t="shared" si="310"/>
        <v>9.8498745368441298</v>
      </c>
      <c r="T3257" s="18">
        <f>S3257/Explications!$C$8</f>
        <v>0.32832915122813766</v>
      </c>
    </row>
    <row r="3258" spans="7:20">
      <c r="G3258" s="7" t="s">
        <v>73</v>
      </c>
      <c r="H3258" s="7" t="s">
        <v>81</v>
      </c>
      <c r="I3258" s="7">
        <v>46.801200000000001</v>
      </c>
      <c r="J3258" s="7">
        <v>-71.224999999999994</v>
      </c>
      <c r="K3258" s="7">
        <v>46.772300000000001</v>
      </c>
      <c r="L3258" s="7">
        <v>-71.279799999999994</v>
      </c>
      <c r="M3258" s="10" t="str">
        <f t="shared" si="305"/>
        <v>C57</v>
      </c>
      <c r="N3258" s="10" t="str">
        <f t="shared" si="306"/>
        <v>C65</v>
      </c>
      <c r="O3258" s="5">
        <f t="shared" si="307"/>
        <v>5.2663937574050017</v>
      </c>
      <c r="P3258" s="22">
        <f>O3258/Explications!$C$8</f>
        <v>0.17554645858016674</v>
      </c>
      <c r="Q3258" s="7" t="str">
        <f t="shared" si="308"/>
        <v>C65</v>
      </c>
      <c r="R3258" s="7" t="str">
        <f t="shared" si="309"/>
        <v>C57</v>
      </c>
      <c r="S3258" s="18">
        <f t="shared" si="310"/>
        <v>5.2663937574050017</v>
      </c>
      <c r="T3258" s="18">
        <f>S3258/Explications!$C$8</f>
        <v>0.17554645858016674</v>
      </c>
    </row>
    <row r="3259" spans="7:20">
      <c r="G3259" s="7" t="s">
        <v>73</v>
      </c>
      <c r="H3259" s="7" t="s">
        <v>82</v>
      </c>
      <c r="I3259" s="7">
        <v>46.801200000000001</v>
      </c>
      <c r="J3259" s="7">
        <v>-71.224999999999994</v>
      </c>
      <c r="K3259" s="7">
        <v>46.814900000000002</v>
      </c>
      <c r="L3259" s="7">
        <v>-71.225200000000001</v>
      </c>
      <c r="M3259" s="10" t="str">
        <f t="shared" si="305"/>
        <v>C57</v>
      </c>
      <c r="N3259" s="10" t="str">
        <f t="shared" si="306"/>
        <v>C66</v>
      </c>
      <c r="O3259" s="5">
        <f t="shared" si="307"/>
        <v>1.5234465340306773</v>
      </c>
      <c r="P3259" s="22">
        <f>O3259/Explications!$C$8</f>
        <v>5.078155113435591E-2</v>
      </c>
      <c r="Q3259" s="7" t="str">
        <f t="shared" si="308"/>
        <v>C66</v>
      </c>
      <c r="R3259" s="7" t="str">
        <f t="shared" si="309"/>
        <v>C57</v>
      </c>
      <c r="S3259" s="18">
        <f t="shared" si="310"/>
        <v>1.5234465340306773</v>
      </c>
      <c r="T3259" s="18">
        <f>S3259/Explications!$C$8</f>
        <v>5.078155113435591E-2</v>
      </c>
    </row>
    <row r="3260" spans="7:20">
      <c r="G3260" s="7" t="s">
        <v>73</v>
      </c>
      <c r="H3260" s="7" t="s">
        <v>83</v>
      </c>
      <c r="I3260" s="7">
        <v>46.801200000000001</v>
      </c>
      <c r="J3260" s="7">
        <v>-71.224999999999994</v>
      </c>
      <c r="K3260" s="7">
        <v>46.814700000000002</v>
      </c>
      <c r="L3260" s="7">
        <v>-71.207300000000004</v>
      </c>
      <c r="M3260" s="10" t="str">
        <f t="shared" si="305"/>
        <v>C57</v>
      </c>
      <c r="N3260" s="10" t="str">
        <f t="shared" si="306"/>
        <v>C67</v>
      </c>
      <c r="O3260" s="5">
        <f t="shared" si="307"/>
        <v>2.016941694166809</v>
      </c>
      <c r="P3260" s="22">
        <f>O3260/Explications!$C$8</f>
        <v>6.7231389805560302E-2</v>
      </c>
      <c r="Q3260" s="7" t="str">
        <f t="shared" si="308"/>
        <v>C67</v>
      </c>
      <c r="R3260" s="7" t="str">
        <f t="shared" si="309"/>
        <v>C57</v>
      </c>
      <c r="S3260" s="18">
        <f t="shared" si="310"/>
        <v>2.016941694166809</v>
      </c>
      <c r="T3260" s="18">
        <f>S3260/Explications!$C$8</f>
        <v>6.7231389805560302E-2</v>
      </c>
    </row>
    <row r="3261" spans="7:20">
      <c r="G3261" s="7" t="s">
        <v>73</v>
      </c>
      <c r="H3261" s="7" t="s">
        <v>84</v>
      </c>
      <c r="I3261" s="7">
        <v>46.801200000000001</v>
      </c>
      <c r="J3261" s="7">
        <v>-71.224999999999994</v>
      </c>
      <c r="K3261" s="7">
        <v>46.815600000000003</v>
      </c>
      <c r="L3261" s="7">
        <v>-71.2029</v>
      </c>
      <c r="M3261" s="10" t="str">
        <f t="shared" si="305"/>
        <v>C57</v>
      </c>
      <c r="N3261" s="10" t="str">
        <f t="shared" si="306"/>
        <v>C68</v>
      </c>
      <c r="O3261" s="5">
        <f t="shared" si="307"/>
        <v>2.322243606118128</v>
      </c>
      <c r="P3261" s="22">
        <f>O3261/Explications!$C$8</f>
        <v>7.74081202039376E-2</v>
      </c>
      <c r="Q3261" s="7" t="str">
        <f t="shared" si="308"/>
        <v>C68</v>
      </c>
      <c r="R3261" s="7" t="str">
        <f t="shared" si="309"/>
        <v>C57</v>
      </c>
      <c r="S3261" s="18">
        <f t="shared" si="310"/>
        <v>2.322243606118128</v>
      </c>
      <c r="T3261" s="18">
        <f>S3261/Explications!$C$8</f>
        <v>7.74081202039376E-2</v>
      </c>
    </row>
    <row r="3262" spans="7:20">
      <c r="G3262" s="7" t="s">
        <v>73</v>
      </c>
      <c r="H3262" s="7" t="s">
        <v>85</v>
      </c>
      <c r="I3262" s="7">
        <v>46.801200000000001</v>
      </c>
      <c r="J3262" s="7">
        <v>-71.224999999999994</v>
      </c>
      <c r="K3262" s="7">
        <v>46.821899999999999</v>
      </c>
      <c r="L3262" s="7">
        <v>-71.249899999999997</v>
      </c>
      <c r="M3262" s="10" t="str">
        <f t="shared" si="305"/>
        <v>C57</v>
      </c>
      <c r="N3262" s="10" t="str">
        <f t="shared" si="306"/>
        <v>C69</v>
      </c>
      <c r="O3262" s="5">
        <f t="shared" si="307"/>
        <v>2.9814030132156288</v>
      </c>
      <c r="P3262" s="22">
        <f>O3262/Explications!$C$8</f>
        <v>9.9380100440520966E-2</v>
      </c>
      <c r="Q3262" s="7" t="str">
        <f t="shared" si="308"/>
        <v>C69</v>
      </c>
      <c r="R3262" s="7" t="str">
        <f t="shared" si="309"/>
        <v>C57</v>
      </c>
      <c r="S3262" s="18">
        <f t="shared" si="310"/>
        <v>2.9814030132156288</v>
      </c>
      <c r="T3262" s="18">
        <f>S3262/Explications!$C$8</f>
        <v>9.9380100440520966E-2</v>
      </c>
    </row>
    <row r="3263" spans="7:20">
      <c r="G3263" s="7" t="s">
        <v>73</v>
      </c>
      <c r="H3263" s="7" t="s">
        <v>86</v>
      </c>
      <c r="I3263" s="7">
        <v>46.801200000000001</v>
      </c>
      <c r="J3263" s="7">
        <v>-71.224999999999994</v>
      </c>
      <c r="K3263" s="7">
        <v>46.8872</v>
      </c>
      <c r="L3263" s="7">
        <v>-71.27</v>
      </c>
      <c r="M3263" s="10" t="str">
        <f t="shared" si="305"/>
        <v>C57</v>
      </c>
      <c r="N3263" s="10" t="str">
        <f t="shared" si="306"/>
        <v>C70</v>
      </c>
      <c r="O3263" s="5">
        <f t="shared" si="307"/>
        <v>10.156769318321956</v>
      </c>
      <c r="P3263" s="22">
        <f>O3263/Explications!$C$8</f>
        <v>0.33855897727739853</v>
      </c>
      <c r="Q3263" s="7" t="str">
        <f t="shared" si="308"/>
        <v>C70</v>
      </c>
      <c r="R3263" s="7" t="str">
        <f t="shared" si="309"/>
        <v>C57</v>
      </c>
      <c r="S3263" s="18">
        <f t="shared" si="310"/>
        <v>10.156769318321956</v>
      </c>
      <c r="T3263" s="18">
        <f>S3263/Explications!$C$8</f>
        <v>0.33855897727739853</v>
      </c>
    </row>
    <row r="3264" spans="7:20">
      <c r="G3264" s="7" t="s">
        <v>73</v>
      </c>
      <c r="H3264" s="7" t="s">
        <v>87</v>
      </c>
      <c r="I3264" s="7">
        <v>46.801200000000001</v>
      </c>
      <c r="J3264" s="7">
        <v>-71.224999999999994</v>
      </c>
      <c r="K3264" s="7">
        <v>46.816299999999998</v>
      </c>
      <c r="L3264" s="7">
        <v>-71.210300000000004</v>
      </c>
      <c r="M3264" s="10" t="str">
        <f t="shared" si="305"/>
        <v>C57</v>
      </c>
      <c r="N3264" s="10" t="str">
        <f t="shared" si="306"/>
        <v>C71</v>
      </c>
      <c r="O3264" s="5">
        <f t="shared" si="307"/>
        <v>2.0176222463769395</v>
      </c>
      <c r="P3264" s="22">
        <f>O3264/Explications!$C$8</f>
        <v>6.7254074879231324E-2</v>
      </c>
      <c r="Q3264" s="7" t="str">
        <f t="shared" si="308"/>
        <v>C71</v>
      </c>
      <c r="R3264" s="7" t="str">
        <f t="shared" si="309"/>
        <v>C57</v>
      </c>
      <c r="S3264" s="18">
        <f t="shared" si="310"/>
        <v>2.0176222463769395</v>
      </c>
      <c r="T3264" s="18">
        <f>S3264/Explications!$C$8</f>
        <v>6.7254074879231324E-2</v>
      </c>
    </row>
    <row r="3265" spans="7:20">
      <c r="G3265" s="7" t="s">
        <v>73</v>
      </c>
      <c r="H3265" s="7" t="s">
        <v>88</v>
      </c>
      <c r="I3265" s="7">
        <v>46.801200000000001</v>
      </c>
      <c r="J3265" s="7">
        <v>-71.224999999999994</v>
      </c>
      <c r="K3265" s="7">
        <v>46.807000000000002</v>
      </c>
      <c r="L3265" s="7">
        <v>-71.3566</v>
      </c>
      <c r="M3265" s="10" t="str">
        <f t="shared" si="305"/>
        <v>C57</v>
      </c>
      <c r="N3265" s="10" t="str">
        <f t="shared" si="306"/>
        <v>C72</v>
      </c>
      <c r="O3265" s="5">
        <f t="shared" si="307"/>
        <v>10.037127278022812</v>
      </c>
      <c r="P3265" s="22">
        <f>O3265/Explications!$C$8</f>
        <v>0.33457090926742705</v>
      </c>
      <c r="Q3265" s="7" t="str">
        <f t="shared" si="308"/>
        <v>C72</v>
      </c>
      <c r="R3265" s="7" t="str">
        <f t="shared" si="309"/>
        <v>C57</v>
      </c>
      <c r="S3265" s="18">
        <f t="shared" si="310"/>
        <v>10.037127278022812</v>
      </c>
      <c r="T3265" s="18">
        <f>S3265/Explications!$C$8</f>
        <v>0.33457090926742705</v>
      </c>
    </row>
    <row r="3266" spans="7:20">
      <c r="G3266" s="7" t="s">
        <v>73</v>
      </c>
      <c r="H3266" s="7" t="s">
        <v>89</v>
      </c>
      <c r="I3266" s="7">
        <v>46.801200000000001</v>
      </c>
      <c r="J3266" s="7">
        <v>-71.224999999999994</v>
      </c>
      <c r="K3266" s="7">
        <v>46.822899999999997</v>
      </c>
      <c r="L3266" s="7">
        <v>-71.341899999999995</v>
      </c>
      <c r="M3266" s="10" t="str">
        <f t="shared" si="305"/>
        <v>C57</v>
      </c>
      <c r="N3266" s="10" t="str">
        <f t="shared" si="306"/>
        <v>C73</v>
      </c>
      <c r="O3266" s="5">
        <f t="shared" si="307"/>
        <v>9.2176434493469337</v>
      </c>
      <c r="P3266" s="22">
        <f>O3266/Explications!$C$8</f>
        <v>0.30725478164489778</v>
      </c>
      <c r="Q3266" s="7" t="str">
        <f t="shared" si="308"/>
        <v>C73</v>
      </c>
      <c r="R3266" s="7" t="str">
        <f t="shared" si="309"/>
        <v>C57</v>
      </c>
      <c r="S3266" s="18">
        <f t="shared" si="310"/>
        <v>9.2176434493469337</v>
      </c>
      <c r="T3266" s="18">
        <f>S3266/Explications!$C$8</f>
        <v>0.30725478164489778</v>
      </c>
    </row>
    <row r="3267" spans="7:20">
      <c r="G3267" s="7" t="s">
        <v>73</v>
      </c>
      <c r="H3267" s="7" t="s">
        <v>90</v>
      </c>
      <c r="I3267" s="7">
        <v>46.801200000000001</v>
      </c>
      <c r="J3267" s="7">
        <v>-71.224999999999994</v>
      </c>
      <c r="K3267" s="7">
        <v>46.730699999999999</v>
      </c>
      <c r="L3267" s="7">
        <v>-71.261099999999999</v>
      </c>
      <c r="M3267" s="10" t="str">
        <f t="shared" si="305"/>
        <v>C57</v>
      </c>
      <c r="N3267" s="10" t="str">
        <f t="shared" si="306"/>
        <v>C74</v>
      </c>
      <c r="O3267" s="5">
        <f t="shared" si="307"/>
        <v>8.3074689022052635</v>
      </c>
      <c r="P3267" s="22">
        <f>O3267/Explications!$C$8</f>
        <v>0.27691563007350878</v>
      </c>
      <c r="Q3267" s="7" t="str">
        <f t="shared" si="308"/>
        <v>C74</v>
      </c>
      <c r="R3267" s="7" t="str">
        <f t="shared" si="309"/>
        <v>C57</v>
      </c>
      <c r="S3267" s="18">
        <f t="shared" si="310"/>
        <v>8.3074689022052635</v>
      </c>
      <c r="T3267" s="18">
        <f>S3267/Explications!$C$8</f>
        <v>0.27691563007350878</v>
      </c>
    </row>
    <row r="3268" spans="7:20">
      <c r="G3268" s="7" t="s">
        <v>73</v>
      </c>
      <c r="H3268" s="7" t="s">
        <v>91</v>
      </c>
      <c r="I3268" s="7">
        <v>46.801200000000001</v>
      </c>
      <c r="J3268" s="7">
        <v>-71.224999999999994</v>
      </c>
      <c r="K3268" s="7">
        <v>46.840600000000002</v>
      </c>
      <c r="L3268" s="7">
        <v>-71.289100000000005</v>
      </c>
      <c r="M3268" s="10" t="str">
        <f t="shared" ref="M3268:M3331" si="311">G3268</f>
        <v>C57</v>
      </c>
      <c r="N3268" s="10" t="str">
        <f t="shared" ref="N3268:N3331" si="312">H3268</f>
        <v>C75</v>
      </c>
      <c r="O3268" s="5">
        <f t="shared" ref="O3268:O3331" si="313">ACOS(SIN(RADIANS(I3268))*SIN(RADIANS(K3268))+COS(RADIANS(I3268))*COS(RADIANS(K3268))*COS(RADIANS(J3268-L3268)))*6371</f>
        <v>6.5560434516746433</v>
      </c>
      <c r="P3268" s="22">
        <f>O3268/Explications!$C$8</f>
        <v>0.21853478172248811</v>
      </c>
      <c r="Q3268" s="7" t="str">
        <f t="shared" ref="Q3268:Q3331" si="314">N3268</f>
        <v>C75</v>
      </c>
      <c r="R3268" s="7" t="str">
        <f t="shared" ref="R3268:R3331" si="315">M3268</f>
        <v>C57</v>
      </c>
      <c r="S3268" s="18">
        <f t="shared" ref="S3268:S3331" si="316">O3268</f>
        <v>6.5560434516746433</v>
      </c>
      <c r="T3268" s="18">
        <f>S3268/Explications!$C$8</f>
        <v>0.21853478172248811</v>
      </c>
    </row>
    <row r="3269" spans="7:20">
      <c r="G3269" s="7" t="s">
        <v>73</v>
      </c>
      <c r="H3269" s="7" t="s">
        <v>92</v>
      </c>
      <c r="I3269" s="7">
        <v>46.801200000000001</v>
      </c>
      <c r="J3269" s="7">
        <v>-71.224999999999994</v>
      </c>
      <c r="K3269" s="7">
        <v>46.840600000000002</v>
      </c>
      <c r="L3269" s="7">
        <v>-71.281599999999997</v>
      </c>
      <c r="M3269" s="10" t="str">
        <f t="shared" si="311"/>
        <v>C57</v>
      </c>
      <c r="N3269" s="10" t="str">
        <f t="shared" si="312"/>
        <v>C76</v>
      </c>
      <c r="O3269" s="5">
        <f t="shared" si="313"/>
        <v>6.1433529873018227</v>
      </c>
      <c r="P3269" s="22">
        <f>O3269/Explications!$C$8</f>
        <v>0.20477843291006076</v>
      </c>
      <c r="Q3269" s="7" t="str">
        <f t="shared" si="314"/>
        <v>C76</v>
      </c>
      <c r="R3269" s="7" t="str">
        <f t="shared" si="315"/>
        <v>C57</v>
      </c>
      <c r="S3269" s="18">
        <f t="shared" si="316"/>
        <v>6.1433529873018227</v>
      </c>
      <c r="T3269" s="18">
        <f>S3269/Explications!$C$8</f>
        <v>0.20477843291006076</v>
      </c>
    </row>
    <row r="3270" spans="7:20">
      <c r="G3270" s="7" t="s">
        <v>73</v>
      </c>
      <c r="H3270" s="7" t="s">
        <v>93</v>
      </c>
      <c r="I3270" s="7">
        <v>46.801200000000001</v>
      </c>
      <c r="J3270" s="7">
        <v>-71.224999999999994</v>
      </c>
      <c r="K3270" s="7">
        <v>46.839399999999998</v>
      </c>
      <c r="L3270" s="7">
        <v>-71.282600000000002</v>
      </c>
      <c r="M3270" s="10" t="str">
        <f t="shared" si="311"/>
        <v>C57</v>
      </c>
      <c r="N3270" s="10" t="str">
        <f t="shared" si="312"/>
        <v>C77</v>
      </c>
      <c r="O3270" s="5">
        <f t="shared" si="313"/>
        <v>6.1033603755522856</v>
      </c>
      <c r="P3270" s="22">
        <f>O3270/Explications!$C$8</f>
        <v>0.20344534585174284</v>
      </c>
      <c r="Q3270" s="7" t="str">
        <f t="shared" si="314"/>
        <v>C77</v>
      </c>
      <c r="R3270" s="7" t="str">
        <f t="shared" si="315"/>
        <v>C57</v>
      </c>
      <c r="S3270" s="18">
        <f t="shared" si="316"/>
        <v>6.1033603755522856</v>
      </c>
      <c r="T3270" s="18">
        <f>S3270/Explications!$C$8</f>
        <v>0.20344534585174284</v>
      </c>
    </row>
    <row r="3271" spans="7:20">
      <c r="G3271" s="7" t="s">
        <v>73</v>
      </c>
      <c r="H3271" s="7" t="s">
        <v>94</v>
      </c>
      <c r="I3271" s="7">
        <v>46.801200000000001</v>
      </c>
      <c r="J3271" s="7">
        <v>-71.224999999999994</v>
      </c>
      <c r="K3271" s="7">
        <v>46.788499999999999</v>
      </c>
      <c r="L3271" s="7">
        <v>-71.282399999999996</v>
      </c>
      <c r="M3271" s="10" t="str">
        <f t="shared" si="311"/>
        <v>C57</v>
      </c>
      <c r="N3271" s="10" t="str">
        <f t="shared" si="312"/>
        <v>C78</v>
      </c>
      <c r="O3271" s="5">
        <f t="shared" si="313"/>
        <v>4.5921291819655385</v>
      </c>
      <c r="P3271" s="22">
        <f>O3271/Explications!$C$8</f>
        <v>0.15307097273218462</v>
      </c>
      <c r="Q3271" s="7" t="str">
        <f t="shared" si="314"/>
        <v>C78</v>
      </c>
      <c r="R3271" s="7" t="str">
        <f t="shared" si="315"/>
        <v>C57</v>
      </c>
      <c r="S3271" s="18">
        <f t="shared" si="316"/>
        <v>4.5921291819655385</v>
      </c>
      <c r="T3271" s="18">
        <f>S3271/Explications!$C$8</f>
        <v>0.15307097273218462</v>
      </c>
    </row>
    <row r="3272" spans="7:20">
      <c r="G3272" s="7" t="s">
        <v>73</v>
      </c>
      <c r="H3272" s="7" t="s">
        <v>95</v>
      </c>
      <c r="I3272" s="7">
        <v>46.801200000000001</v>
      </c>
      <c r="J3272" s="7">
        <v>-71.224999999999994</v>
      </c>
      <c r="K3272" s="7">
        <v>46.840699999999998</v>
      </c>
      <c r="L3272" s="7">
        <v>-71.325400000000002</v>
      </c>
      <c r="M3272" s="10" t="str">
        <f t="shared" si="311"/>
        <v>C57</v>
      </c>
      <c r="N3272" s="10" t="str">
        <f t="shared" si="312"/>
        <v>C79</v>
      </c>
      <c r="O3272" s="5">
        <f t="shared" si="313"/>
        <v>8.8119302051336188</v>
      </c>
      <c r="P3272" s="22">
        <f>O3272/Explications!$C$8</f>
        <v>0.2937310068377873</v>
      </c>
      <c r="Q3272" s="7" t="str">
        <f t="shared" si="314"/>
        <v>C79</v>
      </c>
      <c r="R3272" s="7" t="str">
        <f t="shared" si="315"/>
        <v>C57</v>
      </c>
      <c r="S3272" s="18">
        <f t="shared" si="316"/>
        <v>8.8119302051336188</v>
      </c>
      <c r="T3272" s="18">
        <f>S3272/Explications!$C$8</f>
        <v>0.2937310068377873</v>
      </c>
    </row>
    <row r="3273" spans="7:20">
      <c r="G3273" s="7" t="s">
        <v>73</v>
      </c>
      <c r="H3273" s="7" t="s">
        <v>96</v>
      </c>
      <c r="I3273" s="7">
        <v>46.801200000000001</v>
      </c>
      <c r="J3273" s="7">
        <v>-71.224999999999994</v>
      </c>
      <c r="K3273" s="7">
        <v>46.798400000000001</v>
      </c>
      <c r="L3273" s="7">
        <v>-71.183199999999999</v>
      </c>
      <c r="M3273" s="10" t="str">
        <f t="shared" si="311"/>
        <v>C57</v>
      </c>
      <c r="N3273" s="10" t="str">
        <f t="shared" si="312"/>
        <v>C80</v>
      </c>
      <c r="O3273" s="5">
        <f t="shared" si="313"/>
        <v>3.1969479559311798</v>
      </c>
      <c r="P3273" s="22">
        <f>O3273/Explications!$C$8</f>
        <v>0.10656493186437266</v>
      </c>
      <c r="Q3273" s="7" t="str">
        <f t="shared" si="314"/>
        <v>C80</v>
      </c>
      <c r="R3273" s="7" t="str">
        <f t="shared" si="315"/>
        <v>C57</v>
      </c>
      <c r="S3273" s="18">
        <f t="shared" si="316"/>
        <v>3.1969479559311798</v>
      </c>
      <c r="T3273" s="18">
        <f>S3273/Explications!$C$8</f>
        <v>0.10656493186437266</v>
      </c>
    </row>
    <row r="3274" spans="7:20">
      <c r="G3274" s="7" t="s">
        <v>73</v>
      </c>
      <c r="H3274" s="7" t="s">
        <v>97</v>
      </c>
      <c r="I3274" s="7">
        <v>46.801200000000001</v>
      </c>
      <c r="J3274" s="7">
        <v>-71.224999999999994</v>
      </c>
      <c r="K3274" s="7">
        <v>46.724800000000002</v>
      </c>
      <c r="L3274" s="7">
        <v>-71.2988</v>
      </c>
      <c r="M3274" s="10" t="str">
        <f t="shared" si="311"/>
        <v>C57</v>
      </c>
      <c r="N3274" s="10" t="str">
        <f t="shared" si="312"/>
        <v>C81</v>
      </c>
      <c r="O3274" s="5">
        <f t="shared" si="313"/>
        <v>10.186751728914089</v>
      </c>
      <c r="P3274" s="22">
        <f>O3274/Explications!$C$8</f>
        <v>0.33955839096380297</v>
      </c>
      <c r="Q3274" s="7" t="str">
        <f t="shared" si="314"/>
        <v>C81</v>
      </c>
      <c r="R3274" s="7" t="str">
        <f t="shared" si="315"/>
        <v>C57</v>
      </c>
      <c r="S3274" s="18">
        <f t="shared" si="316"/>
        <v>10.186751728914089</v>
      </c>
      <c r="T3274" s="18">
        <f>S3274/Explications!$C$8</f>
        <v>0.33955839096380297</v>
      </c>
    </row>
    <row r="3275" spans="7:20">
      <c r="G3275" s="7" t="s">
        <v>73</v>
      </c>
      <c r="H3275" s="7" t="s">
        <v>98</v>
      </c>
      <c r="I3275" s="7">
        <v>46.801200000000001</v>
      </c>
      <c r="J3275" s="7">
        <v>-71.224999999999994</v>
      </c>
      <c r="K3275" s="7">
        <v>46.795499999999997</v>
      </c>
      <c r="L3275" s="7">
        <v>-71.242900000000006</v>
      </c>
      <c r="M3275" s="10" t="str">
        <f t="shared" si="311"/>
        <v>C57</v>
      </c>
      <c r="N3275" s="10" t="str">
        <f t="shared" si="312"/>
        <v>C82</v>
      </c>
      <c r="O3275" s="5">
        <f t="shared" si="313"/>
        <v>1.5027567651922891</v>
      </c>
      <c r="P3275" s="22">
        <f>O3275/Explications!$C$8</f>
        <v>5.0091892173076302E-2</v>
      </c>
      <c r="Q3275" s="7" t="str">
        <f t="shared" si="314"/>
        <v>C82</v>
      </c>
      <c r="R3275" s="7" t="str">
        <f t="shared" si="315"/>
        <v>C57</v>
      </c>
      <c r="S3275" s="18">
        <f t="shared" si="316"/>
        <v>1.5027567651922891</v>
      </c>
      <c r="T3275" s="18">
        <f>S3275/Explications!$C$8</f>
        <v>5.0091892173076302E-2</v>
      </c>
    </row>
    <row r="3276" spans="7:20">
      <c r="G3276" s="7" t="s">
        <v>73</v>
      </c>
      <c r="H3276" s="7" t="s">
        <v>99</v>
      </c>
      <c r="I3276" s="7">
        <v>46.801200000000001</v>
      </c>
      <c r="J3276" s="7">
        <v>-71.224999999999994</v>
      </c>
      <c r="K3276" s="7">
        <v>46.8157</v>
      </c>
      <c r="L3276" s="7">
        <v>-71.201899999999995</v>
      </c>
      <c r="M3276" s="10" t="str">
        <f t="shared" si="311"/>
        <v>C57</v>
      </c>
      <c r="N3276" s="10" t="str">
        <f t="shared" si="312"/>
        <v>C83</v>
      </c>
      <c r="O3276" s="5">
        <f t="shared" si="313"/>
        <v>2.3854451116022135</v>
      </c>
      <c r="P3276" s="22">
        <f>O3276/Explications!$C$8</f>
        <v>7.9514837053407117E-2</v>
      </c>
      <c r="Q3276" s="7" t="str">
        <f t="shared" si="314"/>
        <v>C83</v>
      </c>
      <c r="R3276" s="7" t="str">
        <f t="shared" si="315"/>
        <v>C57</v>
      </c>
      <c r="S3276" s="18">
        <f t="shared" si="316"/>
        <v>2.3854451116022135</v>
      </c>
      <c r="T3276" s="18">
        <f>S3276/Explications!$C$8</f>
        <v>7.9514837053407117E-2</v>
      </c>
    </row>
    <row r="3277" spans="7:20">
      <c r="G3277" s="7" t="s">
        <v>73</v>
      </c>
      <c r="H3277" s="7" t="s">
        <v>100</v>
      </c>
      <c r="I3277" s="7">
        <v>46.801200000000001</v>
      </c>
      <c r="J3277" s="7">
        <v>-71.224999999999994</v>
      </c>
      <c r="K3277" s="7">
        <v>46.837600000000002</v>
      </c>
      <c r="L3277" s="7">
        <v>-71.196299999999994</v>
      </c>
      <c r="M3277" s="10" t="str">
        <f t="shared" si="311"/>
        <v>C57</v>
      </c>
      <c r="N3277" s="10" t="str">
        <f t="shared" si="312"/>
        <v>C84</v>
      </c>
      <c r="O3277" s="5">
        <f t="shared" si="313"/>
        <v>4.5990450670164593</v>
      </c>
      <c r="P3277" s="22">
        <f>O3277/Explications!$C$8</f>
        <v>0.15330150223388198</v>
      </c>
      <c r="Q3277" s="7" t="str">
        <f t="shared" si="314"/>
        <v>C84</v>
      </c>
      <c r="R3277" s="7" t="str">
        <f t="shared" si="315"/>
        <v>C57</v>
      </c>
      <c r="S3277" s="18">
        <f t="shared" si="316"/>
        <v>4.5990450670164593</v>
      </c>
      <c r="T3277" s="18">
        <f>S3277/Explications!$C$8</f>
        <v>0.15330150223388198</v>
      </c>
    </row>
    <row r="3278" spans="7:20">
      <c r="G3278" s="7" t="s">
        <v>73</v>
      </c>
      <c r="H3278" s="7" t="s">
        <v>101</v>
      </c>
      <c r="I3278" s="7">
        <v>46.801200000000001</v>
      </c>
      <c r="J3278" s="7">
        <v>-71.224999999999994</v>
      </c>
      <c r="K3278" s="7">
        <v>46.7988</v>
      </c>
      <c r="L3278" s="7">
        <v>-71.318200000000004</v>
      </c>
      <c r="M3278" s="10" t="str">
        <f t="shared" si="311"/>
        <v>C57</v>
      </c>
      <c r="N3278" s="10" t="str">
        <f t="shared" si="312"/>
        <v>C85</v>
      </c>
      <c r="O3278" s="5">
        <f t="shared" si="313"/>
        <v>7.0992302807418106</v>
      </c>
      <c r="P3278" s="22">
        <f>O3278/Explications!$C$8</f>
        <v>0.23664100935806034</v>
      </c>
      <c r="Q3278" s="7" t="str">
        <f t="shared" si="314"/>
        <v>C85</v>
      </c>
      <c r="R3278" s="7" t="str">
        <f t="shared" si="315"/>
        <v>C57</v>
      </c>
      <c r="S3278" s="18">
        <f t="shared" si="316"/>
        <v>7.0992302807418106</v>
      </c>
      <c r="T3278" s="18">
        <f>S3278/Explications!$C$8</f>
        <v>0.23664100935806034</v>
      </c>
    </row>
    <row r="3279" spans="7:20">
      <c r="G3279" s="7" t="s">
        <v>74</v>
      </c>
      <c r="H3279" s="7" t="s">
        <v>75</v>
      </c>
      <c r="I3279" s="7">
        <v>46.773200000000003</v>
      </c>
      <c r="J3279" s="7">
        <v>-71.275899999999993</v>
      </c>
      <c r="K3279" s="7">
        <v>46.814399999999999</v>
      </c>
      <c r="L3279" s="7">
        <v>-71.225700000000003</v>
      </c>
      <c r="M3279" s="10" t="str">
        <f t="shared" si="311"/>
        <v>C58</v>
      </c>
      <c r="N3279" s="10" t="str">
        <f t="shared" si="312"/>
        <v>C59</v>
      </c>
      <c r="O3279" s="5">
        <f t="shared" si="313"/>
        <v>5.9659104925759694</v>
      </c>
      <c r="P3279" s="22">
        <f>O3279/Explications!$C$8</f>
        <v>0.19886368308586563</v>
      </c>
      <c r="Q3279" s="7" t="str">
        <f t="shared" si="314"/>
        <v>C59</v>
      </c>
      <c r="R3279" s="7" t="str">
        <f t="shared" si="315"/>
        <v>C58</v>
      </c>
      <c r="S3279" s="18">
        <f t="shared" si="316"/>
        <v>5.9659104925759694</v>
      </c>
      <c r="T3279" s="18">
        <f>S3279/Explications!$C$8</f>
        <v>0.19886368308586563</v>
      </c>
    </row>
    <row r="3280" spans="7:20">
      <c r="G3280" s="7" t="s">
        <v>74</v>
      </c>
      <c r="H3280" s="7" t="s">
        <v>76</v>
      </c>
      <c r="I3280" s="7">
        <v>46.773200000000003</v>
      </c>
      <c r="J3280" s="7">
        <v>-71.275899999999993</v>
      </c>
      <c r="K3280" s="7">
        <v>46.772500000000001</v>
      </c>
      <c r="L3280" s="7">
        <v>-71.276300000000006</v>
      </c>
      <c r="M3280" s="10" t="str">
        <f t="shared" si="311"/>
        <v>C58</v>
      </c>
      <c r="N3280" s="10" t="str">
        <f t="shared" si="312"/>
        <v>C60</v>
      </c>
      <c r="O3280" s="5">
        <f t="shared" si="313"/>
        <v>8.3585125218904155E-2</v>
      </c>
      <c r="P3280" s="22">
        <f>O3280/Explications!$C$8</f>
        <v>2.7861708406301386E-3</v>
      </c>
      <c r="Q3280" s="7" t="str">
        <f t="shared" si="314"/>
        <v>C60</v>
      </c>
      <c r="R3280" s="7" t="str">
        <f t="shared" si="315"/>
        <v>C58</v>
      </c>
      <c r="S3280" s="18">
        <f t="shared" si="316"/>
        <v>8.3585125218904155E-2</v>
      </c>
      <c r="T3280" s="18">
        <f>S3280/Explications!$C$8</f>
        <v>2.7861708406301386E-3</v>
      </c>
    </row>
    <row r="3281" spans="7:20">
      <c r="G3281" s="7" t="s">
        <v>74</v>
      </c>
      <c r="H3281" s="7" t="s">
        <v>77</v>
      </c>
      <c r="I3281" s="7">
        <v>46.773200000000003</v>
      </c>
      <c r="J3281" s="7">
        <v>-71.275899999999993</v>
      </c>
      <c r="K3281" s="7">
        <v>46.810899999999997</v>
      </c>
      <c r="L3281" s="7">
        <v>-71.215599999999995</v>
      </c>
      <c r="M3281" s="10" t="str">
        <f t="shared" si="311"/>
        <v>C58</v>
      </c>
      <c r="N3281" s="10" t="str">
        <f t="shared" si="312"/>
        <v>C61</v>
      </c>
      <c r="O3281" s="5">
        <f t="shared" si="313"/>
        <v>6.2166638040955657</v>
      </c>
      <c r="P3281" s="22">
        <f>O3281/Explications!$C$8</f>
        <v>0.20722212680318552</v>
      </c>
      <c r="Q3281" s="7" t="str">
        <f t="shared" si="314"/>
        <v>C61</v>
      </c>
      <c r="R3281" s="7" t="str">
        <f t="shared" si="315"/>
        <v>C58</v>
      </c>
      <c r="S3281" s="18">
        <f t="shared" si="316"/>
        <v>6.2166638040955657</v>
      </c>
      <c r="T3281" s="18">
        <f>S3281/Explications!$C$8</f>
        <v>0.20722212680318552</v>
      </c>
    </row>
    <row r="3282" spans="7:20">
      <c r="G3282" s="7" t="s">
        <v>74</v>
      </c>
      <c r="H3282" s="7" t="s">
        <v>78</v>
      </c>
      <c r="I3282" s="7">
        <v>46.773200000000003</v>
      </c>
      <c r="J3282" s="7">
        <v>-71.275899999999993</v>
      </c>
      <c r="K3282" s="7">
        <v>46.795200000000001</v>
      </c>
      <c r="L3282" s="7">
        <v>-71.245099999999994</v>
      </c>
      <c r="M3282" s="10" t="str">
        <f t="shared" si="311"/>
        <v>C58</v>
      </c>
      <c r="N3282" s="10" t="str">
        <f t="shared" si="312"/>
        <v>C62</v>
      </c>
      <c r="O3282" s="5">
        <f t="shared" si="313"/>
        <v>3.3887978963412193</v>
      </c>
      <c r="P3282" s="22">
        <f>O3282/Explications!$C$8</f>
        <v>0.11295992987804064</v>
      </c>
      <c r="Q3282" s="7" t="str">
        <f t="shared" si="314"/>
        <v>C62</v>
      </c>
      <c r="R3282" s="7" t="str">
        <f t="shared" si="315"/>
        <v>C58</v>
      </c>
      <c r="S3282" s="18">
        <f t="shared" si="316"/>
        <v>3.3887978963412193</v>
      </c>
      <c r="T3282" s="18">
        <f>S3282/Explications!$C$8</f>
        <v>0.11295992987804064</v>
      </c>
    </row>
    <row r="3283" spans="7:20">
      <c r="G3283" s="7" t="s">
        <v>74</v>
      </c>
      <c r="H3283" s="7" t="s">
        <v>79</v>
      </c>
      <c r="I3283" s="7">
        <v>46.773200000000003</v>
      </c>
      <c r="J3283" s="7">
        <v>-71.275899999999993</v>
      </c>
      <c r="K3283" s="7">
        <v>46.822000000000003</v>
      </c>
      <c r="L3283" s="7">
        <v>-71.345699999999994</v>
      </c>
      <c r="M3283" s="10" t="str">
        <f t="shared" si="311"/>
        <v>C58</v>
      </c>
      <c r="N3283" s="10" t="str">
        <f t="shared" si="312"/>
        <v>C63</v>
      </c>
      <c r="O3283" s="5">
        <f t="shared" si="313"/>
        <v>7.5944620473118167</v>
      </c>
      <c r="P3283" s="22">
        <f>O3283/Explications!$C$8</f>
        <v>0.25314873491039391</v>
      </c>
      <c r="Q3283" s="7" t="str">
        <f t="shared" si="314"/>
        <v>C63</v>
      </c>
      <c r="R3283" s="7" t="str">
        <f t="shared" si="315"/>
        <v>C58</v>
      </c>
      <c r="S3283" s="18">
        <f t="shared" si="316"/>
        <v>7.5944620473118167</v>
      </c>
      <c r="T3283" s="18">
        <f>S3283/Explications!$C$8</f>
        <v>0.25314873491039391</v>
      </c>
    </row>
    <row r="3284" spans="7:20">
      <c r="G3284" s="7" t="s">
        <v>74</v>
      </c>
      <c r="H3284" s="7" t="s">
        <v>80</v>
      </c>
      <c r="I3284" s="7">
        <v>46.773200000000003</v>
      </c>
      <c r="J3284" s="7">
        <v>-71.275899999999993</v>
      </c>
      <c r="K3284" s="7">
        <v>46.779400000000003</v>
      </c>
      <c r="L3284" s="7">
        <v>-71.350399999999993</v>
      </c>
      <c r="M3284" s="10" t="str">
        <f t="shared" si="311"/>
        <v>C58</v>
      </c>
      <c r="N3284" s="10" t="str">
        <f t="shared" si="312"/>
        <v>C64</v>
      </c>
      <c r="O3284" s="5">
        <f t="shared" si="313"/>
        <v>5.7150347993421455</v>
      </c>
      <c r="P3284" s="22">
        <f>O3284/Explications!$C$8</f>
        <v>0.19050115997807152</v>
      </c>
      <c r="Q3284" s="7" t="str">
        <f t="shared" si="314"/>
        <v>C64</v>
      </c>
      <c r="R3284" s="7" t="str">
        <f t="shared" si="315"/>
        <v>C58</v>
      </c>
      <c r="S3284" s="18">
        <f t="shared" si="316"/>
        <v>5.7150347993421455</v>
      </c>
      <c r="T3284" s="18">
        <f>S3284/Explications!$C$8</f>
        <v>0.19050115997807152</v>
      </c>
    </row>
    <row r="3285" spans="7:20">
      <c r="G3285" s="7" t="s">
        <v>74</v>
      </c>
      <c r="H3285" s="7" t="s">
        <v>81</v>
      </c>
      <c r="I3285" s="7">
        <v>46.773200000000003</v>
      </c>
      <c r="J3285" s="7">
        <v>-71.275899999999993</v>
      </c>
      <c r="K3285" s="7">
        <v>46.772300000000001</v>
      </c>
      <c r="L3285" s="7">
        <v>-71.279799999999994</v>
      </c>
      <c r="M3285" s="10" t="str">
        <f t="shared" si="311"/>
        <v>C58</v>
      </c>
      <c r="N3285" s="10" t="str">
        <f t="shared" si="312"/>
        <v>C65</v>
      </c>
      <c r="O3285" s="5">
        <f t="shared" si="313"/>
        <v>0.31341781172383931</v>
      </c>
      <c r="P3285" s="22">
        <f>O3285/Explications!$C$8</f>
        <v>1.0447260390794643E-2</v>
      </c>
      <c r="Q3285" s="7" t="str">
        <f t="shared" si="314"/>
        <v>C65</v>
      </c>
      <c r="R3285" s="7" t="str">
        <f t="shared" si="315"/>
        <v>C58</v>
      </c>
      <c r="S3285" s="18">
        <f t="shared" si="316"/>
        <v>0.31341781172383931</v>
      </c>
      <c r="T3285" s="18">
        <f>S3285/Explications!$C$8</f>
        <v>1.0447260390794643E-2</v>
      </c>
    </row>
    <row r="3286" spans="7:20">
      <c r="G3286" s="7" t="s">
        <v>74</v>
      </c>
      <c r="H3286" s="7" t="s">
        <v>82</v>
      </c>
      <c r="I3286" s="7">
        <v>46.773200000000003</v>
      </c>
      <c r="J3286" s="7">
        <v>-71.275899999999993</v>
      </c>
      <c r="K3286" s="7">
        <v>46.814900000000002</v>
      </c>
      <c r="L3286" s="7">
        <v>-71.225200000000001</v>
      </c>
      <c r="M3286" s="10" t="str">
        <f t="shared" si="311"/>
        <v>C58</v>
      </c>
      <c r="N3286" s="10" t="str">
        <f t="shared" si="312"/>
        <v>C66</v>
      </c>
      <c r="O3286" s="5">
        <f t="shared" si="313"/>
        <v>6.0329780034670613</v>
      </c>
      <c r="P3286" s="22">
        <f>O3286/Explications!$C$8</f>
        <v>0.20109926678223539</v>
      </c>
      <c r="Q3286" s="7" t="str">
        <f t="shared" si="314"/>
        <v>C66</v>
      </c>
      <c r="R3286" s="7" t="str">
        <f t="shared" si="315"/>
        <v>C58</v>
      </c>
      <c r="S3286" s="18">
        <f t="shared" si="316"/>
        <v>6.0329780034670613</v>
      </c>
      <c r="T3286" s="18">
        <f>S3286/Explications!$C$8</f>
        <v>0.20109926678223539</v>
      </c>
    </row>
    <row r="3287" spans="7:20">
      <c r="G3287" s="7" t="s">
        <v>74</v>
      </c>
      <c r="H3287" s="7" t="s">
        <v>83</v>
      </c>
      <c r="I3287" s="7">
        <v>46.773200000000003</v>
      </c>
      <c r="J3287" s="7">
        <v>-71.275899999999993</v>
      </c>
      <c r="K3287" s="7">
        <v>46.814700000000002</v>
      </c>
      <c r="L3287" s="7">
        <v>-71.207300000000004</v>
      </c>
      <c r="M3287" s="10" t="str">
        <f t="shared" si="311"/>
        <v>C58</v>
      </c>
      <c r="N3287" s="10" t="str">
        <f t="shared" si="312"/>
        <v>C67</v>
      </c>
      <c r="O3287" s="5">
        <f t="shared" si="313"/>
        <v>6.96898670801313</v>
      </c>
      <c r="P3287" s="22">
        <f>O3287/Explications!$C$8</f>
        <v>0.232299556933771</v>
      </c>
      <c r="Q3287" s="7" t="str">
        <f t="shared" si="314"/>
        <v>C67</v>
      </c>
      <c r="R3287" s="7" t="str">
        <f t="shared" si="315"/>
        <v>C58</v>
      </c>
      <c r="S3287" s="18">
        <f t="shared" si="316"/>
        <v>6.96898670801313</v>
      </c>
      <c r="T3287" s="18">
        <f>S3287/Explications!$C$8</f>
        <v>0.232299556933771</v>
      </c>
    </row>
    <row r="3288" spans="7:20">
      <c r="G3288" s="7" t="s">
        <v>74</v>
      </c>
      <c r="H3288" s="7" t="s">
        <v>84</v>
      </c>
      <c r="I3288" s="7">
        <v>46.773200000000003</v>
      </c>
      <c r="J3288" s="7">
        <v>-71.275899999999993</v>
      </c>
      <c r="K3288" s="7">
        <v>46.815600000000003</v>
      </c>
      <c r="L3288" s="7">
        <v>-71.2029</v>
      </c>
      <c r="M3288" s="10" t="str">
        <f t="shared" si="311"/>
        <v>C58</v>
      </c>
      <c r="N3288" s="10" t="str">
        <f t="shared" si="312"/>
        <v>C68</v>
      </c>
      <c r="O3288" s="5">
        <f t="shared" si="313"/>
        <v>7.2877003952065555</v>
      </c>
      <c r="P3288" s="22">
        <f>O3288/Explications!$C$8</f>
        <v>0.24292334650688518</v>
      </c>
      <c r="Q3288" s="7" t="str">
        <f t="shared" si="314"/>
        <v>C68</v>
      </c>
      <c r="R3288" s="7" t="str">
        <f t="shared" si="315"/>
        <v>C58</v>
      </c>
      <c r="S3288" s="18">
        <f t="shared" si="316"/>
        <v>7.2877003952065555</v>
      </c>
      <c r="T3288" s="18">
        <f>S3288/Explications!$C$8</f>
        <v>0.24292334650688518</v>
      </c>
    </row>
    <row r="3289" spans="7:20">
      <c r="G3289" s="7" t="s">
        <v>74</v>
      </c>
      <c r="H3289" s="7" t="s">
        <v>85</v>
      </c>
      <c r="I3289" s="7">
        <v>46.773200000000003</v>
      </c>
      <c r="J3289" s="7">
        <v>-71.275899999999993</v>
      </c>
      <c r="K3289" s="7">
        <v>46.821899999999999</v>
      </c>
      <c r="L3289" s="7">
        <v>-71.249899999999997</v>
      </c>
      <c r="M3289" s="10" t="str">
        <f t="shared" si="311"/>
        <v>C58</v>
      </c>
      <c r="N3289" s="10" t="str">
        <f t="shared" si="312"/>
        <v>C69</v>
      </c>
      <c r="O3289" s="5">
        <f t="shared" si="313"/>
        <v>5.7655352941550166</v>
      </c>
      <c r="P3289" s="22">
        <f>O3289/Explications!$C$8</f>
        <v>0.19218450980516721</v>
      </c>
      <c r="Q3289" s="7" t="str">
        <f t="shared" si="314"/>
        <v>C69</v>
      </c>
      <c r="R3289" s="7" t="str">
        <f t="shared" si="315"/>
        <v>C58</v>
      </c>
      <c r="S3289" s="18">
        <f t="shared" si="316"/>
        <v>5.7655352941550166</v>
      </c>
      <c r="T3289" s="18">
        <f>S3289/Explications!$C$8</f>
        <v>0.19218450980516721</v>
      </c>
    </row>
    <row r="3290" spans="7:20">
      <c r="G3290" s="7" t="s">
        <v>74</v>
      </c>
      <c r="H3290" s="7" t="s">
        <v>86</v>
      </c>
      <c r="I3290" s="7">
        <v>46.773200000000003</v>
      </c>
      <c r="J3290" s="7">
        <v>-71.275899999999993</v>
      </c>
      <c r="K3290" s="7">
        <v>46.8872</v>
      </c>
      <c r="L3290" s="7">
        <v>-71.27</v>
      </c>
      <c r="M3290" s="10" t="str">
        <f t="shared" si="311"/>
        <v>C58</v>
      </c>
      <c r="N3290" s="10" t="str">
        <f t="shared" si="312"/>
        <v>C70</v>
      </c>
      <c r="O3290" s="5">
        <f t="shared" si="313"/>
        <v>12.684165584591147</v>
      </c>
      <c r="P3290" s="22">
        <f>O3290/Explications!$C$8</f>
        <v>0.42280551948637157</v>
      </c>
      <c r="Q3290" s="7" t="str">
        <f t="shared" si="314"/>
        <v>C70</v>
      </c>
      <c r="R3290" s="7" t="str">
        <f t="shared" si="315"/>
        <v>C58</v>
      </c>
      <c r="S3290" s="18">
        <f t="shared" si="316"/>
        <v>12.684165584591147</v>
      </c>
      <c r="T3290" s="18">
        <f>S3290/Explications!$C$8</f>
        <v>0.42280551948637157</v>
      </c>
    </row>
    <row r="3291" spans="7:20">
      <c r="G3291" s="7" t="s">
        <v>74</v>
      </c>
      <c r="H3291" s="7" t="s">
        <v>87</v>
      </c>
      <c r="I3291" s="7">
        <v>46.773200000000003</v>
      </c>
      <c r="J3291" s="7">
        <v>-71.275899999999993</v>
      </c>
      <c r="K3291" s="7">
        <v>46.816299999999998</v>
      </c>
      <c r="L3291" s="7">
        <v>-71.210300000000004</v>
      </c>
      <c r="M3291" s="10" t="str">
        <f t="shared" si="311"/>
        <v>C58</v>
      </c>
      <c r="N3291" s="10" t="str">
        <f t="shared" si="312"/>
        <v>C71</v>
      </c>
      <c r="O3291" s="5">
        <f t="shared" si="313"/>
        <v>6.9214513573813958</v>
      </c>
      <c r="P3291" s="22">
        <f>O3291/Explications!$C$8</f>
        <v>0.23071504524604652</v>
      </c>
      <c r="Q3291" s="7" t="str">
        <f t="shared" si="314"/>
        <v>C71</v>
      </c>
      <c r="R3291" s="7" t="str">
        <f t="shared" si="315"/>
        <v>C58</v>
      </c>
      <c r="S3291" s="18">
        <f t="shared" si="316"/>
        <v>6.9214513573813958</v>
      </c>
      <c r="T3291" s="18">
        <f>S3291/Explications!$C$8</f>
        <v>0.23071504524604652</v>
      </c>
    </row>
    <row r="3292" spans="7:20">
      <c r="G3292" s="7" t="s">
        <v>74</v>
      </c>
      <c r="H3292" s="7" t="s">
        <v>88</v>
      </c>
      <c r="I3292" s="7">
        <v>46.773200000000003</v>
      </c>
      <c r="J3292" s="7">
        <v>-71.275899999999993</v>
      </c>
      <c r="K3292" s="7">
        <v>46.807000000000002</v>
      </c>
      <c r="L3292" s="7">
        <v>-71.3566</v>
      </c>
      <c r="M3292" s="10" t="str">
        <f t="shared" si="311"/>
        <v>C58</v>
      </c>
      <c r="N3292" s="10" t="str">
        <f t="shared" si="312"/>
        <v>C72</v>
      </c>
      <c r="O3292" s="5">
        <f t="shared" si="313"/>
        <v>7.2022612338905434</v>
      </c>
      <c r="P3292" s="22">
        <f>O3292/Explications!$C$8</f>
        <v>0.2400753744630181</v>
      </c>
      <c r="Q3292" s="7" t="str">
        <f t="shared" si="314"/>
        <v>C72</v>
      </c>
      <c r="R3292" s="7" t="str">
        <f t="shared" si="315"/>
        <v>C58</v>
      </c>
      <c r="S3292" s="18">
        <f t="shared" si="316"/>
        <v>7.2022612338905434</v>
      </c>
      <c r="T3292" s="18">
        <f>S3292/Explications!$C$8</f>
        <v>0.2400753744630181</v>
      </c>
    </row>
    <row r="3293" spans="7:20">
      <c r="G3293" s="7" t="s">
        <v>74</v>
      </c>
      <c r="H3293" s="7" t="s">
        <v>89</v>
      </c>
      <c r="I3293" s="7">
        <v>46.773200000000003</v>
      </c>
      <c r="J3293" s="7">
        <v>-71.275899999999993</v>
      </c>
      <c r="K3293" s="7">
        <v>46.822899999999997</v>
      </c>
      <c r="L3293" s="7">
        <v>-71.341899999999995</v>
      </c>
      <c r="M3293" s="10" t="str">
        <f t="shared" si="311"/>
        <v>C58</v>
      </c>
      <c r="N3293" s="10" t="str">
        <f t="shared" si="312"/>
        <v>C73</v>
      </c>
      <c r="O3293" s="5">
        <f t="shared" si="313"/>
        <v>7.4686905901784089</v>
      </c>
      <c r="P3293" s="22">
        <f>O3293/Explications!$C$8</f>
        <v>0.24895635300594696</v>
      </c>
      <c r="Q3293" s="7" t="str">
        <f t="shared" si="314"/>
        <v>C73</v>
      </c>
      <c r="R3293" s="7" t="str">
        <f t="shared" si="315"/>
        <v>C58</v>
      </c>
      <c r="S3293" s="18">
        <f t="shared" si="316"/>
        <v>7.4686905901784089</v>
      </c>
      <c r="T3293" s="18">
        <f>S3293/Explications!$C$8</f>
        <v>0.24895635300594696</v>
      </c>
    </row>
    <row r="3294" spans="7:20">
      <c r="G3294" s="7" t="s">
        <v>74</v>
      </c>
      <c r="H3294" s="7" t="s">
        <v>90</v>
      </c>
      <c r="I3294" s="7">
        <v>46.773200000000003</v>
      </c>
      <c r="J3294" s="7">
        <v>-71.275899999999993</v>
      </c>
      <c r="K3294" s="7">
        <v>46.730699999999999</v>
      </c>
      <c r="L3294" s="7">
        <v>-71.261099999999999</v>
      </c>
      <c r="M3294" s="10" t="str">
        <f t="shared" si="311"/>
        <v>C58</v>
      </c>
      <c r="N3294" s="10" t="str">
        <f t="shared" si="312"/>
        <v>C74</v>
      </c>
      <c r="O3294" s="5">
        <f t="shared" si="313"/>
        <v>4.8584377078288572</v>
      </c>
      <c r="P3294" s="22">
        <f>O3294/Explications!$C$8</f>
        <v>0.16194792359429525</v>
      </c>
      <c r="Q3294" s="7" t="str">
        <f t="shared" si="314"/>
        <v>C74</v>
      </c>
      <c r="R3294" s="7" t="str">
        <f t="shared" si="315"/>
        <v>C58</v>
      </c>
      <c r="S3294" s="18">
        <f t="shared" si="316"/>
        <v>4.8584377078288572</v>
      </c>
      <c r="T3294" s="18">
        <f>S3294/Explications!$C$8</f>
        <v>0.16194792359429525</v>
      </c>
    </row>
    <row r="3295" spans="7:20">
      <c r="G3295" s="7" t="s">
        <v>74</v>
      </c>
      <c r="H3295" s="7" t="s">
        <v>91</v>
      </c>
      <c r="I3295" s="7">
        <v>46.773200000000003</v>
      </c>
      <c r="J3295" s="7">
        <v>-71.275899999999993</v>
      </c>
      <c r="K3295" s="7">
        <v>46.840600000000002</v>
      </c>
      <c r="L3295" s="7">
        <v>-71.289100000000005</v>
      </c>
      <c r="M3295" s="10" t="str">
        <f t="shared" si="311"/>
        <v>C58</v>
      </c>
      <c r="N3295" s="10" t="str">
        <f t="shared" si="312"/>
        <v>C75</v>
      </c>
      <c r="O3295" s="5">
        <f t="shared" si="313"/>
        <v>7.5615728157140518</v>
      </c>
      <c r="P3295" s="22">
        <f>O3295/Explications!$C$8</f>
        <v>0.25205242719046839</v>
      </c>
      <c r="Q3295" s="7" t="str">
        <f t="shared" si="314"/>
        <v>C75</v>
      </c>
      <c r="R3295" s="7" t="str">
        <f t="shared" si="315"/>
        <v>C58</v>
      </c>
      <c r="S3295" s="18">
        <f t="shared" si="316"/>
        <v>7.5615728157140518</v>
      </c>
      <c r="T3295" s="18">
        <f>S3295/Explications!$C$8</f>
        <v>0.25205242719046839</v>
      </c>
    </row>
    <row r="3296" spans="7:20">
      <c r="G3296" s="7" t="s">
        <v>74</v>
      </c>
      <c r="H3296" s="7" t="s">
        <v>92</v>
      </c>
      <c r="I3296" s="7">
        <v>46.773200000000003</v>
      </c>
      <c r="J3296" s="7">
        <v>-71.275899999999993</v>
      </c>
      <c r="K3296" s="7">
        <v>46.840600000000002</v>
      </c>
      <c r="L3296" s="7">
        <v>-71.281599999999997</v>
      </c>
      <c r="M3296" s="10" t="str">
        <f t="shared" si="311"/>
        <v>C58</v>
      </c>
      <c r="N3296" s="10" t="str">
        <f t="shared" si="312"/>
        <v>C76</v>
      </c>
      <c r="O3296" s="5">
        <f t="shared" si="313"/>
        <v>7.5070832253520168</v>
      </c>
      <c r="P3296" s="22">
        <f>O3296/Explications!$C$8</f>
        <v>0.25023610751173392</v>
      </c>
      <c r="Q3296" s="7" t="str">
        <f t="shared" si="314"/>
        <v>C76</v>
      </c>
      <c r="R3296" s="7" t="str">
        <f t="shared" si="315"/>
        <v>C58</v>
      </c>
      <c r="S3296" s="18">
        <f t="shared" si="316"/>
        <v>7.5070832253520168</v>
      </c>
      <c r="T3296" s="18">
        <f>S3296/Explications!$C$8</f>
        <v>0.25023610751173392</v>
      </c>
    </row>
    <row r="3297" spans="7:20">
      <c r="G3297" s="7" t="s">
        <v>74</v>
      </c>
      <c r="H3297" s="7" t="s">
        <v>93</v>
      </c>
      <c r="I3297" s="7">
        <v>46.773200000000003</v>
      </c>
      <c r="J3297" s="7">
        <v>-71.275899999999993</v>
      </c>
      <c r="K3297" s="7">
        <v>46.839399999999998</v>
      </c>
      <c r="L3297" s="7">
        <v>-71.282600000000002</v>
      </c>
      <c r="M3297" s="10" t="str">
        <f t="shared" si="311"/>
        <v>C58</v>
      </c>
      <c r="N3297" s="10" t="str">
        <f t="shared" si="312"/>
        <v>C77</v>
      </c>
      <c r="O3297" s="5">
        <f t="shared" si="313"/>
        <v>7.3787454714816398</v>
      </c>
      <c r="P3297" s="22">
        <f>O3297/Explications!$C$8</f>
        <v>0.24595818238272132</v>
      </c>
      <c r="Q3297" s="7" t="str">
        <f t="shared" si="314"/>
        <v>C77</v>
      </c>
      <c r="R3297" s="7" t="str">
        <f t="shared" si="315"/>
        <v>C58</v>
      </c>
      <c r="S3297" s="18">
        <f t="shared" si="316"/>
        <v>7.3787454714816398</v>
      </c>
      <c r="T3297" s="18">
        <f>S3297/Explications!$C$8</f>
        <v>0.24595818238272132</v>
      </c>
    </row>
    <row r="3298" spans="7:20">
      <c r="G3298" s="7" t="s">
        <v>74</v>
      </c>
      <c r="H3298" s="7" t="s">
        <v>94</v>
      </c>
      <c r="I3298" s="7">
        <v>46.773200000000003</v>
      </c>
      <c r="J3298" s="7">
        <v>-71.275899999999993</v>
      </c>
      <c r="K3298" s="7">
        <v>46.788499999999999</v>
      </c>
      <c r="L3298" s="7">
        <v>-71.282399999999996</v>
      </c>
      <c r="M3298" s="10" t="str">
        <f t="shared" si="311"/>
        <v>C58</v>
      </c>
      <c r="N3298" s="10" t="str">
        <f t="shared" si="312"/>
        <v>C78</v>
      </c>
      <c r="O3298" s="5">
        <f t="shared" si="313"/>
        <v>1.7718158538234761</v>
      </c>
      <c r="P3298" s="22">
        <f>O3298/Explications!$C$8</f>
        <v>5.9060528460782538E-2</v>
      </c>
      <c r="Q3298" s="7" t="str">
        <f t="shared" si="314"/>
        <v>C78</v>
      </c>
      <c r="R3298" s="7" t="str">
        <f t="shared" si="315"/>
        <v>C58</v>
      </c>
      <c r="S3298" s="18">
        <f t="shared" si="316"/>
        <v>1.7718158538234761</v>
      </c>
      <c r="T3298" s="18">
        <f>S3298/Explications!$C$8</f>
        <v>5.9060528460782538E-2</v>
      </c>
    </row>
    <row r="3299" spans="7:20">
      <c r="G3299" s="7" t="s">
        <v>74</v>
      </c>
      <c r="H3299" s="7" t="s">
        <v>95</v>
      </c>
      <c r="I3299" s="7">
        <v>46.773200000000003</v>
      </c>
      <c r="J3299" s="7">
        <v>-71.275899999999993</v>
      </c>
      <c r="K3299" s="7">
        <v>46.840699999999998</v>
      </c>
      <c r="L3299" s="7">
        <v>-71.325400000000002</v>
      </c>
      <c r="M3299" s="10" t="str">
        <f t="shared" si="311"/>
        <v>C58</v>
      </c>
      <c r="N3299" s="10" t="str">
        <f t="shared" si="312"/>
        <v>C79</v>
      </c>
      <c r="O3299" s="5">
        <f t="shared" si="313"/>
        <v>8.3980895077494235</v>
      </c>
      <c r="P3299" s="22">
        <f>O3299/Explications!$C$8</f>
        <v>0.27993631692498078</v>
      </c>
      <c r="Q3299" s="7" t="str">
        <f t="shared" si="314"/>
        <v>C79</v>
      </c>
      <c r="R3299" s="7" t="str">
        <f t="shared" si="315"/>
        <v>C58</v>
      </c>
      <c r="S3299" s="18">
        <f t="shared" si="316"/>
        <v>8.3980895077494235</v>
      </c>
      <c r="T3299" s="18">
        <f>S3299/Explications!$C$8</f>
        <v>0.27993631692498078</v>
      </c>
    </row>
    <row r="3300" spans="7:20">
      <c r="G3300" s="7" t="s">
        <v>74</v>
      </c>
      <c r="H3300" s="7" t="s">
        <v>96</v>
      </c>
      <c r="I3300" s="7">
        <v>46.773200000000003</v>
      </c>
      <c r="J3300" s="7">
        <v>-71.275899999999993</v>
      </c>
      <c r="K3300" s="7">
        <v>46.798400000000001</v>
      </c>
      <c r="L3300" s="7">
        <v>-71.183199999999999</v>
      </c>
      <c r="M3300" s="10" t="str">
        <f t="shared" si="311"/>
        <v>C58</v>
      </c>
      <c r="N3300" s="10" t="str">
        <f t="shared" si="312"/>
        <v>C80</v>
      </c>
      <c r="O3300" s="5">
        <f t="shared" si="313"/>
        <v>7.5939062699021225</v>
      </c>
      <c r="P3300" s="22">
        <f>O3300/Explications!$C$8</f>
        <v>0.25313020899673744</v>
      </c>
      <c r="Q3300" s="7" t="str">
        <f t="shared" si="314"/>
        <v>C80</v>
      </c>
      <c r="R3300" s="7" t="str">
        <f t="shared" si="315"/>
        <v>C58</v>
      </c>
      <c r="S3300" s="18">
        <f t="shared" si="316"/>
        <v>7.5939062699021225</v>
      </c>
      <c r="T3300" s="18">
        <f>S3300/Explications!$C$8</f>
        <v>0.25313020899673744</v>
      </c>
    </row>
    <row r="3301" spans="7:20">
      <c r="G3301" s="7" t="s">
        <v>74</v>
      </c>
      <c r="H3301" s="7" t="s">
        <v>97</v>
      </c>
      <c r="I3301" s="7">
        <v>46.773200000000003</v>
      </c>
      <c r="J3301" s="7">
        <v>-71.275899999999993</v>
      </c>
      <c r="K3301" s="7">
        <v>46.724800000000002</v>
      </c>
      <c r="L3301" s="7">
        <v>-71.2988</v>
      </c>
      <c r="M3301" s="10" t="str">
        <f t="shared" si="311"/>
        <v>C58</v>
      </c>
      <c r="N3301" s="10" t="str">
        <f t="shared" si="312"/>
        <v>C81</v>
      </c>
      <c r="O3301" s="5">
        <f t="shared" si="313"/>
        <v>5.6575896036888338</v>
      </c>
      <c r="P3301" s="22">
        <f>O3301/Explications!$C$8</f>
        <v>0.18858632012296112</v>
      </c>
      <c r="Q3301" s="7" t="str">
        <f t="shared" si="314"/>
        <v>C81</v>
      </c>
      <c r="R3301" s="7" t="str">
        <f t="shared" si="315"/>
        <v>C58</v>
      </c>
      <c r="S3301" s="18">
        <f t="shared" si="316"/>
        <v>5.6575896036888338</v>
      </c>
      <c r="T3301" s="18">
        <f>S3301/Explications!$C$8</f>
        <v>0.18858632012296112</v>
      </c>
    </row>
    <row r="3302" spans="7:20">
      <c r="G3302" s="7" t="s">
        <v>74</v>
      </c>
      <c r="H3302" s="7" t="s">
        <v>98</v>
      </c>
      <c r="I3302" s="7">
        <v>46.773200000000003</v>
      </c>
      <c r="J3302" s="7">
        <v>-71.275899999999993</v>
      </c>
      <c r="K3302" s="7">
        <v>46.795499999999997</v>
      </c>
      <c r="L3302" s="7">
        <v>-71.242900000000006</v>
      </c>
      <c r="M3302" s="10" t="str">
        <f t="shared" si="311"/>
        <v>C58</v>
      </c>
      <c r="N3302" s="10" t="str">
        <f t="shared" si="312"/>
        <v>C82</v>
      </c>
      <c r="O3302" s="5">
        <f t="shared" si="313"/>
        <v>3.5301498001633922</v>
      </c>
      <c r="P3302" s="22">
        <f>O3302/Explications!$C$8</f>
        <v>0.1176716600054464</v>
      </c>
      <c r="Q3302" s="7" t="str">
        <f t="shared" si="314"/>
        <v>C82</v>
      </c>
      <c r="R3302" s="7" t="str">
        <f t="shared" si="315"/>
        <v>C58</v>
      </c>
      <c r="S3302" s="18">
        <f t="shared" si="316"/>
        <v>3.5301498001633922</v>
      </c>
      <c r="T3302" s="18">
        <f>S3302/Explications!$C$8</f>
        <v>0.1176716600054464</v>
      </c>
    </row>
    <row r="3303" spans="7:20">
      <c r="G3303" s="7" t="s">
        <v>74</v>
      </c>
      <c r="H3303" s="7" t="s">
        <v>99</v>
      </c>
      <c r="I3303" s="7">
        <v>46.773200000000003</v>
      </c>
      <c r="J3303" s="7">
        <v>-71.275899999999993</v>
      </c>
      <c r="K3303" s="7">
        <v>46.8157</v>
      </c>
      <c r="L3303" s="7">
        <v>-71.201899999999995</v>
      </c>
      <c r="M3303" s="10" t="str">
        <f t="shared" si="311"/>
        <v>C58</v>
      </c>
      <c r="N3303" s="10" t="str">
        <f t="shared" si="312"/>
        <v>C83</v>
      </c>
      <c r="O3303" s="5">
        <f t="shared" si="313"/>
        <v>7.3530525901538244</v>
      </c>
      <c r="P3303" s="22">
        <f>O3303/Explications!$C$8</f>
        <v>0.24510175300512749</v>
      </c>
      <c r="Q3303" s="7" t="str">
        <f t="shared" si="314"/>
        <v>C83</v>
      </c>
      <c r="R3303" s="7" t="str">
        <f t="shared" si="315"/>
        <v>C58</v>
      </c>
      <c r="S3303" s="18">
        <f t="shared" si="316"/>
        <v>7.3530525901538244</v>
      </c>
      <c r="T3303" s="18">
        <f>S3303/Explications!$C$8</f>
        <v>0.24510175300512749</v>
      </c>
    </row>
    <row r="3304" spans="7:20">
      <c r="G3304" s="7" t="s">
        <v>74</v>
      </c>
      <c r="H3304" s="7" t="s">
        <v>100</v>
      </c>
      <c r="I3304" s="7">
        <v>46.773200000000003</v>
      </c>
      <c r="J3304" s="7">
        <v>-71.275899999999993</v>
      </c>
      <c r="K3304" s="7">
        <v>46.837600000000002</v>
      </c>
      <c r="L3304" s="7">
        <v>-71.196299999999994</v>
      </c>
      <c r="M3304" s="10" t="str">
        <f t="shared" si="311"/>
        <v>C58</v>
      </c>
      <c r="N3304" s="10" t="str">
        <f t="shared" si="312"/>
        <v>C84</v>
      </c>
      <c r="O3304" s="5">
        <f t="shared" si="313"/>
        <v>9.3799475382892599</v>
      </c>
      <c r="P3304" s="22">
        <f>O3304/Explications!$C$8</f>
        <v>0.31266491794297535</v>
      </c>
      <c r="Q3304" s="7" t="str">
        <f t="shared" si="314"/>
        <v>C84</v>
      </c>
      <c r="R3304" s="7" t="str">
        <f t="shared" si="315"/>
        <v>C58</v>
      </c>
      <c r="S3304" s="18">
        <f t="shared" si="316"/>
        <v>9.3799475382892599</v>
      </c>
      <c r="T3304" s="18">
        <f>S3304/Explications!$C$8</f>
        <v>0.31266491794297535</v>
      </c>
    </row>
    <row r="3305" spans="7:20">
      <c r="G3305" s="7" t="s">
        <v>74</v>
      </c>
      <c r="H3305" s="7" t="s">
        <v>101</v>
      </c>
      <c r="I3305" s="7">
        <v>46.773200000000003</v>
      </c>
      <c r="J3305" s="7">
        <v>-71.275899999999993</v>
      </c>
      <c r="K3305" s="7">
        <v>46.7988</v>
      </c>
      <c r="L3305" s="7">
        <v>-71.318200000000004</v>
      </c>
      <c r="M3305" s="10" t="str">
        <f t="shared" si="311"/>
        <v>C58</v>
      </c>
      <c r="N3305" s="10" t="str">
        <f t="shared" si="312"/>
        <v>C85</v>
      </c>
      <c r="O3305" s="5">
        <f t="shared" si="313"/>
        <v>4.2983218997886645</v>
      </c>
      <c r="P3305" s="22">
        <f>O3305/Explications!$C$8</f>
        <v>0.14327739665962216</v>
      </c>
      <c r="Q3305" s="7" t="str">
        <f t="shared" si="314"/>
        <v>C85</v>
      </c>
      <c r="R3305" s="7" t="str">
        <f t="shared" si="315"/>
        <v>C58</v>
      </c>
      <c r="S3305" s="18">
        <f t="shared" si="316"/>
        <v>4.2983218997886645</v>
      </c>
      <c r="T3305" s="18">
        <f>S3305/Explications!$C$8</f>
        <v>0.14327739665962216</v>
      </c>
    </row>
    <row r="3306" spans="7:20">
      <c r="G3306" s="7" t="s">
        <v>75</v>
      </c>
      <c r="H3306" s="7" t="s">
        <v>76</v>
      </c>
      <c r="I3306" s="7">
        <v>46.814399999999999</v>
      </c>
      <c r="J3306" s="7">
        <v>-71.225700000000003</v>
      </c>
      <c r="K3306" s="7">
        <v>46.772500000000001</v>
      </c>
      <c r="L3306" s="7">
        <v>-71.276300000000006</v>
      </c>
      <c r="M3306" s="10" t="str">
        <f t="shared" si="311"/>
        <v>C59</v>
      </c>
      <c r="N3306" s="10" t="str">
        <f t="shared" si="312"/>
        <v>C60</v>
      </c>
      <c r="O3306" s="5">
        <f t="shared" si="313"/>
        <v>6.045260934986735</v>
      </c>
      <c r="P3306" s="22">
        <f>O3306/Explications!$C$8</f>
        <v>0.20150869783289116</v>
      </c>
      <c r="Q3306" s="7" t="str">
        <f t="shared" si="314"/>
        <v>C60</v>
      </c>
      <c r="R3306" s="7" t="str">
        <f t="shared" si="315"/>
        <v>C59</v>
      </c>
      <c r="S3306" s="18">
        <f t="shared" si="316"/>
        <v>6.045260934986735</v>
      </c>
      <c r="T3306" s="18">
        <f>S3306/Explications!$C$8</f>
        <v>0.20150869783289116</v>
      </c>
    </row>
    <row r="3307" spans="7:20">
      <c r="G3307" s="7" t="s">
        <v>75</v>
      </c>
      <c r="H3307" s="7" t="s">
        <v>77</v>
      </c>
      <c r="I3307" s="7">
        <v>46.814399999999999</v>
      </c>
      <c r="J3307" s="7">
        <v>-71.225700000000003</v>
      </c>
      <c r="K3307" s="7">
        <v>46.810899999999997</v>
      </c>
      <c r="L3307" s="7">
        <v>-71.215599999999995</v>
      </c>
      <c r="M3307" s="10" t="str">
        <f t="shared" si="311"/>
        <v>C59</v>
      </c>
      <c r="N3307" s="10" t="str">
        <f t="shared" si="312"/>
        <v>C61</v>
      </c>
      <c r="O3307" s="5">
        <f t="shared" si="313"/>
        <v>0.86152672507338268</v>
      </c>
      <c r="P3307" s="22">
        <f>O3307/Explications!$C$8</f>
        <v>2.8717557502446089E-2</v>
      </c>
      <c r="Q3307" s="7" t="str">
        <f t="shared" si="314"/>
        <v>C61</v>
      </c>
      <c r="R3307" s="7" t="str">
        <f t="shared" si="315"/>
        <v>C59</v>
      </c>
      <c r="S3307" s="18">
        <f t="shared" si="316"/>
        <v>0.86152672507338268</v>
      </c>
      <c r="T3307" s="18">
        <f>S3307/Explications!$C$8</f>
        <v>2.8717557502446089E-2</v>
      </c>
    </row>
    <row r="3308" spans="7:20">
      <c r="G3308" s="7" t="s">
        <v>75</v>
      </c>
      <c r="H3308" s="7" t="s">
        <v>78</v>
      </c>
      <c r="I3308" s="7">
        <v>46.814399999999999</v>
      </c>
      <c r="J3308" s="7">
        <v>-71.225700000000003</v>
      </c>
      <c r="K3308" s="7">
        <v>46.795200000000001</v>
      </c>
      <c r="L3308" s="7">
        <v>-71.245099999999994</v>
      </c>
      <c r="M3308" s="10" t="str">
        <f t="shared" si="311"/>
        <v>C59</v>
      </c>
      <c r="N3308" s="10" t="str">
        <f t="shared" si="312"/>
        <v>C62</v>
      </c>
      <c r="O3308" s="5">
        <f t="shared" si="313"/>
        <v>2.5958064541179144</v>
      </c>
      <c r="P3308" s="22">
        <f>O3308/Explications!$C$8</f>
        <v>8.6526881803930478E-2</v>
      </c>
      <c r="Q3308" s="7" t="str">
        <f t="shared" si="314"/>
        <v>C62</v>
      </c>
      <c r="R3308" s="7" t="str">
        <f t="shared" si="315"/>
        <v>C59</v>
      </c>
      <c r="S3308" s="18">
        <f t="shared" si="316"/>
        <v>2.5958064541179144</v>
      </c>
      <c r="T3308" s="18">
        <f>S3308/Explications!$C$8</f>
        <v>8.6526881803930478E-2</v>
      </c>
    </row>
    <row r="3309" spans="7:20">
      <c r="G3309" s="7" t="s">
        <v>75</v>
      </c>
      <c r="H3309" s="7" t="s">
        <v>79</v>
      </c>
      <c r="I3309" s="7">
        <v>46.814399999999999</v>
      </c>
      <c r="J3309" s="7">
        <v>-71.225700000000003</v>
      </c>
      <c r="K3309" s="7">
        <v>46.822000000000003</v>
      </c>
      <c r="L3309" s="7">
        <v>-71.345699999999994</v>
      </c>
      <c r="M3309" s="10" t="str">
        <f t="shared" si="311"/>
        <v>C59</v>
      </c>
      <c r="N3309" s="10" t="str">
        <f t="shared" si="312"/>
        <v>C63</v>
      </c>
      <c r="O3309" s="5">
        <f t="shared" si="313"/>
        <v>9.170111417640646</v>
      </c>
      <c r="P3309" s="22">
        <f>O3309/Explications!$C$8</f>
        <v>0.30567038058802154</v>
      </c>
      <c r="Q3309" s="7" t="str">
        <f t="shared" si="314"/>
        <v>C63</v>
      </c>
      <c r="R3309" s="7" t="str">
        <f t="shared" si="315"/>
        <v>C59</v>
      </c>
      <c r="S3309" s="18">
        <f t="shared" si="316"/>
        <v>9.170111417640646</v>
      </c>
      <c r="T3309" s="18">
        <f>S3309/Explications!$C$8</f>
        <v>0.30567038058802154</v>
      </c>
    </row>
    <row r="3310" spans="7:20">
      <c r="G3310" s="7" t="s">
        <v>75</v>
      </c>
      <c r="H3310" s="7" t="s">
        <v>80</v>
      </c>
      <c r="I3310" s="7">
        <v>46.814399999999999</v>
      </c>
      <c r="J3310" s="7">
        <v>-71.225700000000003</v>
      </c>
      <c r="K3310" s="7">
        <v>46.779400000000003</v>
      </c>
      <c r="L3310" s="7">
        <v>-71.350399999999993</v>
      </c>
      <c r="M3310" s="10" t="str">
        <f t="shared" si="311"/>
        <v>C59</v>
      </c>
      <c r="N3310" s="10" t="str">
        <f t="shared" si="312"/>
        <v>C64</v>
      </c>
      <c r="O3310" s="5">
        <f t="shared" si="313"/>
        <v>10.259311216095542</v>
      </c>
      <c r="P3310" s="22">
        <f>O3310/Explications!$C$8</f>
        <v>0.34197704053651806</v>
      </c>
      <c r="Q3310" s="7" t="str">
        <f t="shared" si="314"/>
        <v>C64</v>
      </c>
      <c r="R3310" s="7" t="str">
        <f t="shared" si="315"/>
        <v>C59</v>
      </c>
      <c r="S3310" s="18">
        <f t="shared" si="316"/>
        <v>10.259311216095542</v>
      </c>
      <c r="T3310" s="18">
        <f>S3310/Explications!$C$8</f>
        <v>0.34197704053651806</v>
      </c>
    </row>
    <row r="3311" spans="7:20">
      <c r="G3311" s="7" t="s">
        <v>75</v>
      </c>
      <c r="H3311" s="7" t="s">
        <v>81</v>
      </c>
      <c r="I3311" s="7">
        <v>46.814399999999999</v>
      </c>
      <c r="J3311" s="7">
        <v>-71.225700000000003</v>
      </c>
      <c r="K3311" s="7">
        <v>46.772300000000001</v>
      </c>
      <c r="L3311" s="7">
        <v>-71.279799999999994</v>
      </c>
      <c r="M3311" s="10" t="str">
        <f t="shared" si="311"/>
        <v>C59</v>
      </c>
      <c r="N3311" s="10" t="str">
        <f t="shared" si="312"/>
        <v>C65</v>
      </c>
      <c r="O3311" s="5">
        <f t="shared" si="313"/>
        <v>6.2351168207855334</v>
      </c>
      <c r="P3311" s="22">
        <f>O3311/Explications!$C$8</f>
        <v>0.20783722735951779</v>
      </c>
      <c r="Q3311" s="7" t="str">
        <f t="shared" si="314"/>
        <v>C65</v>
      </c>
      <c r="R3311" s="7" t="str">
        <f t="shared" si="315"/>
        <v>C59</v>
      </c>
      <c r="S3311" s="18">
        <f t="shared" si="316"/>
        <v>6.2351168207855334</v>
      </c>
      <c r="T3311" s="18">
        <f>S3311/Explications!$C$8</f>
        <v>0.20783722735951779</v>
      </c>
    </row>
    <row r="3312" spans="7:20">
      <c r="G3312" s="7" t="s">
        <v>75</v>
      </c>
      <c r="H3312" s="7" t="s">
        <v>82</v>
      </c>
      <c r="I3312" s="7">
        <v>46.814399999999999</v>
      </c>
      <c r="J3312" s="7">
        <v>-71.225700000000003</v>
      </c>
      <c r="K3312" s="7">
        <v>46.814900000000002</v>
      </c>
      <c r="L3312" s="7">
        <v>-71.225200000000001</v>
      </c>
      <c r="M3312" s="10" t="str">
        <f t="shared" si="311"/>
        <v>C59</v>
      </c>
      <c r="N3312" s="10" t="str">
        <f t="shared" si="312"/>
        <v>C66</v>
      </c>
      <c r="O3312" s="5">
        <f t="shared" si="313"/>
        <v>6.7370491562104062E-2</v>
      </c>
      <c r="P3312" s="22">
        <f>O3312/Explications!$C$8</f>
        <v>2.2456830520701356E-3</v>
      </c>
      <c r="Q3312" s="7" t="str">
        <f t="shared" si="314"/>
        <v>C66</v>
      </c>
      <c r="R3312" s="7" t="str">
        <f t="shared" si="315"/>
        <v>C59</v>
      </c>
      <c r="S3312" s="18">
        <f t="shared" si="316"/>
        <v>6.7370491562104062E-2</v>
      </c>
      <c r="T3312" s="18">
        <f>S3312/Explications!$C$8</f>
        <v>2.2456830520701356E-3</v>
      </c>
    </row>
    <row r="3313" spans="7:20">
      <c r="G3313" s="7" t="s">
        <v>75</v>
      </c>
      <c r="H3313" s="7" t="s">
        <v>83</v>
      </c>
      <c r="I3313" s="7">
        <v>46.814399999999999</v>
      </c>
      <c r="J3313" s="7">
        <v>-71.225700000000003</v>
      </c>
      <c r="K3313" s="7">
        <v>46.814700000000002</v>
      </c>
      <c r="L3313" s="7">
        <v>-71.207300000000004</v>
      </c>
      <c r="M3313" s="10" t="str">
        <f t="shared" si="311"/>
        <v>C59</v>
      </c>
      <c r="N3313" s="10" t="str">
        <f t="shared" si="312"/>
        <v>C67</v>
      </c>
      <c r="O3313" s="5">
        <f t="shared" si="313"/>
        <v>1.4005927541282588</v>
      </c>
      <c r="P3313" s="22">
        <f>O3313/Explications!$C$8</f>
        <v>4.6686425137608629E-2</v>
      </c>
      <c r="Q3313" s="7" t="str">
        <f t="shared" si="314"/>
        <v>C67</v>
      </c>
      <c r="R3313" s="7" t="str">
        <f t="shared" si="315"/>
        <v>C59</v>
      </c>
      <c r="S3313" s="18">
        <f t="shared" si="316"/>
        <v>1.4005927541282588</v>
      </c>
      <c r="T3313" s="18">
        <f>S3313/Explications!$C$8</f>
        <v>4.6686425137608629E-2</v>
      </c>
    </row>
    <row r="3314" spans="7:20">
      <c r="G3314" s="7" t="s">
        <v>75</v>
      </c>
      <c r="H3314" s="7" t="s">
        <v>84</v>
      </c>
      <c r="I3314" s="7">
        <v>46.814399999999999</v>
      </c>
      <c r="J3314" s="7">
        <v>-71.225700000000003</v>
      </c>
      <c r="K3314" s="7">
        <v>46.815600000000003</v>
      </c>
      <c r="L3314" s="7">
        <v>-71.2029</v>
      </c>
      <c r="M3314" s="10" t="str">
        <f t="shared" si="311"/>
        <v>C59</v>
      </c>
      <c r="N3314" s="10" t="str">
        <f t="shared" si="312"/>
        <v>C68</v>
      </c>
      <c r="O3314" s="5">
        <f t="shared" si="313"/>
        <v>1.7401336821073756</v>
      </c>
      <c r="P3314" s="22">
        <f>O3314/Explications!$C$8</f>
        <v>5.8004456070245854E-2</v>
      </c>
      <c r="Q3314" s="7" t="str">
        <f t="shared" si="314"/>
        <v>C68</v>
      </c>
      <c r="R3314" s="7" t="str">
        <f t="shared" si="315"/>
        <v>C59</v>
      </c>
      <c r="S3314" s="18">
        <f t="shared" si="316"/>
        <v>1.7401336821073756</v>
      </c>
      <c r="T3314" s="18">
        <f>S3314/Explications!$C$8</f>
        <v>5.8004456070245854E-2</v>
      </c>
    </row>
    <row r="3315" spans="7:20">
      <c r="G3315" s="7" t="s">
        <v>75</v>
      </c>
      <c r="H3315" s="7" t="s">
        <v>85</v>
      </c>
      <c r="I3315" s="7">
        <v>46.814399999999999</v>
      </c>
      <c r="J3315" s="7">
        <v>-71.225700000000003</v>
      </c>
      <c r="K3315" s="7">
        <v>46.821899999999999</v>
      </c>
      <c r="L3315" s="7">
        <v>-71.249899999999997</v>
      </c>
      <c r="M3315" s="10" t="str">
        <f t="shared" si="311"/>
        <v>C59</v>
      </c>
      <c r="N3315" s="10" t="str">
        <f t="shared" si="312"/>
        <v>C69</v>
      </c>
      <c r="O3315" s="5">
        <f t="shared" si="313"/>
        <v>2.0214813438162667</v>
      </c>
      <c r="P3315" s="22">
        <f>O3315/Explications!$C$8</f>
        <v>6.7382711460542227E-2</v>
      </c>
      <c r="Q3315" s="7" t="str">
        <f t="shared" si="314"/>
        <v>C69</v>
      </c>
      <c r="R3315" s="7" t="str">
        <f t="shared" si="315"/>
        <v>C59</v>
      </c>
      <c r="S3315" s="18">
        <f t="shared" si="316"/>
        <v>2.0214813438162667</v>
      </c>
      <c r="T3315" s="18">
        <f>S3315/Explications!$C$8</f>
        <v>6.7382711460542227E-2</v>
      </c>
    </row>
    <row r="3316" spans="7:20">
      <c r="G3316" s="7" t="s">
        <v>75</v>
      </c>
      <c r="H3316" s="7" t="s">
        <v>86</v>
      </c>
      <c r="I3316" s="7">
        <v>46.814399999999999</v>
      </c>
      <c r="J3316" s="7">
        <v>-71.225700000000003</v>
      </c>
      <c r="K3316" s="7">
        <v>46.8872</v>
      </c>
      <c r="L3316" s="7">
        <v>-71.27</v>
      </c>
      <c r="M3316" s="10" t="str">
        <f t="shared" si="311"/>
        <v>C59</v>
      </c>
      <c r="N3316" s="10" t="str">
        <f t="shared" si="312"/>
        <v>C70</v>
      </c>
      <c r="O3316" s="5">
        <f t="shared" si="313"/>
        <v>8.7680108735699633</v>
      </c>
      <c r="P3316" s="22">
        <f>O3316/Explications!$C$8</f>
        <v>0.29226702911899877</v>
      </c>
      <c r="Q3316" s="7" t="str">
        <f t="shared" si="314"/>
        <v>C70</v>
      </c>
      <c r="R3316" s="7" t="str">
        <f t="shared" si="315"/>
        <v>C59</v>
      </c>
      <c r="S3316" s="18">
        <f t="shared" si="316"/>
        <v>8.7680108735699633</v>
      </c>
      <c r="T3316" s="18">
        <f>S3316/Explications!$C$8</f>
        <v>0.29226702911899877</v>
      </c>
    </row>
    <row r="3317" spans="7:20">
      <c r="G3317" s="7" t="s">
        <v>75</v>
      </c>
      <c r="H3317" s="7" t="s">
        <v>87</v>
      </c>
      <c r="I3317" s="7">
        <v>46.814399999999999</v>
      </c>
      <c r="J3317" s="7">
        <v>-71.225700000000003</v>
      </c>
      <c r="K3317" s="7">
        <v>46.816299999999998</v>
      </c>
      <c r="L3317" s="7">
        <v>-71.210300000000004</v>
      </c>
      <c r="M3317" s="10" t="str">
        <f t="shared" si="311"/>
        <v>C59</v>
      </c>
      <c r="N3317" s="10" t="str">
        <f t="shared" si="312"/>
        <v>C71</v>
      </c>
      <c r="O3317" s="5">
        <f t="shared" si="313"/>
        <v>1.1907771641731373</v>
      </c>
      <c r="P3317" s="22">
        <f>O3317/Explications!$C$8</f>
        <v>3.9692572139104577E-2</v>
      </c>
      <c r="Q3317" s="7" t="str">
        <f t="shared" si="314"/>
        <v>C71</v>
      </c>
      <c r="R3317" s="7" t="str">
        <f t="shared" si="315"/>
        <v>C59</v>
      </c>
      <c r="S3317" s="18">
        <f t="shared" si="316"/>
        <v>1.1907771641731373</v>
      </c>
      <c r="T3317" s="18">
        <f>S3317/Explications!$C$8</f>
        <v>3.9692572139104577E-2</v>
      </c>
    </row>
    <row r="3318" spans="7:20">
      <c r="G3318" s="7" t="s">
        <v>75</v>
      </c>
      <c r="H3318" s="7" t="s">
        <v>88</v>
      </c>
      <c r="I3318" s="7">
        <v>46.814399999999999</v>
      </c>
      <c r="J3318" s="7">
        <v>-71.225700000000003</v>
      </c>
      <c r="K3318" s="7">
        <v>46.807000000000002</v>
      </c>
      <c r="L3318" s="7">
        <v>-71.3566</v>
      </c>
      <c r="M3318" s="10" t="str">
        <f t="shared" si="311"/>
        <v>C59</v>
      </c>
      <c r="N3318" s="10" t="str">
        <f t="shared" si="312"/>
        <v>C72</v>
      </c>
      <c r="O3318" s="5">
        <f t="shared" si="313"/>
        <v>9.995810215908417</v>
      </c>
      <c r="P3318" s="22">
        <f>O3318/Explications!$C$8</f>
        <v>0.33319367386361393</v>
      </c>
      <c r="Q3318" s="7" t="str">
        <f t="shared" si="314"/>
        <v>C72</v>
      </c>
      <c r="R3318" s="7" t="str">
        <f t="shared" si="315"/>
        <v>C59</v>
      </c>
      <c r="S3318" s="18">
        <f t="shared" si="316"/>
        <v>9.995810215908417</v>
      </c>
      <c r="T3318" s="18">
        <f>S3318/Explications!$C$8</f>
        <v>0.33319367386361393</v>
      </c>
    </row>
    <row r="3319" spans="7:20">
      <c r="G3319" s="7" t="s">
        <v>75</v>
      </c>
      <c r="H3319" s="7" t="s">
        <v>89</v>
      </c>
      <c r="I3319" s="7">
        <v>46.814399999999999</v>
      </c>
      <c r="J3319" s="7">
        <v>-71.225700000000003</v>
      </c>
      <c r="K3319" s="7">
        <v>46.822899999999997</v>
      </c>
      <c r="L3319" s="7">
        <v>-71.341899999999995</v>
      </c>
      <c r="M3319" s="10" t="str">
        <f t="shared" si="311"/>
        <v>C59</v>
      </c>
      <c r="N3319" s="10" t="str">
        <f t="shared" si="312"/>
        <v>C73</v>
      </c>
      <c r="O3319" s="5">
        <f t="shared" si="313"/>
        <v>8.8922366974151963</v>
      </c>
      <c r="P3319" s="22">
        <f>O3319/Explications!$C$8</f>
        <v>0.29640788991383987</v>
      </c>
      <c r="Q3319" s="7" t="str">
        <f t="shared" si="314"/>
        <v>C73</v>
      </c>
      <c r="R3319" s="7" t="str">
        <f t="shared" si="315"/>
        <v>C59</v>
      </c>
      <c r="S3319" s="18">
        <f t="shared" si="316"/>
        <v>8.8922366974151963</v>
      </c>
      <c r="T3319" s="18">
        <f>S3319/Explications!$C$8</f>
        <v>0.29640788991383987</v>
      </c>
    </row>
    <row r="3320" spans="7:20">
      <c r="G3320" s="7" t="s">
        <v>75</v>
      </c>
      <c r="H3320" s="7" t="s">
        <v>90</v>
      </c>
      <c r="I3320" s="7">
        <v>46.814399999999999</v>
      </c>
      <c r="J3320" s="7">
        <v>-71.225700000000003</v>
      </c>
      <c r="K3320" s="7">
        <v>46.730699999999999</v>
      </c>
      <c r="L3320" s="7">
        <v>-71.261099999999999</v>
      </c>
      <c r="M3320" s="10" t="str">
        <f t="shared" si="311"/>
        <v>C59</v>
      </c>
      <c r="N3320" s="10" t="str">
        <f t="shared" si="312"/>
        <v>C74</v>
      </c>
      <c r="O3320" s="5">
        <f t="shared" si="313"/>
        <v>9.6896189697747293</v>
      </c>
      <c r="P3320" s="22">
        <f>O3320/Explications!$C$8</f>
        <v>0.32298729899249096</v>
      </c>
      <c r="Q3320" s="7" t="str">
        <f t="shared" si="314"/>
        <v>C74</v>
      </c>
      <c r="R3320" s="7" t="str">
        <f t="shared" si="315"/>
        <v>C59</v>
      </c>
      <c r="S3320" s="18">
        <f t="shared" si="316"/>
        <v>9.6896189697747293</v>
      </c>
      <c r="T3320" s="18">
        <f>S3320/Explications!$C$8</f>
        <v>0.32298729899249096</v>
      </c>
    </row>
    <row r="3321" spans="7:20">
      <c r="G3321" s="7" t="s">
        <v>75</v>
      </c>
      <c r="H3321" s="7" t="s">
        <v>91</v>
      </c>
      <c r="I3321" s="7">
        <v>46.814399999999999</v>
      </c>
      <c r="J3321" s="7">
        <v>-71.225700000000003</v>
      </c>
      <c r="K3321" s="7">
        <v>46.840600000000002</v>
      </c>
      <c r="L3321" s="7">
        <v>-71.289100000000005</v>
      </c>
      <c r="M3321" s="10" t="str">
        <f t="shared" si="311"/>
        <v>C59</v>
      </c>
      <c r="N3321" s="10" t="str">
        <f t="shared" si="312"/>
        <v>C75</v>
      </c>
      <c r="O3321" s="5">
        <f t="shared" si="313"/>
        <v>5.6349604686695027</v>
      </c>
      <c r="P3321" s="22">
        <f>O3321/Explications!$C$8</f>
        <v>0.18783201562231674</v>
      </c>
      <c r="Q3321" s="7" t="str">
        <f t="shared" si="314"/>
        <v>C75</v>
      </c>
      <c r="R3321" s="7" t="str">
        <f t="shared" si="315"/>
        <v>C59</v>
      </c>
      <c r="S3321" s="18">
        <f t="shared" si="316"/>
        <v>5.6349604686695027</v>
      </c>
      <c r="T3321" s="18">
        <f>S3321/Explications!$C$8</f>
        <v>0.18783201562231674</v>
      </c>
    </row>
    <row r="3322" spans="7:20">
      <c r="G3322" s="7" t="s">
        <v>75</v>
      </c>
      <c r="H3322" s="7" t="s">
        <v>92</v>
      </c>
      <c r="I3322" s="7">
        <v>46.814399999999999</v>
      </c>
      <c r="J3322" s="7">
        <v>-71.225700000000003</v>
      </c>
      <c r="K3322" s="7">
        <v>46.840600000000002</v>
      </c>
      <c r="L3322" s="7">
        <v>-71.281599999999997</v>
      </c>
      <c r="M3322" s="10" t="str">
        <f t="shared" si="311"/>
        <v>C59</v>
      </c>
      <c r="N3322" s="10" t="str">
        <f t="shared" si="312"/>
        <v>C76</v>
      </c>
      <c r="O3322" s="5">
        <f t="shared" si="313"/>
        <v>5.1549898535602487</v>
      </c>
      <c r="P3322" s="22">
        <f>O3322/Explications!$C$8</f>
        <v>0.17183299511867495</v>
      </c>
      <c r="Q3322" s="7" t="str">
        <f t="shared" si="314"/>
        <v>C76</v>
      </c>
      <c r="R3322" s="7" t="str">
        <f t="shared" si="315"/>
        <v>C59</v>
      </c>
      <c r="S3322" s="18">
        <f t="shared" si="316"/>
        <v>5.1549898535602487</v>
      </c>
      <c r="T3322" s="18">
        <f>S3322/Explications!$C$8</f>
        <v>0.17183299511867495</v>
      </c>
    </row>
    <row r="3323" spans="7:20">
      <c r="G3323" s="7" t="s">
        <v>75</v>
      </c>
      <c r="H3323" s="7" t="s">
        <v>93</v>
      </c>
      <c r="I3323" s="7">
        <v>46.814399999999999</v>
      </c>
      <c r="J3323" s="7">
        <v>-71.225700000000003</v>
      </c>
      <c r="K3323" s="7">
        <v>46.839399999999998</v>
      </c>
      <c r="L3323" s="7">
        <v>-71.282600000000002</v>
      </c>
      <c r="M3323" s="10" t="str">
        <f t="shared" si="311"/>
        <v>C59</v>
      </c>
      <c r="N3323" s="10" t="str">
        <f t="shared" si="312"/>
        <v>C77</v>
      </c>
      <c r="O3323" s="5">
        <f t="shared" si="313"/>
        <v>5.1446640093003824</v>
      </c>
      <c r="P3323" s="22">
        <f>O3323/Explications!$C$8</f>
        <v>0.17148880031001273</v>
      </c>
      <c r="Q3323" s="7" t="str">
        <f t="shared" si="314"/>
        <v>C77</v>
      </c>
      <c r="R3323" s="7" t="str">
        <f t="shared" si="315"/>
        <v>C59</v>
      </c>
      <c r="S3323" s="18">
        <f t="shared" si="316"/>
        <v>5.1446640093003824</v>
      </c>
      <c r="T3323" s="18">
        <f>S3323/Explications!$C$8</f>
        <v>0.17148880031001273</v>
      </c>
    </row>
    <row r="3324" spans="7:20">
      <c r="G3324" s="7" t="s">
        <v>75</v>
      </c>
      <c r="H3324" s="7" t="s">
        <v>94</v>
      </c>
      <c r="I3324" s="7">
        <v>46.814399999999999</v>
      </c>
      <c r="J3324" s="7">
        <v>-71.225700000000003</v>
      </c>
      <c r="K3324" s="7">
        <v>46.788499999999999</v>
      </c>
      <c r="L3324" s="7">
        <v>-71.282399999999996</v>
      </c>
      <c r="M3324" s="10" t="str">
        <f t="shared" si="311"/>
        <v>C59</v>
      </c>
      <c r="N3324" s="10" t="str">
        <f t="shared" si="312"/>
        <v>C78</v>
      </c>
      <c r="O3324" s="5">
        <f t="shared" si="313"/>
        <v>5.1884574091291764</v>
      </c>
      <c r="P3324" s="22">
        <f>O3324/Explications!$C$8</f>
        <v>0.17294858030430588</v>
      </c>
      <c r="Q3324" s="7" t="str">
        <f t="shared" si="314"/>
        <v>C78</v>
      </c>
      <c r="R3324" s="7" t="str">
        <f t="shared" si="315"/>
        <v>C59</v>
      </c>
      <c r="S3324" s="18">
        <f t="shared" si="316"/>
        <v>5.1884574091291764</v>
      </c>
      <c r="T3324" s="18">
        <f>S3324/Explications!$C$8</f>
        <v>0.17294858030430588</v>
      </c>
    </row>
    <row r="3325" spans="7:20">
      <c r="G3325" s="7" t="s">
        <v>75</v>
      </c>
      <c r="H3325" s="7" t="s">
        <v>95</v>
      </c>
      <c r="I3325" s="7">
        <v>46.814399999999999</v>
      </c>
      <c r="J3325" s="7">
        <v>-71.225700000000003</v>
      </c>
      <c r="K3325" s="7">
        <v>46.840699999999998</v>
      </c>
      <c r="L3325" s="7">
        <v>-71.325400000000002</v>
      </c>
      <c r="M3325" s="10" t="str">
        <f t="shared" si="311"/>
        <v>C59</v>
      </c>
      <c r="N3325" s="10" t="str">
        <f t="shared" si="312"/>
        <v>C79</v>
      </c>
      <c r="O3325" s="5">
        <f t="shared" si="313"/>
        <v>8.1293243610348132</v>
      </c>
      <c r="P3325" s="22">
        <f>O3325/Explications!$C$8</f>
        <v>0.27097747870116046</v>
      </c>
      <c r="Q3325" s="7" t="str">
        <f t="shared" si="314"/>
        <v>C79</v>
      </c>
      <c r="R3325" s="7" t="str">
        <f t="shared" si="315"/>
        <v>C59</v>
      </c>
      <c r="S3325" s="18">
        <f t="shared" si="316"/>
        <v>8.1293243610348132</v>
      </c>
      <c r="T3325" s="18">
        <f>S3325/Explications!$C$8</f>
        <v>0.27097747870116046</v>
      </c>
    </row>
    <row r="3326" spans="7:20">
      <c r="G3326" s="7" t="s">
        <v>75</v>
      </c>
      <c r="H3326" s="7" t="s">
        <v>96</v>
      </c>
      <c r="I3326" s="7">
        <v>46.814399999999999</v>
      </c>
      <c r="J3326" s="7">
        <v>-71.225700000000003</v>
      </c>
      <c r="K3326" s="7">
        <v>46.798400000000001</v>
      </c>
      <c r="L3326" s="7">
        <v>-71.183199999999999</v>
      </c>
      <c r="M3326" s="10" t="str">
        <f t="shared" si="311"/>
        <v>C59</v>
      </c>
      <c r="N3326" s="10" t="str">
        <f t="shared" si="312"/>
        <v>C80</v>
      </c>
      <c r="O3326" s="5">
        <f t="shared" si="313"/>
        <v>3.6916312165440184</v>
      </c>
      <c r="P3326" s="22">
        <f>O3326/Explications!$C$8</f>
        <v>0.12305437388480062</v>
      </c>
      <c r="Q3326" s="7" t="str">
        <f t="shared" si="314"/>
        <v>C80</v>
      </c>
      <c r="R3326" s="7" t="str">
        <f t="shared" si="315"/>
        <v>C59</v>
      </c>
      <c r="S3326" s="18">
        <f t="shared" si="316"/>
        <v>3.6916312165440184</v>
      </c>
      <c r="T3326" s="18">
        <f>S3326/Explications!$C$8</f>
        <v>0.12305437388480062</v>
      </c>
    </row>
    <row r="3327" spans="7:20">
      <c r="G3327" s="7" t="s">
        <v>75</v>
      </c>
      <c r="H3327" s="7" t="s">
        <v>97</v>
      </c>
      <c r="I3327" s="7">
        <v>46.814399999999999</v>
      </c>
      <c r="J3327" s="7">
        <v>-71.225700000000003</v>
      </c>
      <c r="K3327" s="7">
        <v>46.724800000000002</v>
      </c>
      <c r="L3327" s="7">
        <v>-71.2988</v>
      </c>
      <c r="M3327" s="10" t="str">
        <f t="shared" si="311"/>
        <v>C59</v>
      </c>
      <c r="N3327" s="10" t="str">
        <f t="shared" si="312"/>
        <v>C81</v>
      </c>
      <c r="O3327" s="5">
        <f t="shared" si="313"/>
        <v>11.413079046529045</v>
      </c>
      <c r="P3327" s="22">
        <f>O3327/Explications!$C$8</f>
        <v>0.38043596821763487</v>
      </c>
      <c r="Q3327" s="7" t="str">
        <f t="shared" si="314"/>
        <v>C81</v>
      </c>
      <c r="R3327" s="7" t="str">
        <f t="shared" si="315"/>
        <v>C59</v>
      </c>
      <c r="S3327" s="18">
        <f t="shared" si="316"/>
        <v>11.413079046529045</v>
      </c>
      <c r="T3327" s="18">
        <f>S3327/Explications!$C$8</f>
        <v>0.38043596821763487</v>
      </c>
    </row>
    <row r="3328" spans="7:20">
      <c r="G3328" s="7" t="s">
        <v>75</v>
      </c>
      <c r="H3328" s="7" t="s">
        <v>98</v>
      </c>
      <c r="I3328" s="7">
        <v>46.814399999999999</v>
      </c>
      <c r="J3328" s="7">
        <v>-71.225700000000003</v>
      </c>
      <c r="K3328" s="7">
        <v>46.795499999999997</v>
      </c>
      <c r="L3328" s="7">
        <v>-71.242900000000006</v>
      </c>
      <c r="M3328" s="10" t="str">
        <f t="shared" si="311"/>
        <v>C59</v>
      </c>
      <c r="N3328" s="10" t="str">
        <f t="shared" si="312"/>
        <v>C82</v>
      </c>
      <c r="O3328" s="5">
        <f t="shared" si="313"/>
        <v>2.4759704971169123</v>
      </c>
      <c r="P3328" s="22">
        <f>O3328/Explications!$C$8</f>
        <v>8.2532349903897073E-2</v>
      </c>
      <c r="Q3328" s="7" t="str">
        <f t="shared" si="314"/>
        <v>C82</v>
      </c>
      <c r="R3328" s="7" t="str">
        <f t="shared" si="315"/>
        <v>C59</v>
      </c>
      <c r="S3328" s="18">
        <f t="shared" si="316"/>
        <v>2.4759704971169123</v>
      </c>
      <c r="T3328" s="18">
        <f>S3328/Explications!$C$8</f>
        <v>8.2532349903897073E-2</v>
      </c>
    </row>
    <row r="3329" spans="7:20">
      <c r="G3329" s="7" t="s">
        <v>75</v>
      </c>
      <c r="H3329" s="7" t="s">
        <v>99</v>
      </c>
      <c r="I3329" s="7">
        <v>46.814399999999999</v>
      </c>
      <c r="J3329" s="7">
        <v>-71.225700000000003</v>
      </c>
      <c r="K3329" s="7">
        <v>46.8157</v>
      </c>
      <c r="L3329" s="7">
        <v>-71.201899999999995</v>
      </c>
      <c r="M3329" s="10" t="str">
        <f t="shared" si="311"/>
        <v>C59</v>
      </c>
      <c r="N3329" s="10" t="str">
        <f t="shared" si="312"/>
        <v>C83</v>
      </c>
      <c r="O3329" s="5">
        <f t="shared" si="313"/>
        <v>1.8168651311443995</v>
      </c>
      <c r="P3329" s="22">
        <f>O3329/Explications!$C$8</f>
        <v>6.056217103814665E-2</v>
      </c>
      <c r="Q3329" s="7" t="str">
        <f t="shared" si="314"/>
        <v>C83</v>
      </c>
      <c r="R3329" s="7" t="str">
        <f t="shared" si="315"/>
        <v>C59</v>
      </c>
      <c r="S3329" s="18">
        <f t="shared" si="316"/>
        <v>1.8168651311443995</v>
      </c>
      <c r="T3329" s="18">
        <f>S3329/Explications!$C$8</f>
        <v>6.056217103814665E-2</v>
      </c>
    </row>
    <row r="3330" spans="7:20">
      <c r="G3330" s="7" t="s">
        <v>75</v>
      </c>
      <c r="H3330" s="7" t="s">
        <v>100</v>
      </c>
      <c r="I3330" s="7">
        <v>46.814399999999999</v>
      </c>
      <c r="J3330" s="7">
        <v>-71.225700000000003</v>
      </c>
      <c r="K3330" s="7">
        <v>46.837600000000002</v>
      </c>
      <c r="L3330" s="7">
        <v>-71.196299999999994</v>
      </c>
      <c r="M3330" s="10" t="str">
        <f t="shared" si="311"/>
        <v>C59</v>
      </c>
      <c r="N3330" s="10" t="str">
        <f t="shared" si="312"/>
        <v>C84</v>
      </c>
      <c r="O3330" s="5">
        <f t="shared" si="313"/>
        <v>3.4144116724485336</v>
      </c>
      <c r="P3330" s="22">
        <f>O3330/Explications!$C$8</f>
        <v>0.11381372241495112</v>
      </c>
      <c r="Q3330" s="7" t="str">
        <f t="shared" si="314"/>
        <v>C84</v>
      </c>
      <c r="R3330" s="7" t="str">
        <f t="shared" si="315"/>
        <v>C59</v>
      </c>
      <c r="S3330" s="18">
        <f t="shared" si="316"/>
        <v>3.4144116724485336</v>
      </c>
      <c r="T3330" s="18">
        <f>S3330/Explications!$C$8</f>
        <v>0.11381372241495112</v>
      </c>
    </row>
    <row r="3331" spans="7:20">
      <c r="G3331" s="7" t="s">
        <v>75</v>
      </c>
      <c r="H3331" s="7" t="s">
        <v>101</v>
      </c>
      <c r="I3331" s="7">
        <v>46.814399999999999</v>
      </c>
      <c r="J3331" s="7">
        <v>-71.225700000000003</v>
      </c>
      <c r="K3331" s="7">
        <v>46.7988</v>
      </c>
      <c r="L3331" s="7">
        <v>-71.318200000000004</v>
      </c>
      <c r="M3331" s="10" t="str">
        <f t="shared" si="311"/>
        <v>C59</v>
      </c>
      <c r="N3331" s="10" t="str">
        <f t="shared" si="312"/>
        <v>C85</v>
      </c>
      <c r="O3331" s="5">
        <f t="shared" si="313"/>
        <v>7.2506212724978507</v>
      </c>
      <c r="P3331" s="22">
        <f>O3331/Explications!$C$8</f>
        <v>0.24168737574992835</v>
      </c>
      <c r="Q3331" s="7" t="str">
        <f t="shared" si="314"/>
        <v>C85</v>
      </c>
      <c r="R3331" s="7" t="str">
        <f t="shared" si="315"/>
        <v>C59</v>
      </c>
      <c r="S3331" s="18">
        <f t="shared" si="316"/>
        <v>7.2506212724978507</v>
      </c>
      <c r="T3331" s="18">
        <f>S3331/Explications!$C$8</f>
        <v>0.24168737574992835</v>
      </c>
    </row>
    <row r="3332" spans="7:20">
      <c r="G3332" s="7" t="s">
        <v>76</v>
      </c>
      <c r="H3332" s="7" t="s">
        <v>77</v>
      </c>
      <c r="I3332" s="7">
        <v>46.772500000000001</v>
      </c>
      <c r="J3332" s="7">
        <v>-71.276300000000006</v>
      </c>
      <c r="K3332" s="7">
        <v>46.810899999999997</v>
      </c>
      <c r="L3332" s="7">
        <v>-71.215599999999995</v>
      </c>
      <c r="M3332" s="10" t="str">
        <f t="shared" ref="M3332:M3395" si="317">G3332</f>
        <v>C60</v>
      </c>
      <c r="N3332" s="10" t="str">
        <f t="shared" ref="N3332:N3395" si="318">H3332</f>
        <v>C61</v>
      </c>
      <c r="O3332" s="5">
        <f t="shared" ref="O3332:O3395" si="319">ACOS(SIN(RADIANS(I3332))*SIN(RADIANS(K3332))+COS(RADIANS(I3332))*COS(RADIANS(K3332))*COS(RADIANS(J3332-L3332)))*6371</f>
        <v>6.2917679981932908</v>
      </c>
      <c r="P3332" s="22">
        <f>O3332/Explications!$C$8</f>
        <v>0.20972559993977635</v>
      </c>
      <c r="Q3332" s="7" t="str">
        <f t="shared" ref="Q3332:Q3395" si="320">N3332</f>
        <v>C61</v>
      </c>
      <c r="R3332" s="7" t="str">
        <f t="shared" ref="R3332:R3395" si="321">M3332</f>
        <v>C60</v>
      </c>
      <c r="S3332" s="18">
        <f t="shared" ref="S3332:S3395" si="322">O3332</f>
        <v>6.2917679981932908</v>
      </c>
      <c r="T3332" s="18">
        <f>S3332/Explications!$C$8</f>
        <v>0.20972559993977635</v>
      </c>
    </row>
    <row r="3333" spans="7:20">
      <c r="G3333" s="7" t="s">
        <v>76</v>
      </c>
      <c r="H3333" s="7" t="s">
        <v>78</v>
      </c>
      <c r="I3333" s="7">
        <v>46.772500000000001</v>
      </c>
      <c r="J3333" s="7">
        <v>-71.276300000000006</v>
      </c>
      <c r="K3333" s="7">
        <v>46.795200000000001</v>
      </c>
      <c r="L3333" s="7">
        <v>-71.245099999999994</v>
      </c>
      <c r="M3333" s="10" t="str">
        <f t="shared" si="317"/>
        <v>C60</v>
      </c>
      <c r="N3333" s="10" t="str">
        <f t="shared" si="318"/>
        <v>C62</v>
      </c>
      <c r="O3333" s="5">
        <f t="shared" si="319"/>
        <v>3.4662196720974574</v>
      </c>
      <c r="P3333" s="22">
        <f>O3333/Explications!$C$8</f>
        <v>0.11554065573658191</v>
      </c>
      <c r="Q3333" s="7" t="str">
        <f t="shared" si="320"/>
        <v>C62</v>
      </c>
      <c r="R3333" s="7" t="str">
        <f t="shared" si="321"/>
        <v>C60</v>
      </c>
      <c r="S3333" s="18">
        <f t="shared" si="322"/>
        <v>3.4662196720974574</v>
      </c>
      <c r="T3333" s="18">
        <f>S3333/Explications!$C$8</f>
        <v>0.11554065573658191</v>
      </c>
    </row>
    <row r="3334" spans="7:20">
      <c r="G3334" s="7" t="s">
        <v>76</v>
      </c>
      <c r="H3334" s="7" t="s">
        <v>79</v>
      </c>
      <c r="I3334" s="7">
        <v>46.772500000000001</v>
      </c>
      <c r="J3334" s="7">
        <v>-71.276300000000006</v>
      </c>
      <c r="K3334" s="7">
        <v>46.822000000000003</v>
      </c>
      <c r="L3334" s="7">
        <v>-71.345699999999994</v>
      </c>
      <c r="M3334" s="10" t="str">
        <f t="shared" si="317"/>
        <v>C60</v>
      </c>
      <c r="N3334" s="10" t="str">
        <f t="shared" si="318"/>
        <v>C63</v>
      </c>
      <c r="O3334" s="5">
        <f t="shared" si="319"/>
        <v>7.629178705471058</v>
      </c>
      <c r="P3334" s="22">
        <f>O3334/Explications!$C$8</f>
        <v>0.25430595684903529</v>
      </c>
      <c r="Q3334" s="7" t="str">
        <f t="shared" si="320"/>
        <v>C63</v>
      </c>
      <c r="R3334" s="7" t="str">
        <f t="shared" si="321"/>
        <v>C60</v>
      </c>
      <c r="S3334" s="18">
        <f t="shared" si="322"/>
        <v>7.629178705471058</v>
      </c>
      <c r="T3334" s="18">
        <f>S3334/Explications!$C$8</f>
        <v>0.25430595684903529</v>
      </c>
    </row>
    <row r="3335" spans="7:20">
      <c r="G3335" s="7" t="s">
        <v>76</v>
      </c>
      <c r="H3335" s="7" t="s">
        <v>80</v>
      </c>
      <c r="I3335" s="7">
        <v>46.772500000000001</v>
      </c>
      <c r="J3335" s="7">
        <v>-71.276300000000006</v>
      </c>
      <c r="K3335" s="7">
        <v>46.779400000000003</v>
      </c>
      <c r="L3335" s="7">
        <v>-71.350399999999993</v>
      </c>
      <c r="M3335" s="10" t="str">
        <f t="shared" si="317"/>
        <v>C60</v>
      </c>
      <c r="N3335" s="10" t="str">
        <f t="shared" si="318"/>
        <v>C64</v>
      </c>
      <c r="O3335" s="5">
        <f t="shared" si="319"/>
        <v>5.69479763823594</v>
      </c>
      <c r="P3335" s="22">
        <f>O3335/Explications!$C$8</f>
        <v>0.189826587941198</v>
      </c>
      <c r="Q3335" s="7" t="str">
        <f t="shared" si="320"/>
        <v>C64</v>
      </c>
      <c r="R3335" s="7" t="str">
        <f t="shared" si="321"/>
        <v>C60</v>
      </c>
      <c r="S3335" s="18">
        <f t="shared" si="322"/>
        <v>5.69479763823594</v>
      </c>
      <c r="T3335" s="18">
        <f>S3335/Explications!$C$8</f>
        <v>0.189826587941198</v>
      </c>
    </row>
    <row r="3336" spans="7:20">
      <c r="G3336" s="7" t="s">
        <v>76</v>
      </c>
      <c r="H3336" s="7" t="s">
        <v>81</v>
      </c>
      <c r="I3336" s="7">
        <v>46.772500000000001</v>
      </c>
      <c r="J3336" s="7">
        <v>-71.276300000000006</v>
      </c>
      <c r="K3336" s="7">
        <v>46.772300000000001</v>
      </c>
      <c r="L3336" s="7">
        <v>-71.279799999999994</v>
      </c>
      <c r="M3336" s="10" t="str">
        <f t="shared" si="317"/>
        <v>C60</v>
      </c>
      <c r="N3336" s="10" t="str">
        <f t="shared" si="318"/>
        <v>C65</v>
      </c>
      <c r="O3336" s="5">
        <f t="shared" si="319"/>
        <v>0.26747632288822243</v>
      </c>
      <c r="P3336" s="22">
        <f>O3336/Explications!$C$8</f>
        <v>8.9158774296074148E-3</v>
      </c>
      <c r="Q3336" s="7" t="str">
        <f t="shared" si="320"/>
        <v>C65</v>
      </c>
      <c r="R3336" s="7" t="str">
        <f t="shared" si="321"/>
        <v>C60</v>
      </c>
      <c r="S3336" s="18">
        <f t="shared" si="322"/>
        <v>0.26747632288822243</v>
      </c>
      <c r="T3336" s="18">
        <f>S3336/Explications!$C$8</f>
        <v>8.9158774296074148E-3</v>
      </c>
    </row>
    <row r="3337" spans="7:20">
      <c r="G3337" s="7" t="s">
        <v>76</v>
      </c>
      <c r="H3337" s="7" t="s">
        <v>82</v>
      </c>
      <c r="I3337" s="7">
        <v>46.772500000000001</v>
      </c>
      <c r="J3337" s="7">
        <v>-71.276300000000006</v>
      </c>
      <c r="K3337" s="7">
        <v>46.814900000000002</v>
      </c>
      <c r="L3337" s="7">
        <v>-71.225200000000001</v>
      </c>
      <c r="M3337" s="10" t="str">
        <f t="shared" si="317"/>
        <v>C60</v>
      </c>
      <c r="N3337" s="10" t="str">
        <f t="shared" si="318"/>
        <v>C66</v>
      </c>
      <c r="O3337" s="5">
        <f t="shared" si="319"/>
        <v>6.1123555311957496</v>
      </c>
      <c r="P3337" s="22">
        <f>O3337/Explications!$C$8</f>
        <v>0.20374518437319164</v>
      </c>
      <c r="Q3337" s="7" t="str">
        <f t="shared" si="320"/>
        <v>C66</v>
      </c>
      <c r="R3337" s="7" t="str">
        <f t="shared" si="321"/>
        <v>C60</v>
      </c>
      <c r="S3337" s="18">
        <f t="shared" si="322"/>
        <v>6.1123555311957496</v>
      </c>
      <c r="T3337" s="18">
        <f>S3337/Explications!$C$8</f>
        <v>0.20374518437319164</v>
      </c>
    </row>
    <row r="3338" spans="7:20">
      <c r="G3338" s="7" t="s">
        <v>76</v>
      </c>
      <c r="H3338" s="7" t="s">
        <v>83</v>
      </c>
      <c r="I3338" s="7">
        <v>46.772500000000001</v>
      </c>
      <c r="J3338" s="7">
        <v>-71.276300000000006</v>
      </c>
      <c r="K3338" s="7">
        <v>46.814700000000002</v>
      </c>
      <c r="L3338" s="7">
        <v>-71.207300000000004</v>
      </c>
      <c r="M3338" s="10" t="str">
        <f t="shared" si="317"/>
        <v>C60</v>
      </c>
      <c r="N3338" s="10" t="str">
        <f t="shared" si="318"/>
        <v>C67</v>
      </c>
      <c r="O3338" s="5">
        <f t="shared" si="319"/>
        <v>7.0434743883528874</v>
      </c>
      <c r="P3338" s="22">
        <f>O3338/Explications!$C$8</f>
        <v>0.23478247961176291</v>
      </c>
      <c r="Q3338" s="7" t="str">
        <f t="shared" si="320"/>
        <v>C67</v>
      </c>
      <c r="R3338" s="7" t="str">
        <f t="shared" si="321"/>
        <v>C60</v>
      </c>
      <c r="S3338" s="18">
        <f t="shared" si="322"/>
        <v>7.0434743883528874</v>
      </c>
      <c r="T3338" s="18">
        <f>S3338/Explications!$C$8</f>
        <v>0.23478247961176291</v>
      </c>
    </row>
    <row r="3339" spans="7:20">
      <c r="G3339" s="7" t="s">
        <v>76</v>
      </c>
      <c r="H3339" s="7" t="s">
        <v>84</v>
      </c>
      <c r="I3339" s="7">
        <v>46.772500000000001</v>
      </c>
      <c r="J3339" s="7">
        <v>-71.276300000000006</v>
      </c>
      <c r="K3339" s="7">
        <v>46.815600000000003</v>
      </c>
      <c r="L3339" s="7">
        <v>-71.2029</v>
      </c>
      <c r="M3339" s="10" t="str">
        <f t="shared" si="317"/>
        <v>C60</v>
      </c>
      <c r="N3339" s="10" t="str">
        <f t="shared" si="318"/>
        <v>C68</v>
      </c>
      <c r="O3339" s="5">
        <f t="shared" si="319"/>
        <v>7.3614096959935704</v>
      </c>
      <c r="P3339" s="22">
        <f>O3339/Explications!$C$8</f>
        <v>0.24538032319978567</v>
      </c>
      <c r="Q3339" s="7" t="str">
        <f t="shared" si="320"/>
        <v>C68</v>
      </c>
      <c r="R3339" s="7" t="str">
        <f t="shared" si="321"/>
        <v>C60</v>
      </c>
      <c r="S3339" s="18">
        <f t="shared" si="322"/>
        <v>7.3614096959935704</v>
      </c>
      <c r="T3339" s="18">
        <f>S3339/Explications!$C$8</f>
        <v>0.24538032319978567</v>
      </c>
    </row>
    <row r="3340" spans="7:20">
      <c r="G3340" s="7" t="s">
        <v>76</v>
      </c>
      <c r="H3340" s="7" t="s">
        <v>85</v>
      </c>
      <c r="I3340" s="7">
        <v>46.772500000000001</v>
      </c>
      <c r="J3340" s="7">
        <v>-71.276300000000006</v>
      </c>
      <c r="K3340" s="7">
        <v>46.821899999999999</v>
      </c>
      <c r="L3340" s="7">
        <v>-71.249899999999997</v>
      </c>
      <c r="M3340" s="10" t="str">
        <f t="shared" si="317"/>
        <v>C60</v>
      </c>
      <c r="N3340" s="10" t="str">
        <f t="shared" si="318"/>
        <v>C69</v>
      </c>
      <c r="O3340" s="5">
        <f t="shared" si="319"/>
        <v>5.8490990552755839</v>
      </c>
      <c r="P3340" s="22">
        <f>O3340/Explications!$C$8</f>
        <v>0.19496996850918613</v>
      </c>
      <c r="Q3340" s="7" t="str">
        <f t="shared" si="320"/>
        <v>C69</v>
      </c>
      <c r="R3340" s="7" t="str">
        <f t="shared" si="321"/>
        <v>C60</v>
      </c>
      <c r="S3340" s="18">
        <f t="shared" si="322"/>
        <v>5.8490990552755839</v>
      </c>
      <c r="T3340" s="18">
        <f>S3340/Explications!$C$8</f>
        <v>0.19496996850918613</v>
      </c>
    </row>
    <row r="3341" spans="7:20">
      <c r="G3341" s="7" t="s">
        <v>76</v>
      </c>
      <c r="H3341" s="7" t="s">
        <v>86</v>
      </c>
      <c r="I3341" s="7">
        <v>46.772500000000001</v>
      </c>
      <c r="J3341" s="7">
        <v>-71.276300000000006</v>
      </c>
      <c r="K3341" s="7">
        <v>46.8872</v>
      </c>
      <c r="L3341" s="7">
        <v>-71.27</v>
      </c>
      <c r="M3341" s="10" t="str">
        <f t="shared" si="317"/>
        <v>C60</v>
      </c>
      <c r="N3341" s="10" t="str">
        <f t="shared" si="318"/>
        <v>C70</v>
      </c>
      <c r="O3341" s="5">
        <f t="shared" si="319"/>
        <v>12.763060175184723</v>
      </c>
      <c r="P3341" s="22">
        <f>O3341/Explications!$C$8</f>
        <v>0.42543533917282411</v>
      </c>
      <c r="Q3341" s="7" t="str">
        <f t="shared" si="320"/>
        <v>C70</v>
      </c>
      <c r="R3341" s="7" t="str">
        <f t="shared" si="321"/>
        <v>C60</v>
      </c>
      <c r="S3341" s="18">
        <f t="shared" si="322"/>
        <v>12.763060175184723</v>
      </c>
      <c r="T3341" s="18">
        <f>S3341/Explications!$C$8</f>
        <v>0.42543533917282411</v>
      </c>
    </row>
    <row r="3342" spans="7:20">
      <c r="G3342" s="7" t="s">
        <v>76</v>
      </c>
      <c r="H3342" s="7" t="s">
        <v>87</v>
      </c>
      <c r="I3342" s="7">
        <v>46.772500000000001</v>
      </c>
      <c r="J3342" s="7">
        <v>-71.276300000000006</v>
      </c>
      <c r="K3342" s="7">
        <v>46.816299999999998</v>
      </c>
      <c r="L3342" s="7">
        <v>-71.210300000000004</v>
      </c>
      <c r="M3342" s="10" t="str">
        <f t="shared" si="317"/>
        <v>C60</v>
      </c>
      <c r="N3342" s="10" t="str">
        <f t="shared" si="318"/>
        <v>C71</v>
      </c>
      <c r="O3342" s="5">
        <f t="shared" si="319"/>
        <v>6.9974275576279181</v>
      </c>
      <c r="P3342" s="22">
        <f>O3342/Explications!$C$8</f>
        <v>0.23324758525426395</v>
      </c>
      <c r="Q3342" s="7" t="str">
        <f t="shared" si="320"/>
        <v>C71</v>
      </c>
      <c r="R3342" s="7" t="str">
        <f t="shared" si="321"/>
        <v>C60</v>
      </c>
      <c r="S3342" s="18">
        <f t="shared" si="322"/>
        <v>6.9974275576279181</v>
      </c>
      <c r="T3342" s="18">
        <f>S3342/Explications!$C$8</f>
        <v>0.23324758525426395</v>
      </c>
    </row>
    <row r="3343" spans="7:20">
      <c r="G3343" s="7" t="s">
        <v>76</v>
      </c>
      <c r="H3343" s="7" t="s">
        <v>88</v>
      </c>
      <c r="I3343" s="7">
        <v>46.772500000000001</v>
      </c>
      <c r="J3343" s="7">
        <v>-71.276300000000006</v>
      </c>
      <c r="K3343" s="7">
        <v>46.807000000000002</v>
      </c>
      <c r="L3343" s="7">
        <v>-71.3566</v>
      </c>
      <c r="M3343" s="10" t="str">
        <f t="shared" si="317"/>
        <v>C60</v>
      </c>
      <c r="N3343" s="10" t="str">
        <f t="shared" si="318"/>
        <v>C72</v>
      </c>
      <c r="O3343" s="5">
        <f t="shared" si="319"/>
        <v>7.2174040546574725</v>
      </c>
      <c r="P3343" s="22">
        <f>O3343/Explications!$C$8</f>
        <v>0.24058013515524909</v>
      </c>
      <c r="Q3343" s="7" t="str">
        <f t="shared" si="320"/>
        <v>C72</v>
      </c>
      <c r="R3343" s="7" t="str">
        <f t="shared" si="321"/>
        <v>C60</v>
      </c>
      <c r="S3343" s="18">
        <f t="shared" si="322"/>
        <v>7.2174040546574725</v>
      </c>
      <c r="T3343" s="18">
        <f>S3343/Explications!$C$8</f>
        <v>0.24058013515524909</v>
      </c>
    </row>
    <row r="3344" spans="7:20">
      <c r="G3344" s="7" t="s">
        <v>76</v>
      </c>
      <c r="H3344" s="7" t="s">
        <v>89</v>
      </c>
      <c r="I3344" s="7">
        <v>46.772500000000001</v>
      </c>
      <c r="J3344" s="7">
        <v>-71.276300000000006</v>
      </c>
      <c r="K3344" s="7">
        <v>46.822899999999997</v>
      </c>
      <c r="L3344" s="7">
        <v>-71.341899999999995</v>
      </c>
      <c r="M3344" s="10" t="str">
        <f t="shared" si="317"/>
        <v>C60</v>
      </c>
      <c r="N3344" s="10" t="str">
        <f t="shared" si="318"/>
        <v>C73</v>
      </c>
      <c r="O3344" s="5">
        <f t="shared" si="319"/>
        <v>7.5061983583931067</v>
      </c>
      <c r="P3344" s="22">
        <f>O3344/Explications!$C$8</f>
        <v>0.2502066119464369</v>
      </c>
      <c r="Q3344" s="7" t="str">
        <f t="shared" si="320"/>
        <v>C73</v>
      </c>
      <c r="R3344" s="7" t="str">
        <f t="shared" si="321"/>
        <v>C60</v>
      </c>
      <c r="S3344" s="18">
        <f t="shared" si="322"/>
        <v>7.5061983583931067</v>
      </c>
      <c r="T3344" s="18">
        <f>S3344/Explications!$C$8</f>
        <v>0.2502066119464369</v>
      </c>
    </row>
    <row r="3345" spans="7:20">
      <c r="G3345" s="7" t="s">
        <v>76</v>
      </c>
      <c r="H3345" s="7" t="s">
        <v>90</v>
      </c>
      <c r="I3345" s="7">
        <v>46.772500000000001</v>
      </c>
      <c r="J3345" s="7">
        <v>-71.276300000000006</v>
      </c>
      <c r="K3345" s="7">
        <v>46.730699999999999</v>
      </c>
      <c r="L3345" s="7">
        <v>-71.261099999999999</v>
      </c>
      <c r="M3345" s="10" t="str">
        <f t="shared" si="317"/>
        <v>C60</v>
      </c>
      <c r="N3345" s="10" t="str">
        <f t="shared" si="318"/>
        <v>C74</v>
      </c>
      <c r="O3345" s="5">
        <f t="shared" si="319"/>
        <v>4.7900384356941919</v>
      </c>
      <c r="P3345" s="22">
        <f>O3345/Explications!$C$8</f>
        <v>0.15966794785647306</v>
      </c>
      <c r="Q3345" s="7" t="str">
        <f t="shared" si="320"/>
        <v>C74</v>
      </c>
      <c r="R3345" s="7" t="str">
        <f t="shared" si="321"/>
        <v>C60</v>
      </c>
      <c r="S3345" s="18">
        <f t="shared" si="322"/>
        <v>4.7900384356941919</v>
      </c>
      <c r="T3345" s="18">
        <f>S3345/Explications!$C$8</f>
        <v>0.15966794785647306</v>
      </c>
    </row>
    <row r="3346" spans="7:20">
      <c r="G3346" s="7" t="s">
        <v>76</v>
      </c>
      <c r="H3346" s="7" t="s">
        <v>91</v>
      </c>
      <c r="I3346" s="7">
        <v>46.772500000000001</v>
      </c>
      <c r="J3346" s="7">
        <v>-71.276300000000006</v>
      </c>
      <c r="K3346" s="7">
        <v>46.840600000000002</v>
      </c>
      <c r="L3346" s="7">
        <v>-71.289100000000005</v>
      </c>
      <c r="M3346" s="10" t="str">
        <f t="shared" si="317"/>
        <v>C60</v>
      </c>
      <c r="N3346" s="10" t="str">
        <f t="shared" si="318"/>
        <v>C75</v>
      </c>
      <c r="O3346" s="5">
        <f t="shared" si="319"/>
        <v>7.634782831475647</v>
      </c>
      <c r="P3346" s="22">
        <f>O3346/Explications!$C$8</f>
        <v>0.25449276104918822</v>
      </c>
      <c r="Q3346" s="7" t="str">
        <f t="shared" si="320"/>
        <v>C75</v>
      </c>
      <c r="R3346" s="7" t="str">
        <f t="shared" si="321"/>
        <v>C60</v>
      </c>
      <c r="S3346" s="18">
        <f t="shared" si="322"/>
        <v>7.634782831475647</v>
      </c>
      <c r="T3346" s="18">
        <f>S3346/Explications!$C$8</f>
        <v>0.25449276104918822</v>
      </c>
    </row>
    <row r="3347" spans="7:20">
      <c r="G3347" s="7" t="s">
        <v>76</v>
      </c>
      <c r="H3347" s="7" t="s">
        <v>92</v>
      </c>
      <c r="I3347" s="7">
        <v>46.772500000000001</v>
      </c>
      <c r="J3347" s="7">
        <v>-71.276300000000006</v>
      </c>
      <c r="K3347" s="7">
        <v>46.840600000000002</v>
      </c>
      <c r="L3347" s="7">
        <v>-71.281599999999997</v>
      </c>
      <c r="M3347" s="10" t="str">
        <f t="shared" si="317"/>
        <v>C60</v>
      </c>
      <c r="N3347" s="10" t="str">
        <f t="shared" si="318"/>
        <v>C76</v>
      </c>
      <c r="O3347" s="5">
        <f t="shared" si="319"/>
        <v>7.583110752082586</v>
      </c>
      <c r="P3347" s="22">
        <f>O3347/Explications!$C$8</f>
        <v>0.25277035840275286</v>
      </c>
      <c r="Q3347" s="7" t="str">
        <f t="shared" si="320"/>
        <v>C76</v>
      </c>
      <c r="R3347" s="7" t="str">
        <f t="shared" si="321"/>
        <v>C60</v>
      </c>
      <c r="S3347" s="18">
        <f t="shared" si="322"/>
        <v>7.583110752082586</v>
      </c>
      <c r="T3347" s="18">
        <f>S3347/Explications!$C$8</f>
        <v>0.25277035840275286</v>
      </c>
    </row>
    <row r="3348" spans="7:20">
      <c r="G3348" s="7" t="s">
        <v>76</v>
      </c>
      <c r="H3348" s="7" t="s">
        <v>93</v>
      </c>
      <c r="I3348" s="7">
        <v>46.772500000000001</v>
      </c>
      <c r="J3348" s="7">
        <v>-71.276300000000006</v>
      </c>
      <c r="K3348" s="7">
        <v>46.839399999999998</v>
      </c>
      <c r="L3348" s="7">
        <v>-71.282600000000002</v>
      </c>
      <c r="M3348" s="10" t="str">
        <f t="shared" si="317"/>
        <v>C60</v>
      </c>
      <c r="N3348" s="10" t="str">
        <f t="shared" si="318"/>
        <v>C77</v>
      </c>
      <c r="O3348" s="5">
        <f t="shared" si="319"/>
        <v>7.4543778433086167</v>
      </c>
      <c r="P3348" s="22">
        <f>O3348/Explications!$C$8</f>
        <v>0.24847926144362056</v>
      </c>
      <c r="Q3348" s="7" t="str">
        <f t="shared" si="320"/>
        <v>C77</v>
      </c>
      <c r="R3348" s="7" t="str">
        <f t="shared" si="321"/>
        <v>C60</v>
      </c>
      <c r="S3348" s="18">
        <f t="shared" si="322"/>
        <v>7.4543778433086167</v>
      </c>
      <c r="T3348" s="18">
        <f>S3348/Explications!$C$8</f>
        <v>0.24847926144362056</v>
      </c>
    </row>
    <row r="3349" spans="7:20">
      <c r="G3349" s="7" t="s">
        <v>76</v>
      </c>
      <c r="H3349" s="7" t="s">
        <v>94</v>
      </c>
      <c r="I3349" s="7">
        <v>46.772500000000001</v>
      </c>
      <c r="J3349" s="7">
        <v>-71.276300000000006</v>
      </c>
      <c r="K3349" s="7">
        <v>46.788499999999999</v>
      </c>
      <c r="L3349" s="7">
        <v>-71.282399999999996</v>
      </c>
      <c r="M3349" s="10" t="str">
        <f t="shared" si="317"/>
        <v>C60</v>
      </c>
      <c r="N3349" s="10" t="str">
        <f t="shared" si="318"/>
        <v>C78</v>
      </c>
      <c r="O3349" s="5">
        <f t="shared" si="319"/>
        <v>1.8387533490178514</v>
      </c>
      <c r="P3349" s="22">
        <f>O3349/Explications!$C$8</f>
        <v>6.1291778300595047E-2</v>
      </c>
      <c r="Q3349" s="7" t="str">
        <f t="shared" si="320"/>
        <v>C78</v>
      </c>
      <c r="R3349" s="7" t="str">
        <f t="shared" si="321"/>
        <v>C60</v>
      </c>
      <c r="S3349" s="18">
        <f t="shared" si="322"/>
        <v>1.8387533490178514</v>
      </c>
      <c r="T3349" s="18">
        <f>S3349/Explications!$C$8</f>
        <v>6.1291778300595047E-2</v>
      </c>
    </row>
    <row r="3350" spans="7:20">
      <c r="G3350" s="7" t="s">
        <v>76</v>
      </c>
      <c r="H3350" s="7" t="s">
        <v>95</v>
      </c>
      <c r="I3350" s="7">
        <v>46.772500000000001</v>
      </c>
      <c r="J3350" s="7">
        <v>-71.276300000000006</v>
      </c>
      <c r="K3350" s="7">
        <v>46.840699999999998</v>
      </c>
      <c r="L3350" s="7">
        <v>-71.325400000000002</v>
      </c>
      <c r="M3350" s="10" t="str">
        <f t="shared" si="317"/>
        <v>C60</v>
      </c>
      <c r="N3350" s="10" t="str">
        <f t="shared" si="318"/>
        <v>C79</v>
      </c>
      <c r="O3350" s="5">
        <f t="shared" si="319"/>
        <v>8.4542367898663553</v>
      </c>
      <c r="P3350" s="22">
        <f>O3350/Explications!$C$8</f>
        <v>0.28180789299554515</v>
      </c>
      <c r="Q3350" s="7" t="str">
        <f t="shared" si="320"/>
        <v>C79</v>
      </c>
      <c r="R3350" s="7" t="str">
        <f t="shared" si="321"/>
        <v>C60</v>
      </c>
      <c r="S3350" s="18">
        <f t="shared" si="322"/>
        <v>8.4542367898663553</v>
      </c>
      <c r="T3350" s="18">
        <f>S3350/Explications!$C$8</f>
        <v>0.28180789299554515</v>
      </c>
    </row>
    <row r="3351" spans="7:20">
      <c r="G3351" s="7" t="s">
        <v>76</v>
      </c>
      <c r="H3351" s="7" t="s">
        <v>96</v>
      </c>
      <c r="I3351" s="7">
        <v>46.772500000000001</v>
      </c>
      <c r="J3351" s="7">
        <v>-71.276300000000006</v>
      </c>
      <c r="K3351" s="7">
        <v>46.798400000000001</v>
      </c>
      <c r="L3351" s="7">
        <v>-71.183199999999999</v>
      </c>
      <c r="M3351" s="10" t="str">
        <f t="shared" si="317"/>
        <v>C60</v>
      </c>
      <c r="N3351" s="10" t="str">
        <f t="shared" si="318"/>
        <v>C80</v>
      </c>
      <c r="O3351" s="5">
        <f t="shared" si="319"/>
        <v>7.6512203225880073</v>
      </c>
      <c r="P3351" s="22">
        <f>O3351/Explications!$C$8</f>
        <v>0.25504067741960024</v>
      </c>
      <c r="Q3351" s="7" t="str">
        <f t="shared" si="320"/>
        <v>C80</v>
      </c>
      <c r="R3351" s="7" t="str">
        <f t="shared" si="321"/>
        <v>C60</v>
      </c>
      <c r="S3351" s="18">
        <f t="shared" si="322"/>
        <v>7.6512203225880073</v>
      </c>
      <c r="T3351" s="18">
        <f>S3351/Explications!$C$8</f>
        <v>0.25504067741960024</v>
      </c>
    </row>
    <row r="3352" spans="7:20">
      <c r="G3352" s="7" t="s">
        <v>76</v>
      </c>
      <c r="H3352" s="7" t="s">
        <v>97</v>
      </c>
      <c r="I3352" s="7">
        <v>46.772500000000001</v>
      </c>
      <c r="J3352" s="7">
        <v>-71.276300000000006</v>
      </c>
      <c r="K3352" s="7">
        <v>46.724800000000002</v>
      </c>
      <c r="L3352" s="7">
        <v>-71.2988</v>
      </c>
      <c r="M3352" s="10" t="str">
        <f t="shared" si="317"/>
        <v>C60</v>
      </c>
      <c r="N3352" s="10" t="str">
        <f t="shared" si="318"/>
        <v>C81</v>
      </c>
      <c r="O3352" s="5">
        <f t="shared" si="319"/>
        <v>5.5741540178881106</v>
      </c>
      <c r="P3352" s="22">
        <f>O3352/Explications!$C$8</f>
        <v>0.18580513392960368</v>
      </c>
      <c r="Q3352" s="7" t="str">
        <f t="shared" si="320"/>
        <v>C81</v>
      </c>
      <c r="R3352" s="7" t="str">
        <f t="shared" si="321"/>
        <v>C60</v>
      </c>
      <c r="S3352" s="18">
        <f t="shared" si="322"/>
        <v>5.5741540178881106</v>
      </c>
      <c r="T3352" s="18">
        <f>S3352/Explications!$C$8</f>
        <v>0.18580513392960368</v>
      </c>
    </row>
    <row r="3353" spans="7:20">
      <c r="G3353" s="7" t="s">
        <v>76</v>
      </c>
      <c r="H3353" s="7" t="s">
        <v>98</v>
      </c>
      <c r="I3353" s="7">
        <v>46.772500000000001</v>
      </c>
      <c r="J3353" s="7">
        <v>-71.276300000000006</v>
      </c>
      <c r="K3353" s="7">
        <v>46.795499999999997</v>
      </c>
      <c r="L3353" s="7">
        <v>-71.242900000000006</v>
      </c>
      <c r="M3353" s="10" t="str">
        <f t="shared" si="317"/>
        <v>C60</v>
      </c>
      <c r="N3353" s="10" t="str">
        <f t="shared" si="318"/>
        <v>C82</v>
      </c>
      <c r="O3353" s="5">
        <f t="shared" si="319"/>
        <v>3.6066731880300162</v>
      </c>
      <c r="P3353" s="22">
        <f>O3353/Explications!$C$8</f>
        <v>0.12022243960100054</v>
      </c>
      <c r="Q3353" s="7" t="str">
        <f t="shared" si="320"/>
        <v>C82</v>
      </c>
      <c r="R3353" s="7" t="str">
        <f t="shared" si="321"/>
        <v>C60</v>
      </c>
      <c r="S3353" s="18">
        <f t="shared" si="322"/>
        <v>3.6066731880300162</v>
      </c>
      <c r="T3353" s="18">
        <f>S3353/Explications!$C$8</f>
        <v>0.12022243960100054</v>
      </c>
    </row>
    <row r="3354" spans="7:20">
      <c r="G3354" s="7" t="s">
        <v>76</v>
      </c>
      <c r="H3354" s="7" t="s">
        <v>99</v>
      </c>
      <c r="I3354" s="7">
        <v>46.772500000000001</v>
      </c>
      <c r="J3354" s="7">
        <v>-71.276300000000006</v>
      </c>
      <c r="K3354" s="7">
        <v>46.8157</v>
      </c>
      <c r="L3354" s="7">
        <v>-71.201899999999995</v>
      </c>
      <c r="M3354" s="10" t="str">
        <f t="shared" si="317"/>
        <v>C60</v>
      </c>
      <c r="N3354" s="10" t="str">
        <f t="shared" si="318"/>
        <v>C83</v>
      </c>
      <c r="O3354" s="5">
        <f t="shared" si="319"/>
        <v>7.4265426471352827</v>
      </c>
      <c r="P3354" s="22">
        <f>O3354/Explications!$C$8</f>
        <v>0.2475514215711761</v>
      </c>
      <c r="Q3354" s="7" t="str">
        <f t="shared" si="320"/>
        <v>C83</v>
      </c>
      <c r="R3354" s="7" t="str">
        <f t="shared" si="321"/>
        <v>C60</v>
      </c>
      <c r="S3354" s="18">
        <f t="shared" si="322"/>
        <v>7.4265426471352827</v>
      </c>
      <c r="T3354" s="18">
        <f>S3354/Explications!$C$8</f>
        <v>0.2475514215711761</v>
      </c>
    </row>
    <row r="3355" spans="7:20">
      <c r="G3355" s="7" t="s">
        <v>76</v>
      </c>
      <c r="H3355" s="7" t="s">
        <v>100</v>
      </c>
      <c r="I3355" s="7">
        <v>46.772500000000001</v>
      </c>
      <c r="J3355" s="7">
        <v>-71.276300000000006</v>
      </c>
      <c r="K3355" s="7">
        <v>46.837600000000002</v>
      </c>
      <c r="L3355" s="7">
        <v>-71.196299999999994</v>
      </c>
      <c r="M3355" s="10" t="str">
        <f t="shared" si="317"/>
        <v>C60</v>
      </c>
      <c r="N3355" s="10" t="str">
        <f t="shared" si="318"/>
        <v>C84</v>
      </c>
      <c r="O3355" s="5">
        <f t="shared" si="319"/>
        <v>9.4590980333516086</v>
      </c>
      <c r="P3355" s="22">
        <f>O3355/Explications!$C$8</f>
        <v>0.31530326777838696</v>
      </c>
      <c r="Q3355" s="7" t="str">
        <f t="shared" si="320"/>
        <v>C84</v>
      </c>
      <c r="R3355" s="7" t="str">
        <f t="shared" si="321"/>
        <v>C60</v>
      </c>
      <c r="S3355" s="18">
        <f t="shared" si="322"/>
        <v>9.4590980333516086</v>
      </c>
      <c r="T3355" s="18">
        <f>S3355/Explications!$C$8</f>
        <v>0.31530326777838696</v>
      </c>
    </row>
    <row r="3356" spans="7:20">
      <c r="G3356" s="7" t="s">
        <v>76</v>
      </c>
      <c r="H3356" s="7" t="s">
        <v>101</v>
      </c>
      <c r="I3356" s="7">
        <v>46.772500000000001</v>
      </c>
      <c r="J3356" s="7">
        <v>-71.276300000000006</v>
      </c>
      <c r="K3356" s="7">
        <v>46.7988</v>
      </c>
      <c r="L3356" s="7">
        <v>-71.318200000000004</v>
      </c>
      <c r="M3356" s="10" t="str">
        <f t="shared" si="317"/>
        <v>C60</v>
      </c>
      <c r="N3356" s="10" t="str">
        <f t="shared" si="318"/>
        <v>C85</v>
      </c>
      <c r="O3356" s="5">
        <f t="shared" si="319"/>
        <v>4.3277772901023175</v>
      </c>
      <c r="P3356" s="22">
        <f>O3356/Explications!$C$8</f>
        <v>0.14425924300341059</v>
      </c>
      <c r="Q3356" s="7" t="str">
        <f t="shared" si="320"/>
        <v>C85</v>
      </c>
      <c r="R3356" s="7" t="str">
        <f t="shared" si="321"/>
        <v>C60</v>
      </c>
      <c r="S3356" s="18">
        <f t="shared" si="322"/>
        <v>4.3277772901023175</v>
      </c>
      <c r="T3356" s="18">
        <f>S3356/Explications!$C$8</f>
        <v>0.14425924300341059</v>
      </c>
    </row>
    <row r="3357" spans="7:20">
      <c r="G3357" s="7" t="s">
        <v>77</v>
      </c>
      <c r="H3357" s="7" t="s">
        <v>78</v>
      </c>
      <c r="I3357" s="7">
        <v>46.810899999999997</v>
      </c>
      <c r="J3357" s="7">
        <v>-71.215599999999995</v>
      </c>
      <c r="K3357" s="7">
        <v>46.795200000000001</v>
      </c>
      <c r="L3357" s="7">
        <v>-71.245099999999994</v>
      </c>
      <c r="M3357" s="10" t="str">
        <f t="shared" si="317"/>
        <v>C61</v>
      </c>
      <c r="N3357" s="10" t="str">
        <f t="shared" si="318"/>
        <v>C62</v>
      </c>
      <c r="O3357" s="5">
        <f t="shared" si="319"/>
        <v>2.8441719627944941</v>
      </c>
      <c r="P3357" s="22">
        <f>O3357/Explications!$C$8</f>
        <v>9.4805732093149811E-2</v>
      </c>
      <c r="Q3357" s="7" t="str">
        <f t="shared" si="320"/>
        <v>C62</v>
      </c>
      <c r="R3357" s="7" t="str">
        <f t="shared" si="321"/>
        <v>C61</v>
      </c>
      <c r="S3357" s="18">
        <f t="shared" si="322"/>
        <v>2.8441719627944941</v>
      </c>
      <c r="T3357" s="18">
        <f>S3357/Explications!$C$8</f>
        <v>9.4805732093149811E-2</v>
      </c>
    </row>
    <row r="3358" spans="7:20">
      <c r="G3358" s="7" t="s">
        <v>77</v>
      </c>
      <c r="H3358" s="7" t="s">
        <v>79</v>
      </c>
      <c r="I3358" s="7">
        <v>46.810899999999997</v>
      </c>
      <c r="J3358" s="7">
        <v>-71.215599999999995</v>
      </c>
      <c r="K3358" s="7">
        <v>46.822000000000003</v>
      </c>
      <c r="L3358" s="7">
        <v>-71.345699999999994</v>
      </c>
      <c r="M3358" s="10" t="str">
        <f t="shared" si="317"/>
        <v>C61</v>
      </c>
      <c r="N3358" s="10" t="str">
        <f t="shared" si="318"/>
        <v>C63</v>
      </c>
      <c r="O3358" s="5">
        <f t="shared" si="319"/>
        <v>9.9765874732629154</v>
      </c>
      <c r="P3358" s="22">
        <f>O3358/Explications!$C$8</f>
        <v>0.3325529157754305</v>
      </c>
      <c r="Q3358" s="7" t="str">
        <f t="shared" si="320"/>
        <v>C63</v>
      </c>
      <c r="R3358" s="7" t="str">
        <f t="shared" si="321"/>
        <v>C61</v>
      </c>
      <c r="S3358" s="18">
        <f t="shared" si="322"/>
        <v>9.9765874732629154</v>
      </c>
      <c r="T3358" s="18">
        <f>S3358/Explications!$C$8</f>
        <v>0.3325529157754305</v>
      </c>
    </row>
    <row r="3359" spans="7:20">
      <c r="G3359" s="7" t="s">
        <v>77</v>
      </c>
      <c r="H3359" s="7" t="s">
        <v>80</v>
      </c>
      <c r="I3359" s="7">
        <v>46.810899999999997</v>
      </c>
      <c r="J3359" s="7">
        <v>-71.215599999999995</v>
      </c>
      <c r="K3359" s="7">
        <v>46.779400000000003</v>
      </c>
      <c r="L3359" s="7">
        <v>-71.350399999999993</v>
      </c>
      <c r="M3359" s="10" t="str">
        <f t="shared" si="317"/>
        <v>C61</v>
      </c>
      <c r="N3359" s="10" t="str">
        <f t="shared" si="318"/>
        <v>C64</v>
      </c>
      <c r="O3359" s="5">
        <f t="shared" si="319"/>
        <v>10.842969356080046</v>
      </c>
      <c r="P3359" s="22">
        <f>O3359/Explications!$C$8</f>
        <v>0.36143231186933483</v>
      </c>
      <c r="Q3359" s="7" t="str">
        <f t="shared" si="320"/>
        <v>C64</v>
      </c>
      <c r="R3359" s="7" t="str">
        <f t="shared" si="321"/>
        <v>C61</v>
      </c>
      <c r="S3359" s="18">
        <f t="shared" si="322"/>
        <v>10.842969356080046</v>
      </c>
      <c r="T3359" s="18">
        <f>S3359/Explications!$C$8</f>
        <v>0.36143231186933483</v>
      </c>
    </row>
    <row r="3360" spans="7:20">
      <c r="G3360" s="7" t="s">
        <v>77</v>
      </c>
      <c r="H3360" s="7" t="s">
        <v>81</v>
      </c>
      <c r="I3360" s="7">
        <v>46.810899999999997</v>
      </c>
      <c r="J3360" s="7">
        <v>-71.215599999999995</v>
      </c>
      <c r="K3360" s="7">
        <v>46.772300000000001</v>
      </c>
      <c r="L3360" s="7">
        <v>-71.279799999999994</v>
      </c>
      <c r="M3360" s="10" t="str">
        <f t="shared" si="317"/>
        <v>C61</v>
      </c>
      <c r="N3360" s="10" t="str">
        <f t="shared" si="318"/>
        <v>C65</v>
      </c>
      <c r="O3360" s="5">
        <f t="shared" si="319"/>
        <v>6.5046491560246338</v>
      </c>
      <c r="P3360" s="22">
        <f>O3360/Explications!$C$8</f>
        <v>0.21682163853415445</v>
      </c>
      <c r="Q3360" s="7" t="str">
        <f t="shared" si="320"/>
        <v>C65</v>
      </c>
      <c r="R3360" s="7" t="str">
        <f t="shared" si="321"/>
        <v>C61</v>
      </c>
      <c r="S3360" s="18">
        <f t="shared" si="322"/>
        <v>6.5046491560246338</v>
      </c>
      <c r="T3360" s="18">
        <f>S3360/Explications!$C$8</f>
        <v>0.21682163853415445</v>
      </c>
    </row>
    <row r="3361" spans="7:20">
      <c r="G3361" s="7" t="s">
        <v>77</v>
      </c>
      <c r="H3361" s="7" t="s">
        <v>82</v>
      </c>
      <c r="I3361" s="7">
        <v>46.810899999999997</v>
      </c>
      <c r="J3361" s="7">
        <v>-71.215599999999995</v>
      </c>
      <c r="K3361" s="7">
        <v>46.814900000000002</v>
      </c>
      <c r="L3361" s="7">
        <v>-71.225200000000001</v>
      </c>
      <c r="M3361" s="10" t="str">
        <f t="shared" si="317"/>
        <v>C61</v>
      </c>
      <c r="N3361" s="10" t="str">
        <f t="shared" si="318"/>
        <v>C66</v>
      </c>
      <c r="O3361" s="5">
        <f t="shared" si="319"/>
        <v>0.85530443473420203</v>
      </c>
      <c r="P3361" s="22">
        <f>O3361/Explications!$C$8</f>
        <v>2.8510147824473402E-2</v>
      </c>
      <c r="Q3361" s="7" t="str">
        <f t="shared" si="320"/>
        <v>C66</v>
      </c>
      <c r="R3361" s="7" t="str">
        <f t="shared" si="321"/>
        <v>C61</v>
      </c>
      <c r="S3361" s="18">
        <f t="shared" si="322"/>
        <v>0.85530443473420203</v>
      </c>
      <c r="T3361" s="18">
        <f>S3361/Explications!$C$8</f>
        <v>2.8510147824473402E-2</v>
      </c>
    </row>
    <row r="3362" spans="7:20">
      <c r="G3362" s="7" t="s">
        <v>77</v>
      </c>
      <c r="H3362" s="7" t="s">
        <v>83</v>
      </c>
      <c r="I3362" s="7">
        <v>46.810899999999997</v>
      </c>
      <c r="J3362" s="7">
        <v>-71.215599999999995</v>
      </c>
      <c r="K3362" s="7">
        <v>46.814700000000002</v>
      </c>
      <c r="L3362" s="7">
        <v>-71.207300000000004</v>
      </c>
      <c r="M3362" s="10" t="str">
        <f t="shared" si="317"/>
        <v>C61</v>
      </c>
      <c r="N3362" s="10" t="str">
        <f t="shared" si="318"/>
        <v>C67</v>
      </c>
      <c r="O3362" s="5">
        <f t="shared" si="319"/>
        <v>0.75993268900472533</v>
      </c>
      <c r="P3362" s="22">
        <f>O3362/Explications!$C$8</f>
        <v>2.5331089633490844E-2</v>
      </c>
      <c r="Q3362" s="7" t="str">
        <f t="shared" si="320"/>
        <v>C67</v>
      </c>
      <c r="R3362" s="7" t="str">
        <f t="shared" si="321"/>
        <v>C61</v>
      </c>
      <c r="S3362" s="18">
        <f t="shared" si="322"/>
        <v>0.75993268900472533</v>
      </c>
      <c r="T3362" s="18">
        <f>S3362/Explications!$C$8</f>
        <v>2.5331089633490844E-2</v>
      </c>
    </row>
    <row r="3363" spans="7:20">
      <c r="G3363" s="7" t="s">
        <v>77</v>
      </c>
      <c r="H3363" s="7" t="s">
        <v>84</v>
      </c>
      <c r="I3363" s="7">
        <v>46.810899999999997</v>
      </c>
      <c r="J3363" s="7">
        <v>-71.215599999999995</v>
      </c>
      <c r="K3363" s="7">
        <v>46.815600000000003</v>
      </c>
      <c r="L3363" s="7">
        <v>-71.2029</v>
      </c>
      <c r="M3363" s="10" t="str">
        <f t="shared" si="317"/>
        <v>C61</v>
      </c>
      <c r="N3363" s="10" t="str">
        <f t="shared" si="318"/>
        <v>C68</v>
      </c>
      <c r="O3363" s="5">
        <f t="shared" si="319"/>
        <v>1.0987163468605881</v>
      </c>
      <c r="P3363" s="22">
        <f>O3363/Explications!$C$8</f>
        <v>3.662387822868627E-2</v>
      </c>
      <c r="Q3363" s="7" t="str">
        <f t="shared" si="320"/>
        <v>C68</v>
      </c>
      <c r="R3363" s="7" t="str">
        <f t="shared" si="321"/>
        <v>C61</v>
      </c>
      <c r="S3363" s="18">
        <f t="shared" si="322"/>
        <v>1.0987163468605881</v>
      </c>
      <c r="T3363" s="18">
        <f>S3363/Explications!$C$8</f>
        <v>3.662387822868627E-2</v>
      </c>
    </row>
    <row r="3364" spans="7:20">
      <c r="G3364" s="7" t="s">
        <v>77</v>
      </c>
      <c r="H3364" s="7" t="s">
        <v>85</v>
      </c>
      <c r="I3364" s="7">
        <v>46.810899999999997</v>
      </c>
      <c r="J3364" s="7">
        <v>-71.215599999999995</v>
      </c>
      <c r="K3364" s="7">
        <v>46.821899999999999</v>
      </c>
      <c r="L3364" s="7">
        <v>-71.249899999999997</v>
      </c>
      <c r="M3364" s="10" t="str">
        <f t="shared" si="317"/>
        <v>C61</v>
      </c>
      <c r="N3364" s="10" t="str">
        <f t="shared" si="318"/>
        <v>C69</v>
      </c>
      <c r="O3364" s="5">
        <f t="shared" si="319"/>
        <v>2.8824433812164161</v>
      </c>
      <c r="P3364" s="22">
        <f>O3364/Explications!$C$8</f>
        <v>9.6081446040547205E-2</v>
      </c>
      <c r="Q3364" s="7" t="str">
        <f t="shared" si="320"/>
        <v>C69</v>
      </c>
      <c r="R3364" s="7" t="str">
        <f t="shared" si="321"/>
        <v>C61</v>
      </c>
      <c r="S3364" s="18">
        <f t="shared" si="322"/>
        <v>2.8824433812164161</v>
      </c>
      <c r="T3364" s="18">
        <f>S3364/Explications!$C$8</f>
        <v>9.6081446040547205E-2</v>
      </c>
    </row>
    <row r="3365" spans="7:20">
      <c r="G3365" s="7" t="s">
        <v>77</v>
      </c>
      <c r="H3365" s="7" t="s">
        <v>86</v>
      </c>
      <c r="I3365" s="7">
        <v>46.810899999999997</v>
      </c>
      <c r="J3365" s="7">
        <v>-71.215599999999995</v>
      </c>
      <c r="K3365" s="7">
        <v>46.8872</v>
      </c>
      <c r="L3365" s="7">
        <v>-71.27</v>
      </c>
      <c r="M3365" s="10" t="str">
        <f t="shared" si="317"/>
        <v>C61</v>
      </c>
      <c r="N3365" s="10" t="str">
        <f t="shared" si="318"/>
        <v>C70</v>
      </c>
      <c r="O3365" s="5">
        <f t="shared" si="319"/>
        <v>9.4390876200543445</v>
      </c>
      <c r="P3365" s="22">
        <f>O3365/Explications!$C$8</f>
        <v>0.3146362540018115</v>
      </c>
      <c r="Q3365" s="7" t="str">
        <f t="shared" si="320"/>
        <v>C70</v>
      </c>
      <c r="R3365" s="7" t="str">
        <f t="shared" si="321"/>
        <v>C61</v>
      </c>
      <c r="S3365" s="18">
        <f t="shared" si="322"/>
        <v>9.4390876200543445</v>
      </c>
      <c r="T3365" s="18">
        <f>S3365/Explications!$C$8</f>
        <v>0.3146362540018115</v>
      </c>
    </row>
    <row r="3366" spans="7:20">
      <c r="G3366" s="7" t="s">
        <v>77</v>
      </c>
      <c r="H3366" s="7" t="s">
        <v>87</v>
      </c>
      <c r="I3366" s="7">
        <v>46.810899999999997</v>
      </c>
      <c r="J3366" s="7">
        <v>-71.215599999999995</v>
      </c>
      <c r="K3366" s="7">
        <v>46.816299999999998</v>
      </c>
      <c r="L3366" s="7">
        <v>-71.210300000000004</v>
      </c>
      <c r="M3366" s="10" t="str">
        <f t="shared" si="317"/>
        <v>C61</v>
      </c>
      <c r="N3366" s="10" t="str">
        <f t="shared" si="318"/>
        <v>C71</v>
      </c>
      <c r="O3366" s="5">
        <f t="shared" si="319"/>
        <v>0.72333519275437519</v>
      </c>
      <c r="P3366" s="22">
        <f>O3366/Explications!$C$8</f>
        <v>2.4111173091812505E-2</v>
      </c>
      <c r="Q3366" s="7" t="str">
        <f t="shared" si="320"/>
        <v>C71</v>
      </c>
      <c r="R3366" s="7" t="str">
        <f t="shared" si="321"/>
        <v>C61</v>
      </c>
      <c r="S3366" s="18">
        <f t="shared" si="322"/>
        <v>0.72333519275437519</v>
      </c>
      <c r="T3366" s="18">
        <f>S3366/Explications!$C$8</f>
        <v>2.4111173091812505E-2</v>
      </c>
    </row>
    <row r="3367" spans="7:20">
      <c r="G3367" s="7" t="s">
        <v>77</v>
      </c>
      <c r="H3367" s="7" t="s">
        <v>88</v>
      </c>
      <c r="I3367" s="7">
        <v>46.810899999999997</v>
      </c>
      <c r="J3367" s="7">
        <v>-71.215599999999995</v>
      </c>
      <c r="K3367" s="7">
        <v>46.807000000000002</v>
      </c>
      <c r="L3367" s="7">
        <v>-71.3566</v>
      </c>
      <c r="M3367" s="10" t="str">
        <f t="shared" si="317"/>
        <v>C61</v>
      </c>
      <c r="N3367" s="10" t="str">
        <f t="shared" si="318"/>
        <v>C72</v>
      </c>
      <c r="O3367" s="5">
        <f t="shared" si="319"/>
        <v>10.739633455685672</v>
      </c>
      <c r="P3367" s="22">
        <f>O3367/Explications!$C$8</f>
        <v>0.35798778185618907</v>
      </c>
      <c r="Q3367" s="7" t="str">
        <f t="shared" si="320"/>
        <v>C72</v>
      </c>
      <c r="R3367" s="7" t="str">
        <f t="shared" si="321"/>
        <v>C61</v>
      </c>
      <c r="S3367" s="18">
        <f t="shared" si="322"/>
        <v>10.739633455685672</v>
      </c>
      <c r="T3367" s="18">
        <f>S3367/Explications!$C$8</f>
        <v>0.35798778185618907</v>
      </c>
    </row>
    <row r="3368" spans="7:20">
      <c r="G3368" s="7" t="s">
        <v>77</v>
      </c>
      <c r="H3368" s="7" t="s">
        <v>89</v>
      </c>
      <c r="I3368" s="7">
        <v>46.810899999999997</v>
      </c>
      <c r="J3368" s="7">
        <v>-71.215599999999995</v>
      </c>
      <c r="K3368" s="7">
        <v>46.822899999999997</v>
      </c>
      <c r="L3368" s="7">
        <v>-71.341899999999995</v>
      </c>
      <c r="M3368" s="10" t="str">
        <f t="shared" si="317"/>
        <v>C61</v>
      </c>
      <c r="N3368" s="10" t="str">
        <f t="shared" si="318"/>
        <v>C73</v>
      </c>
      <c r="O3368" s="5">
        <f t="shared" si="319"/>
        <v>9.7028899877843724</v>
      </c>
      <c r="P3368" s="22">
        <f>O3368/Explications!$C$8</f>
        <v>0.32342966625947905</v>
      </c>
      <c r="Q3368" s="7" t="str">
        <f t="shared" si="320"/>
        <v>C73</v>
      </c>
      <c r="R3368" s="7" t="str">
        <f t="shared" si="321"/>
        <v>C61</v>
      </c>
      <c r="S3368" s="18">
        <f t="shared" si="322"/>
        <v>9.7028899877843724</v>
      </c>
      <c r="T3368" s="18">
        <f>S3368/Explications!$C$8</f>
        <v>0.32342966625947905</v>
      </c>
    </row>
    <row r="3369" spans="7:20">
      <c r="G3369" s="7" t="s">
        <v>77</v>
      </c>
      <c r="H3369" s="7" t="s">
        <v>90</v>
      </c>
      <c r="I3369" s="7">
        <v>46.810899999999997</v>
      </c>
      <c r="J3369" s="7">
        <v>-71.215599999999995</v>
      </c>
      <c r="K3369" s="7">
        <v>46.730699999999999</v>
      </c>
      <c r="L3369" s="7">
        <v>-71.261099999999999</v>
      </c>
      <c r="M3369" s="10" t="str">
        <f t="shared" si="317"/>
        <v>C61</v>
      </c>
      <c r="N3369" s="10" t="str">
        <f t="shared" si="318"/>
        <v>C74</v>
      </c>
      <c r="O3369" s="5">
        <f t="shared" si="319"/>
        <v>9.5674309708124703</v>
      </c>
      <c r="P3369" s="22">
        <f>O3369/Explications!$C$8</f>
        <v>0.31891436569374904</v>
      </c>
      <c r="Q3369" s="7" t="str">
        <f t="shared" si="320"/>
        <v>C74</v>
      </c>
      <c r="R3369" s="7" t="str">
        <f t="shared" si="321"/>
        <v>C61</v>
      </c>
      <c r="S3369" s="18">
        <f t="shared" si="322"/>
        <v>9.5674309708124703</v>
      </c>
      <c r="T3369" s="18">
        <f>S3369/Explications!$C$8</f>
        <v>0.31891436569374904</v>
      </c>
    </row>
    <row r="3370" spans="7:20">
      <c r="G3370" s="7" t="s">
        <v>77</v>
      </c>
      <c r="H3370" s="7" t="s">
        <v>91</v>
      </c>
      <c r="I3370" s="7">
        <v>46.810899999999997</v>
      </c>
      <c r="J3370" s="7">
        <v>-71.215599999999995</v>
      </c>
      <c r="K3370" s="7">
        <v>46.840600000000002</v>
      </c>
      <c r="L3370" s="7">
        <v>-71.289100000000005</v>
      </c>
      <c r="M3370" s="10" t="str">
        <f t="shared" si="317"/>
        <v>C61</v>
      </c>
      <c r="N3370" s="10" t="str">
        <f t="shared" si="318"/>
        <v>C75</v>
      </c>
      <c r="O3370" s="5">
        <f t="shared" si="319"/>
        <v>6.4943801158988652</v>
      </c>
      <c r="P3370" s="22">
        <f>O3370/Explications!$C$8</f>
        <v>0.21647933719662885</v>
      </c>
      <c r="Q3370" s="7" t="str">
        <f t="shared" si="320"/>
        <v>C75</v>
      </c>
      <c r="R3370" s="7" t="str">
        <f t="shared" si="321"/>
        <v>C61</v>
      </c>
      <c r="S3370" s="18">
        <f t="shared" si="322"/>
        <v>6.4943801158988652</v>
      </c>
      <c r="T3370" s="18">
        <f>S3370/Explications!$C$8</f>
        <v>0.21647933719662885</v>
      </c>
    </row>
    <row r="3371" spans="7:20">
      <c r="G3371" s="7" t="s">
        <v>77</v>
      </c>
      <c r="H3371" s="7" t="s">
        <v>92</v>
      </c>
      <c r="I3371" s="7">
        <v>46.810899999999997</v>
      </c>
      <c r="J3371" s="7">
        <v>-71.215599999999995</v>
      </c>
      <c r="K3371" s="7">
        <v>46.840600000000002</v>
      </c>
      <c r="L3371" s="7">
        <v>-71.281599999999997</v>
      </c>
      <c r="M3371" s="10" t="str">
        <f t="shared" si="317"/>
        <v>C61</v>
      </c>
      <c r="N3371" s="10" t="str">
        <f t="shared" si="318"/>
        <v>C76</v>
      </c>
      <c r="O3371" s="5">
        <f t="shared" si="319"/>
        <v>6.0100607506506893</v>
      </c>
      <c r="P3371" s="22">
        <f>O3371/Explications!$C$8</f>
        <v>0.20033535835502297</v>
      </c>
      <c r="Q3371" s="7" t="str">
        <f t="shared" si="320"/>
        <v>C76</v>
      </c>
      <c r="R3371" s="7" t="str">
        <f t="shared" si="321"/>
        <v>C61</v>
      </c>
      <c r="S3371" s="18">
        <f t="shared" si="322"/>
        <v>6.0100607506506893</v>
      </c>
      <c r="T3371" s="18">
        <f>S3371/Explications!$C$8</f>
        <v>0.20033535835502297</v>
      </c>
    </row>
    <row r="3372" spans="7:20">
      <c r="G3372" s="7" t="s">
        <v>77</v>
      </c>
      <c r="H3372" s="7" t="s">
        <v>93</v>
      </c>
      <c r="I3372" s="7">
        <v>46.810899999999997</v>
      </c>
      <c r="J3372" s="7">
        <v>-71.215599999999995</v>
      </c>
      <c r="K3372" s="7">
        <v>46.839399999999998</v>
      </c>
      <c r="L3372" s="7">
        <v>-71.282600000000002</v>
      </c>
      <c r="M3372" s="10" t="str">
        <f t="shared" si="317"/>
        <v>C61</v>
      </c>
      <c r="N3372" s="10" t="str">
        <f t="shared" si="318"/>
        <v>C77</v>
      </c>
      <c r="O3372" s="5">
        <f t="shared" si="319"/>
        <v>6.0023118788457115</v>
      </c>
      <c r="P3372" s="22">
        <f>O3372/Explications!$C$8</f>
        <v>0.20007706262819039</v>
      </c>
      <c r="Q3372" s="7" t="str">
        <f t="shared" si="320"/>
        <v>C77</v>
      </c>
      <c r="R3372" s="7" t="str">
        <f t="shared" si="321"/>
        <v>C61</v>
      </c>
      <c r="S3372" s="18">
        <f t="shared" si="322"/>
        <v>6.0023118788457115</v>
      </c>
      <c r="T3372" s="18">
        <f>S3372/Explications!$C$8</f>
        <v>0.20007706262819039</v>
      </c>
    </row>
    <row r="3373" spans="7:20">
      <c r="G3373" s="7" t="s">
        <v>77</v>
      </c>
      <c r="H3373" s="7" t="s">
        <v>94</v>
      </c>
      <c r="I3373" s="7">
        <v>46.810899999999997</v>
      </c>
      <c r="J3373" s="7">
        <v>-71.215599999999995</v>
      </c>
      <c r="K3373" s="7">
        <v>46.788499999999999</v>
      </c>
      <c r="L3373" s="7">
        <v>-71.282399999999996</v>
      </c>
      <c r="M3373" s="10" t="str">
        <f t="shared" si="317"/>
        <v>C61</v>
      </c>
      <c r="N3373" s="10" t="str">
        <f t="shared" si="318"/>
        <v>C78</v>
      </c>
      <c r="O3373" s="5">
        <f t="shared" si="319"/>
        <v>5.662005802505214</v>
      </c>
      <c r="P3373" s="22">
        <f>O3373/Explications!$C$8</f>
        <v>0.1887335267501738</v>
      </c>
      <c r="Q3373" s="7" t="str">
        <f t="shared" si="320"/>
        <v>C78</v>
      </c>
      <c r="R3373" s="7" t="str">
        <f t="shared" si="321"/>
        <v>C61</v>
      </c>
      <c r="S3373" s="18">
        <f t="shared" si="322"/>
        <v>5.662005802505214</v>
      </c>
      <c r="T3373" s="18">
        <f>S3373/Explications!$C$8</f>
        <v>0.1887335267501738</v>
      </c>
    </row>
    <row r="3374" spans="7:20">
      <c r="G3374" s="7" t="s">
        <v>77</v>
      </c>
      <c r="H3374" s="7" t="s">
        <v>95</v>
      </c>
      <c r="I3374" s="7">
        <v>46.810899999999997</v>
      </c>
      <c r="J3374" s="7">
        <v>-71.215599999999995</v>
      </c>
      <c r="K3374" s="7">
        <v>46.840699999999998</v>
      </c>
      <c r="L3374" s="7">
        <v>-71.325400000000002</v>
      </c>
      <c r="M3374" s="10" t="str">
        <f t="shared" si="317"/>
        <v>C61</v>
      </c>
      <c r="N3374" s="10" t="str">
        <f t="shared" si="318"/>
        <v>C79</v>
      </c>
      <c r="O3374" s="5">
        <f t="shared" si="319"/>
        <v>8.9869567524935245</v>
      </c>
      <c r="P3374" s="22">
        <f>O3374/Explications!$C$8</f>
        <v>0.2995652250831175</v>
      </c>
      <c r="Q3374" s="7" t="str">
        <f t="shared" si="320"/>
        <v>C79</v>
      </c>
      <c r="R3374" s="7" t="str">
        <f t="shared" si="321"/>
        <v>C61</v>
      </c>
      <c r="S3374" s="18">
        <f t="shared" si="322"/>
        <v>8.9869567524935245</v>
      </c>
      <c r="T3374" s="18">
        <f>S3374/Explications!$C$8</f>
        <v>0.2995652250831175</v>
      </c>
    </row>
    <row r="3375" spans="7:20">
      <c r="G3375" s="7" t="s">
        <v>77</v>
      </c>
      <c r="H3375" s="7" t="s">
        <v>96</v>
      </c>
      <c r="I3375" s="7">
        <v>46.810899999999997</v>
      </c>
      <c r="J3375" s="7">
        <v>-71.215599999999995</v>
      </c>
      <c r="K3375" s="7">
        <v>46.798400000000001</v>
      </c>
      <c r="L3375" s="7">
        <v>-71.183199999999999</v>
      </c>
      <c r="M3375" s="10" t="str">
        <f t="shared" si="317"/>
        <v>C61</v>
      </c>
      <c r="N3375" s="10" t="str">
        <f t="shared" si="318"/>
        <v>C80</v>
      </c>
      <c r="O3375" s="5">
        <f t="shared" si="319"/>
        <v>2.8307517523425973</v>
      </c>
      <c r="P3375" s="22">
        <f>O3375/Explications!$C$8</f>
        <v>9.4358391744753245E-2</v>
      </c>
      <c r="Q3375" s="7" t="str">
        <f t="shared" si="320"/>
        <v>C80</v>
      </c>
      <c r="R3375" s="7" t="str">
        <f t="shared" si="321"/>
        <v>C61</v>
      </c>
      <c r="S3375" s="18">
        <f t="shared" si="322"/>
        <v>2.8307517523425973</v>
      </c>
      <c r="T3375" s="18">
        <f>S3375/Explications!$C$8</f>
        <v>9.4358391744753245E-2</v>
      </c>
    </row>
    <row r="3376" spans="7:20">
      <c r="G3376" s="7" t="s">
        <v>77</v>
      </c>
      <c r="H3376" s="7" t="s">
        <v>97</v>
      </c>
      <c r="I3376" s="7">
        <v>46.810899999999997</v>
      </c>
      <c r="J3376" s="7">
        <v>-71.215599999999995</v>
      </c>
      <c r="K3376" s="7">
        <v>46.724800000000002</v>
      </c>
      <c r="L3376" s="7">
        <v>-71.2988</v>
      </c>
      <c r="M3376" s="10" t="str">
        <f t="shared" si="317"/>
        <v>C61</v>
      </c>
      <c r="N3376" s="10" t="str">
        <f t="shared" si="318"/>
        <v>C81</v>
      </c>
      <c r="O3376" s="5">
        <f t="shared" si="319"/>
        <v>11.481046165682569</v>
      </c>
      <c r="P3376" s="22">
        <f>O3376/Explications!$C$8</f>
        <v>0.38270153885608565</v>
      </c>
      <c r="Q3376" s="7" t="str">
        <f t="shared" si="320"/>
        <v>C81</v>
      </c>
      <c r="R3376" s="7" t="str">
        <f t="shared" si="321"/>
        <v>C61</v>
      </c>
      <c r="S3376" s="18">
        <f t="shared" si="322"/>
        <v>11.481046165682569</v>
      </c>
      <c r="T3376" s="18">
        <f>S3376/Explications!$C$8</f>
        <v>0.38270153885608565</v>
      </c>
    </row>
    <row r="3377" spans="7:20">
      <c r="G3377" s="7" t="s">
        <v>77</v>
      </c>
      <c r="H3377" s="7" t="s">
        <v>98</v>
      </c>
      <c r="I3377" s="7">
        <v>46.810899999999997</v>
      </c>
      <c r="J3377" s="7">
        <v>-71.215599999999995</v>
      </c>
      <c r="K3377" s="7">
        <v>46.795499999999997</v>
      </c>
      <c r="L3377" s="7">
        <v>-71.242900000000006</v>
      </c>
      <c r="M3377" s="10" t="str">
        <f t="shared" si="317"/>
        <v>C61</v>
      </c>
      <c r="N3377" s="10" t="str">
        <f t="shared" si="318"/>
        <v>C82</v>
      </c>
      <c r="O3377" s="5">
        <f t="shared" si="319"/>
        <v>2.6925820403198557</v>
      </c>
      <c r="P3377" s="22">
        <f>O3377/Explications!$C$8</f>
        <v>8.9752734677328527E-2</v>
      </c>
      <c r="Q3377" s="7" t="str">
        <f t="shared" si="320"/>
        <v>C82</v>
      </c>
      <c r="R3377" s="7" t="str">
        <f t="shared" si="321"/>
        <v>C61</v>
      </c>
      <c r="S3377" s="18">
        <f t="shared" si="322"/>
        <v>2.6925820403198557</v>
      </c>
      <c r="T3377" s="18">
        <f>S3377/Explications!$C$8</f>
        <v>8.9752734677328527E-2</v>
      </c>
    </row>
    <row r="3378" spans="7:20">
      <c r="G3378" s="7" t="s">
        <v>77</v>
      </c>
      <c r="H3378" s="7" t="s">
        <v>99</v>
      </c>
      <c r="I3378" s="7">
        <v>46.810899999999997</v>
      </c>
      <c r="J3378" s="7">
        <v>-71.215599999999995</v>
      </c>
      <c r="K3378" s="7">
        <v>46.8157</v>
      </c>
      <c r="L3378" s="7">
        <v>-71.201899999999995</v>
      </c>
      <c r="M3378" s="10" t="str">
        <f t="shared" si="317"/>
        <v>C61</v>
      </c>
      <c r="N3378" s="10" t="str">
        <f t="shared" si="318"/>
        <v>C83</v>
      </c>
      <c r="O3378" s="5">
        <f t="shared" si="319"/>
        <v>1.1712417701443738</v>
      </c>
      <c r="P3378" s="22">
        <f>O3378/Explications!$C$8</f>
        <v>3.904139233814579E-2</v>
      </c>
      <c r="Q3378" s="7" t="str">
        <f t="shared" si="320"/>
        <v>C83</v>
      </c>
      <c r="R3378" s="7" t="str">
        <f t="shared" si="321"/>
        <v>C61</v>
      </c>
      <c r="S3378" s="18">
        <f t="shared" si="322"/>
        <v>1.1712417701443738</v>
      </c>
      <c r="T3378" s="18">
        <f>S3378/Explications!$C$8</f>
        <v>3.904139233814579E-2</v>
      </c>
    </row>
    <row r="3379" spans="7:20">
      <c r="G3379" s="7" t="s">
        <v>77</v>
      </c>
      <c r="H3379" s="7" t="s">
        <v>100</v>
      </c>
      <c r="I3379" s="7">
        <v>46.810899999999997</v>
      </c>
      <c r="J3379" s="7">
        <v>-71.215599999999995</v>
      </c>
      <c r="K3379" s="7">
        <v>46.837600000000002</v>
      </c>
      <c r="L3379" s="7">
        <v>-71.196299999999994</v>
      </c>
      <c r="M3379" s="10" t="str">
        <f t="shared" si="317"/>
        <v>C61</v>
      </c>
      <c r="N3379" s="10" t="str">
        <f t="shared" si="318"/>
        <v>C84</v>
      </c>
      <c r="O3379" s="5">
        <f t="shared" si="319"/>
        <v>3.3121966099501132</v>
      </c>
      <c r="P3379" s="22">
        <f>O3379/Explications!$C$8</f>
        <v>0.11040655366500378</v>
      </c>
      <c r="Q3379" s="7" t="str">
        <f t="shared" si="320"/>
        <v>C84</v>
      </c>
      <c r="R3379" s="7" t="str">
        <f t="shared" si="321"/>
        <v>C61</v>
      </c>
      <c r="S3379" s="18">
        <f t="shared" si="322"/>
        <v>3.3121966099501132</v>
      </c>
      <c r="T3379" s="18">
        <f>S3379/Explications!$C$8</f>
        <v>0.11040655366500378</v>
      </c>
    </row>
    <row r="3380" spans="7:20">
      <c r="G3380" s="7" t="s">
        <v>77</v>
      </c>
      <c r="H3380" s="7" t="s">
        <v>101</v>
      </c>
      <c r="I3380" s="7">
        <v>46.810899999999997</v>
      </c>
      <c r="J3380" s="7">
        <v>-71.215599999999995</v>
      </c>
      <c r="K3380" s="7">
        <v>46.7988</v>
      </c>
      <c r="L3380" s="7">
        <v>-71.318200000000004</v>
      </c>
      <c r="M3380" s="10" t="str">
        <f t="shared" si="317"/>
        <v>C61</v>
      </c>
      <c r="N3380" s="10" t="str">
        <f t="shared" si="318"/>
        <v>C85</v>
      </c>
      <c r="O3380" s="5">
        <f t="shared" si="319"/>
        <v>7.9240796677069545</v>
      </c>
      <c r="P3380" s="22">
        <f>O3380/Explications!$C$8</f>
        <v>0.26413598892356516</v>
      </c>
      <c r="Q3380" s="7" t="str">
        <f t="shared" si="320"/>
        <v>C85</v>
      </c>
      <c r="R3380" s="7" t="str">
        <f t="shared" si="321"/>
        <v>C61</v>
      </c>
      <c r="S3380" s="18">
        <f t="shared" si="322"/>
        <v>7.9240796677069545</v>
      </c>
      <c r="T3380" s="18">
        <f>S3380/Explications!$C$8</f>
        <v>0.26413598892356516</v>
      </c>
    </row>
    <row r="3381" spans="7:20">
      <c r="G3381" s="7" t="s">
        <v>78</v>
      </c>
      <c r="H3381" s="7" t="s">
        <v>79</v>
      </c>
      <c r="I3381" s="7">
        <v>46.795200000000001</v>
      </c>
      <c r="J3381" s="7">
        <v>-71.245099999999994</v>
      </c>
      <c r="K3381" s="7">
        <v>46.822000000000003</v>
      </c>
      <c r="L3381" s="7">
        <v>-71.345699999999994</v>
      </c>
      <c r="M3381" s="10" t="str">
        <f t="shared" si="317"/>
        <v>C62</v>
      </c>
      <c r="N3381" s="10" t="str">
        <f t="shared" si="318"/>
        <v>C63</v>
      </c>
      <c r="O3381" s="5">
        <f t="shared" si="319"/>
        <v>8.2157713813518374</v>
      </c>
      <c r="P3381" s="22">
        <f>O3381/Explications!$C$8</f>
        <v>0.27385904604506123</v>
      </c>
      <c r="Q3381" s="7" t="str">
        <f t="shared" si="320"/>
        <v>C63</v>
      </c>
      <c r="R3381" s="7" t="str">
        <f t="shared" si="321"/>
        <v>C62</v>
      </c>
      <c r="S3381" s="18">
        <f t="shared" si="322"/>
        <v>8.2157713813518374</v>
      </c>
      <c r="T3381" s="18">
        <f>S3381/Explications!$C$8</f>
        <v>0.27385904604506123</v>
      </c>
    </row>
    <row r="3382" spans="7:20">
      <c r="G3382" s="7" t="s">
        <v>78</v>
      </c>
      <c r="H3382" s="7" t="s">
        <v>80</v>
      </c>
      <c r="I3382" s="7">
        <v>46.795200000000001</v>
      </c>
      <c r="J3382" s="7">
        <v>-71.245099999999994</v>
      </c>
      <c r="K3382" s="7">
        <v>46.779400000000003</v>
      </c>
      <c r="L3382" s="7">
        <v>-71.350399999999993</v>
      </c>
      <c r="M3382" s="10" t="str">
        <f t="shared" si="317"/>
        <v>C62</v>
      </c>
      <c r="N3382" s="10" t="str">
        <f t="shared" si="318"/>
        <v>C64</v>
      </c>
      <c r="O3382" s="5">
        <f t="shared" si="319"/>
        <v>8.2073784700647359</v>
      </c>
      <c r="P3382" s="22">
        <f>O3382/Explications!$C$8</f>
        <v>0.27357928233549117</v>
      </c>
      <c r="Q3382" s="7" t="str">
        <f t="shared" si="320"/>
        <v>C64</v>
      </c>
      <c r="R3382" s="7" t="str">
        <f t="shared" si="321"/>
        <v>C62</v>
      </c>
      <c r="S3382" s="18">
        <f t="shared" si="322"/>
        <v>8.2073784700647359</v>
      </c>
      <c r="T3382" s="18">
        <f>S3382/Explications!$C$8</f>
        <v>0.27357928233549117</v>
      </c>
    </row>
    <row r="3383" spans="7:20">
      <c r="G3383" s="7" t="s">
        <v>78</v>
      </c>
      <c r="H3383" s="7" t="s">
        <v>81</v>
      </c>
      <c r="I3383" s="7">
        <v>46.795200000000001</v>
      </c>
      <c r="J3383" s="7">
        <v>-71.245099999999994</v>
      </c>
      <c r="K3383" s="7">
        <v>46.772300000000001</v>
      </c>
      <c r="L3383" s="7">
        <v>-71.279799999999994</v>
      </c>
      <c r="M3383" s="10" t="str">
        <f t="shared" si="317"/>
        <v>C62</v>
      </c>
      <c r="N3383" s="10" t="str">
        <f t="shared" si="318"/>
        <v>C65</v>
      </c>
      <c r="O3383" s="5">
        <f t="shared" si="319"/>
        <v>3.6694209064932544</v>
      </c>
      <c r="P3383" s="22">
        <f>O3383/Explications!$C$8</f>
        <v>0.12231403021644181</v>
      </c>
      <c r="Q3383" s="7" t="str">
        <f t="shared" si="320"/>
        <v>C65</v>
      </c>
      <c r="R3383" s="7" t="str">
        <f t="shared" si="321"/>
        <v>C62</v>
      </c>
      <c r="S3383" s="18">
        <f t="shared" si="322"/>
        <v>3.6694209064932544</v>
      </c>
      <c r="T3383" s="18">
        <f>S3383/Explications!$C$8</f>
        <v>0.12231403021644181</v>
      </c>
    </row>
    <row r="3384" spans="7:20">
      <c r="G3384" s="7" t="s">
        <v>78</v>
      </c>
      <c r="H3384" s="7" t="s">
        <v>82</v>
      </c>
      <c r="I3384" s="7">
        <v>46.795200000000001</v>
      </c>
      <c r="J3384" s="7">
        <v>-71.245099999999994</v>
      </c>
      <c r="K3384" s="7">
        <v>46.814900000000002</v>
      </c>
      <c r="L3384" s="7">
        <v>-71.225200000000001</v>
      </c>
      <c r="M3384" s="10" t="str">
        <f t="shared" si="317"/>
        <v>C62</v>
      </c>
      <c r="N3384" s="10" t="str">
        <f t="shared" si="318"/>
        <v>C66</v>
      </c>
      <c r="O3384" s="5">
        <f t="shared" si="319"/>
        <v>2.6631761065557598</v>
      </c>
      <c r="P3384" s="22">
        <f>O3384/Explications!$C$8</f>
        <v>8.8772536885191988E-2</v>
      </c>
      <c r="Q3384" s="7" t="str">
        <f t="shared" si="320"/>
        <v>C66</v>
      </c>
      <c r="R3384" s="7" t="str">
        <f t="shared" si="321"/>
        <v>C62</v>
      </c>
      <c r="S3384" s="18">
        <f t="shared" si="322"/>
        <v>2.6631761065557598</v>
      </c>
      <c r="T3384" s="18">
        <f>S3384/Explications!$C$8</f>
        <v>8.8772536885191988E-2</v>
      </c>
    </row>
    <row r="3385" spans="7:20">
      <c r="G3385" s="7" t="s">
        <v>78</v>
      </c>
      <c r="H3385" s="7" t="s">
        <v>83</v>
      </c>
      <c r="I3385" s="7">
        <v>46.795200000000001</v>
      </c>
      <c r="J3385" s="7">
        <v>-71.245099999999994</v>
      </c>
      <c r="K3385" s="7">
        <v>46.814700000000002</v>
      </c>
      <c r="L3385" s="7">
        <v>-71.207300000000004</v>
      </c>
      <c r="M3385" s="10" t="str">
        <f t="shared" si="317"/>
        <v>C62</v>
      </c>
      <c r="N3385" s="10" t="str">
        <f t="shared" si="318"/>
        <v>C67</v>
      </c>
      <c r="O3385" s="5">
        <f t="shared" si="319"/>
        <v>3.602591997677826</v>
      </c>
      <c r="P3385" s="22">
        <f>O3385/Explications!$C$8</f>
        <v>0.12008639992259421</v>
      </c>
      <c r="Q3385" s="7" t="str">
        <f t="shared" si="320"/>
        <v>C67</v>
      </c>
      <c r="R3385" s="7" t="str">
        <f t="shared" si="321"/>
        <v>C62</v>
      </c>
      <c r="S3385" s="18">
        <f t="shared" si="322"/>
        <v>3.602591997677826</v>
      </c>
      <c r="T3385" s="18">
        <f>S3385/Explications!$C$8</f>
        <v>0.12008639992259421</v>
      </c>
    </row>
    <row r="3386" spans="7:20">
      <c r="G3386" s="7" t="s">
        <v>78</v>
      </c>
      <c r="H3386" s="7" t="s">
        <v>84</v>
      </c>
      <c r="I3386" s="7">
        <v>46.795200000000001</v>
      </c>
      <c r="J3386" s="7">
        <v>-71.245099999999994</v>
      </c>
      <c r="K3386" s="7">
        <v>46.815600000000003</v>
      </c>
      <c r="L3386" s="7">
        <v>-71.2029</v>
      </c>
      <c r="M3386" s="10" t="str">
        <f t="shared" si="317"/>
        <v>C62</v>
      </c>
      <c r="N3386" s="10" t="str">
        <f t="shared" si="318"/>
        <v>C68</v>
      </c>
      <c r="O3386" s="5">
        <f t="shared" si="319"/>
        <v>3.9321244502999733</v>
      </c>
      <c r="P3386" s="22">
        <f>O3386/Explications!$C$8</f>
        <v>0.13107081500999912</v>
      </c>
      <c r="Q3386" s="7" t="str">
        <f t="shared" si="320"/>
        <v>C68</v>
      </c>
      <c r="R3386" s="7" t="str">
        <f t="shared" si="321"/>
        <v>C62</v>
      </c>
      <c r="S3386" s="18">
        <f t="shared" si="322"/>
        <v>3.9321244502999733</v>
      </c>
      <c r="T3386" s="18">
        <f>S3386/Explications!$C$8</f>
        <v>0.13107081500999912</v>
      </c>
    </row>
    <row r="3387" spans="7:20">
      <c r="G3387" s="7" t="s">
        <v>78</v>
      </c>
      <c r="H3387" s="7" t="s">
        <v>85</v>
      </c>
      <c r="I3387" s="7">
        <v>46.795200000000001</v>
      </c>
      <c r="J3387" s="7">
        <v>-71.245099999999994</v>
      </c>
      <c r="K3387" s="7">
        <v>46.821899999999999</v>
      </c>
      <c r="L3387" s="7">
        <v>-71.249899999999997</v>
      </c>
      <c r="M3387" s="10" t="str">
        <f t="shared" si="317"/>
        <v>C62</v>
      </c>
      <c r="N3387" s="10" t="str">
        <f t="shared" si="318"/>
        <v>C69</v>
      </c>
      <c r="O3387" s="5">
        <f t="shared" si="319"/>
        <v>2.991294859163391</v>
      </c>
      <c r="P3387" s="22">
        <f>O3387/Explications!$C$8</f>
        <v>9.9709828638779696E-2</v>
      </c>
      <c r="Q3387" s="7" t="str">
        <f t="shared" si="320"/>
        <v>C69</v>
      </c>
      <c r="R3387" s="7" t="str">
        <f t="shared" si="321"/>
        <v>C62</v>
      </c>
      <c r="S3387" s="18">
        <f t="shared" si="322"/>
        <v>2.991294859163391</v>
      </c>
      <c r="T3387" s="18">
        <f>S3387/Explications!$C$8</f>
        <v>9.9709828638779696E-2</v>
      </c>
    </row>
    <row r="3388" spans="7:20">
      <c r="G3388" s="7" t="s">
        <v>78</v>
      </c>
      <c r="H3388" s="7" t="s">
        <v>86</v>
      </c>
      <c r="I3388" s="7">
        <v>46.795200000000001</v>
      </c>
      <c r="J3388" s="7">
        <v>-71.245099999999994</v>
      </c>
      <c r="K3388" s="7">
        <v>46.8872</v>
      </c>
      <c r="L3388" s="7">
        <v>-71.27</v>
      </c>
      <c r="M3388" s="10" t="str">
        <f t="shared" si="317"/>
        <v>C62</v>
      </c>
      <c r="N3388" s="10" t="str">
        <f t="shared" si="318"/>
        <v>C70</v>
      </c>
      <c r="O3388" s="5">
        <f t="shared" si="319"/>
        <v>10.403766245004729</v>
      </c>
      <c r="P3388" s="22">
        <f>O3388/Explications!$C$8</f>
        <v>0.34679220816682427</v>
      </c>
      <c r="Q3388" s="7" t="str">
        <f t="shared" si="320"/>
        <v>C70</v>
      </c>
      <c r="R3388" s="7" t="str">
        <f t="shared" si="321"/>
        <v>C62</v>
      </c>
      <c r="S3388" s="18">
        <f t="shared" si="322"/>
        <v>10.403766245004729</v>
      </c>
      <c r="T3388" s="18">
        <f>S3388/Explications!$C$8</f>
        <v>0.34679220816682427</v>
      </c>
    </row>
    <row r="3389" spans="7:20">
      <c r="G3389" s="7" t="s">
        <v>78</v>
      </c>
      <c r="H3389" s="7" t="s">
        <v>87</v>
      </c>
      <c r="I3389" s="7">
        <v>46.795200000000001</v>
      </c>
      <c r="J3389" s="7">
        <v>-71.245099999999994</v>
      </c>
      <c r="K3389" s="7">
        <v>46.816299999999998</v>
      </c>
      <c r="L3389" s="7">
        <v>-71.210300000000004</v>
      </c>
      <c r="M3389" s="10" t="str">
        <f t="shared" si="317"/>
        <v>C62</v>
      </c>
      <c r="N3389" s="10" t="str">
        <f t="shared" si="318"/>
        <v>C71</v>
      </c>
      <c r="O3389" s="5">
        <f t="shared" si="319"/>
        <v>3.5383542226866078</v>
      </c>
      <c r="P3389" s="22">
        <f>O3389/Explications!$C$8</f>
        <v>0.11794514075622026</v>
      </c>
      <c r="Q3389" s="7" t="str">
        <f t="shared" si="320"/>
        <v>C71</v>
      </c>
      <c r="R3389" s="7" t="str">
        <f t="shared" si="321"/>
        <v>C62</v>
      </c>
      <c r="S3389" s="18">
        <f t="shared" si="322"/>
        <v>3.5383542226866078</v>
      </c>
      <c r="T3389" s="18">
        <f>S3389/Explications!$C$8</f>
        <v>0.11794514075622026</v>
      </c>
    </row>
    <row r="3390" spans="7:20">
      <c r="G3390" s="7" t="s">
        <v>78</v>
      </c>
      <c r="H3390" s="7" t="s">
        <v>88</v>
      </c>
      <c r="I3390" s="7">
        <v>46.795200000000001</v>
      </c>
      <c r="J3390" s="7">
        <v>-71.245099999999994</v>
      </c>
      <c r="K3390" s="7">
        <v>46.807000000000002</v>
      </c>
      <c r="L3390" s="7">
        <v>-71.3566</v>
      </c>
      <c r="M3390" s="10" t="str">
        <f t="shared" si="317"/>
        <v>C62</v>
      </c>
      <c r="N3390" s="10" t="str">
        <f t="shared" si="318"/>
        <v>C72</v>
      </c>
      <c r="O3390" s="5">
        <f t="shared" si="319"/>
        <v>8.5878283004477058</v>
      </c>
      <c r="P3390" s="22">
        <f>O3390/Explications!$C$8</f>
        <v>0.28626094334825686</v>
      </c>
      <c r="Q3390" s="7" t="str">
        <f t="shared" si="320"/>
        <v>C72</v>
      </c>
      <c r="R3390" s="7" t="str">
        <f t="shared" si="321"/>
        <v>C62</v>
      </c>
      <c r="S3390" s="18">
        <f t="shared" si="322"/>
        <v>8.5878283004477058</v>
      </c>
      <c r="T3390" s="18">
        <f>S3390/Explications!$C$8</f>
        <v>0.28626094334825686</v>
      </c>
    </row>
    <row r="3391" spans="7:20">
      <c r="G3391" s="7" t="s">
        <v>78</v>
      </c>
      <c r="H3391" s="7" t="s">
        <v>89</v>
      </c>
      <c r="I3391" s="7">
        <v>46.795200000000001</v>
      </c>
      <c r="J3391" s="7">
        <v>-71.245099999999994</v>
      </c>
      <c r="K3391" s="7">
        <v>46.822899999999997</v>
      </c>
      <c r="L3391" s="7">
        <v>-71.341899999999995</v>
      </c>
      <c r="M3391" s="10" t="str">
        <f t="shared" si="317"/>
        <v>C62</v>
      </c>
      <c r="N3391" s="10" t="str">
        <f t="shared" si="318"/>
        <v>C73</v>
      </c>
      <c r="O3391" s="5">
        <f t="shared" si="319"/>
        <v>7.9849655436791789</v>
      </c>
      <c r="P3391" s="22">
        <f>O3391/Explications!$C$8</f>
        <v>0.26616551812263928</v>
      </c>
      <c r="Q3391" s="7" t="str">
        <f t="shared" si="320"/>
        <v>C73</v>
      </c>
      <c r="R3391" s="7" t="str">
        <f t="shared" si="321"/>
        <v>C62</v>
      </c>
      <c r="S3391" s="18">
        <f t="shared" si="322"/>
        <v>7.9849655436791789</v>
      </c>
      <c r="T3391" s="18">
        <f>S3391/Explications!$C$8</f>
        <v>0.26616551812263928</v>
      </c>
    </row>
    <row r="3392" spans="7:20">
      <c r="G3392" s="7" t="s">
        <v>78</v>
      </c>
      <c r="H3392" s="7" t="s">
        <v>90</v>
      </c>
      <c r="I3392" s="7">
        <v>46.795200000000001</v>
      </c>
      <c r="J3392" s="7">
        <v>-71.245099999999994</v>
      </c>
      <c r="K3392" s="7">
        <v>46.730699999999999</v>
      </c>
      <c r="L3392" s="7">
        <v>-71.261099999999999</v>
      </c>
      <c r="M3392" s="10" t="str">
        <f t="shared" si="317"/>
        <v>C62</v>
      </c>
      <c r="N3392" s="10" t="str">
        <f t="shared" si="318"/>
        <v>C74</v>
      </c>
      <c r="O3392" s="5">
        <f t="shared" si="319"/>
        <v>7.2748833373704525</v>
      </c>
      <c r="P3392" s="22">
        <f>O3392/Explications!$C$8</f>
        <v>0.24249611124568174</v>
      </c>
      <c r="Q3392" s="7" t="str">
        <f t="shared" si="320"/>
        <v>C74</v>
      </c>
      <c r="R3392" s="7" t="str">
        <f t="shared" si="321"/>
        <v>C62</v>
      </c>
      <c r="S3392" s="18">
        <f t="shared" si="322"/>
        <v>7.2748833373704525</v>
      </c>
      <c r="T3392" s="18">
        <f>S3392/Explications!$C$8</f>
        <v>0.24249611124568174</v>
      </c>
    </row>
    <row r="3393" spans="7:20">
      <c r="G3393" s="7" t="s">
        <v>78</v>
      </c>
      <c r="H3393" s="7" t="s">
        <v>91</v>
      </c>
      <c r="I3393" s="7">
        <v>46.795200000000001</v>
      </c>
      <c r="J3393" s="7">
        <v>-71.245099999999994</v>
      </c>
      <c r="K3393" s="7">
        <v>46.840600000000002</v>
      </c>
      <c r="L3393" s="7">
        <v>-71.289100000000005</v>
      </c>
      <c r="M3393" s="10" t="str">
        <f t="shared" si="317"/>
        <v>C62</v>
      </c>
      <c r="N3393" s="10" t="str">
        <f t="shared" si="318"/>
        <v>C75</v>
      </c>
      <c r="O3393" s="5">
        <f t="shared" si="319"/>
        <v>6.0575980511628131</v>
      </c>
      <c r="P3393" s="22">
        <f>O3393/Explications!$C$8</f>
        <v>0.20191993503876043</v>
      </c>
      <c r="Q3393" s="7" t="str">
        <f t="shared" si="320"/>
        <v>C75</v>
      </c>
      <c r="R3393" s="7" t="str">
        <f t="shared" si="321"/>
        <v>C62</v>
      </c>
      <c r="S3393" s="18">
        <f t="shared" si="322"/>
        <v>6.0575980511628131</v>
      </c>
      <c r="T3393" s="18">
        <f>S3393/Explications!$C$8</f>
        <v>0.20191993503876043</v>
      </c>
    </row>
    <row r="3394" spans="7:20">
      <c r="G3394" s="7" t="s">
        <v>78</v>
      </c>
      <c r="H3394" s="7" t="s">
        <v>92</v>
      </c>
      <c r="I3394" s="7">
        <v>46.795200000000001</v>
      </c>
      <c r="J3394" s="7">
        <v>-71.245099999999994</v>
      </c>
      <c r="K3394" s="7">
        <v>46.840600000000002</v>
      </c>
      <c r="L3394" s="7">
        <v>-71.281599999999997</v>
      </c>
      <c r="M3394" s="10" t="str">
        <f t="shared" si="317"/>
        <v>C62</v>
      </c>
      <c r="N3394" s="10" t="str">
        <f t="shared" si="318"/>
        <v>C76</v>
      </c>
      <c r="O3394" s="5">
        <f t="shared" si="319"/>
        <v>5.7618321883704553</v>
      </c>
      <c r="P3394" s="22">
        <f>O3394/Explications!$C$8</f>
        <v>0.19206107294568184</v>
      </c>
      <c r="Q3394" s="7" t="str">
        <f t="shared" si="320"/>
        <v>C76</v>
      </c>
      <c r="R3394" s="7" t="str">
        <f t="shared" si="321"/>
        <v>C62</v>
      </c>
      <c r="S3394" s="18">
        <f t="shared" si="322"/>
        <v>5.7618321883704553</v>
      </c>
      <c r="T3394" s="18">
        <f>S3394/Explications!$C$8</f>
        <v>0.19206107294568184</v>
      </c>
    </row>
    <row r="3395" spans="7:20">
      <c r="G3395" s="7" t="s">
        <v>78</v>
      </c>
      <c r="H3395" s="7" t="s">
        <v>93</v>
      </c>
      <c r="I3395" s="7">
        <v>46.795200000000001</v>
      </c>
      <c r="J3395" s="7">
        <v>-71.245099999999994</v>
      </c>
      <c r="K3395" s="7">
        <v>46.839399999999998</v>
      </c>
      <c r="L3395" s="7">
        <v>-71.282600000000002</v>
      </c>
      <c r="M3395" s="10" t="str">
        <f t="shared" si="317"/>
        <v>C62</v>
      </c>
      <c r="N3395" s="10" t="str">
        <f t="shared" si="318"/>
        <v>C77</v>
      </c>
      <c r="O3395" s="5">
        <f t="shared" si="319"/>
        <v>5.6831285354531538</v>
      </c>
      <c r="P3395" s="22">
        <f>O3395/Explications!$C$8</f>
        <v>0.18943761784843846</v>
      </c>
      <c r="Q3395" s="7" t="str">
        <f t="shared" si="320"/>
        <v>C77</v>
      </c>
      <c r="R3395" s="7" t="str">
        <f t="shared" si="321"/>
        <v>C62</v>
      </c>
      <c r="S3395" s="18">
        <f t="shared" si="322"/>
        <v>5.6831285354531538</v>
      </c>
      <c r="T3395" s="18">
        <f>S3395/Explications!$C$8</f>
        <v>0.18943761784843846</v>
      </c>
    </row>
    <row r="3396" spans="7:20">
      <c r="G3396" s="7" t="s">
        <v>78</v>
      </c>
      <c r="H3396" s="7" t="s">
        <v>94</v>
      </c>
      <c r="I3396" s="7">
        <v>46.795200000000001</v>
      </c>
      <c r="J3396" s="7">
        <v>-71.245099999999994</v>
      </c>
      <c r="K3396" s="7">
        <v>46.788499999999999</v>
      </c>
      <c r="L3396" s="7">
        <v>-71.282399999999996</v>
      </c>
      <c r="M3396" s="10" t="str">
        <f t="shared" ref="M3396:M3459" si="323">G3396</f>
        <v>C62</v>
      </c>
      <c r="N3396" s="10" t="str">
        <f t="shared" ref="N3396:N3459" si="324">H3396</f>
        <v>C78</v>
      </c>
      <c r="O3396" s="5">
        <f t="shared" ref="O3396:O3459" si="325">ACOS(SIN(RADIANS(I3396))*SIN(RADIANS(K3396))+COS(RADIANS(I3396))*COS(RADIANS(K3396))*COS(RADIANS(J3396-L3396)))*6371</f>
        <v>2.9357410419714203</v>
      </c>
      <c r="P3396" s="22">
        <f>O3396/Explications!$C$8</f>
        <v>9.785803473238068E-2</v>
      </c>
      <c r="Q3396" s="7" t="str">
        <f t="shared" ref="Q3396:Q3459" si="326">N3396</f>
        <v>C78</v>
      </c>
      <c r="R3396" s="7" t="str">
        <f t="shared" ref="R3396:R3459" si="327">M3396</f>
        <v>C62</v>
      </c>
      <c r="S3396" s="18">
        <f t="shared" ref="S3396:S3459" si="328">O3396</f>
        <v>2.9357410419714203</v>
      </c>
      <c r="T3396" s="18">
        <f>S3396/Explications!$C$8</f>
        <v>9.785803473238068E-2</v>
      </c>
    </row>
    <row r="3397" spans="7:20">
      <c r="G3397" s="7" t="s">
        <v>78</v>
      </c>
      <c r="H3397" s="7" t="s">
        <v>95</v>
      </c>
      <c r="I3397" s="7">
        <v>46.795200000000001</v>
      </c>
      <c r="J3397" s="7">
        <v>-71.245099999999994</v>
      </c>
      <c r="K3397" s="7">
        <v>46.840699999999998</v>
      </c>
      <c r="L3397" s="7">
        <v>-71.325400000000002</v>
      </c>
      <c r="M3397" s="10" t="str">
        <f t="shared" si="323"/>
        <v>C62</v>
      </c>
      <c r="N3397" s="10" t="str">
        <f t="shared" si="324"/>
        <v>C79</v>
      </c>
      <c r="O3397" s="5">
        <f t="shared" si="325"/>
        <v>7.9329912277501169</v>
      </c>
      <c r="P3397" s="22">
        <f>O3397/Explications!$C$8</f>
        <v>0.26443304092500391</v>
      </c>
      <c r="Q3397" s="7" t="str">
        <f t="shared" si="326"/>
        <v>C79</v>
      </c>
      <c r="R3397" s="7" t="str">
        <f t="shared" si="327"/>
        <v>C62</v>
      </c>
      <c r="S3397" s="18">
        <f t="shared" si="328"/>
        <v>7.9329912277501169</v>
      </c>
      <c r="T3397" s="18">
        <f>S3397/Explications!$C$8</f>
        <v>0.26443304092500391</v>
      </c>
    </row>
    <row r="3398" spans="7:20">
      <c r="G3398" s="7" t="s">
        <v>78</v>
      </c>
      <c r="H3398" s="7" t="s">
        <v>96</v>
      </c>
      <c r="I3398" s="7">
        <v>46.795200000000001</v>
      </c>
      <c r="J3398" s="7">
        <v>-71.245099999999994</v>
      </c>
      <c r="K3398" s="7">
        <v>46.798400000000001</v>
      </c>
      <c r="L3398" s="7">
        <v>-71.183199999999999</v>
      </c>
      <c r="M3398" s="10" t="str">
        <f t="shared" si="323"/>
        <v>C62</v>
      </c>
      <c r="N3398" s="10" t="str">
        <f t="shared" si="324"/>
        <v>C80</v>
      </c>
      <c r="O3398" s="5">
        <f t="shared" si="325"/>
        <v>4.7254103465163073</v>
      </c>
      <c r="P3398" s="22">
        <f>O3398/Explications!$C$8</f>
        <v>0.15751367821721024</v>
      </c>
      <c r="Q3398" s="7" t="str">
        <f t="shared" si="326"/>
        <v>C80</v>
      </c>
      <c r="R3398" s="7" t="str">
        <f t="shared" si="327"/>
        <v>C62</v>
      </c>
      <c r="S3398" s="18">
        <f t="shared" si="328"/>
        <v>4.7254103465163073</v>
      </c>
      <c r="T3398" s="18">
        <f>S3398/Explications!$C$8</f>
        <v>0.15751367821721024</v>
      </c>
    </row>
    <row r="3399" spans="7:20">
      <c r="G3399" s="7" t="s">
        <v>78</v>
      </c>
      <c r="H3399" s="7" t="s">
        <v>97</v>
      </c>
      <c r="I3399" s="7">
        <v>46.795200000000001</v>
      </c>
      <c r="J3399" s="7">
        <v>-71.245099999999994</v>
      </c>
      <c r="K3399" s="7">
        <v>46.724800000000002</v>
      </c>
      <c r="L3399" s="7">
        <v>-71.2988</v>
      </c>
      <c r="M3399" s="10" t="str">
        <f t="shared" si="323"/>
        <v>C62</v>
      </c>
      <c r="N3399" s="10" t="str">
        <f t="shared" si="324"/>
        <v>C81</v>
      </c>
      <c r="O3399" s="5">
        <f t="shared" si="325"/>
        <v>8.8324610936592585</v>
      </c>
      <c r="P3399" s="22">
        <f>O3399/Explications!$C$8</f>
        <v>0.29441536978864197</v>
      </c>
      <c r="Q3399" s="7" t="str">
        <f t="shared" si="326"/>
        <v>C81</v>
      </c>
      <c r="R3399" s="7" t="str">
        <f t="shared" si="327"/>
        <v>C62</v>
      </c>
      <c r="S3399" s="18">
        <f t="shared" si="328"/>
        <v>8.8324610936592585</v>
      </c>
      <c r="T3399" s="18">
        <f>S3399/Explications!$C$8</f>
        <v>0.29441536978864197</v>
      </c>
    </row>
    <row r="3400" spans="7:20">
      <c r="G3400" s="7" t="s">
        <v>78</v>
      </c>
      <c r="H3400" s="7" t="s">
        <v>98</v>
      </c>
      <c r="I3400" s="7">
        <v>46.795200000000001</v>
      </c>
      <c r="J3400" s="7">
        <v>-71.245099999999994</v>
      </c>
      <c r="K3400" s="7">
        <v>46.795499999999997</v>
      </c>
      <c r="L3400" s="7">
        <v>-71.242900000000006</v>
      </c>
      <c r="M3400" s="10" t="str">
        <f t="shared" si="323"/>
        <v>C62</v>
      </c>
      <c r="N3400" s="10" t="str">
        <f t="shared" si="324"/>
        <v>C82</v>
      </c>
      <c r="O3400" s="5">
        <f t="shared" si="325"/>
        <v>0.17076437736964589</v>
      </c>
      <c r="P3400" s="22">
        <f>O3400/Explications!$C$8</f>
        <v>5.69214591232153E-3</v>
      </c>
      <c r="Q3400" s="7" t="str">
        <f t="shared" si="326"/>
        <v>C82</v>
      </c>
      <c r="R3400" s="7" t="str">
        <f t="shared" si="327"/>
        <v>C62</v>
      </c>
      <c r="S3400" s="18">
        <f t="shared" si="328"/>
        <v>0.17076437736964589</v>
      </c>
      <c r="T3400" s="18">
        <f>S3400/Explications!$C$8</f>
        <v>5.69214591232153E-3</v>
      </c>
    </row>
    <row r="3401" spans="7:20">
      <c r="G3401" s="7" t="s">
        <v>78</v>
      </c>
      <c r="H3401" s="7" t="s">
        <v>99</v>
      </c>
      <c r="I3401" s="7">
        <v>46.795200000000001</v>
      </c>
      <c r="J3401" s="7">
        <v>-71.245099999999994</v>
      </c>
      <c r="K3401" s="7">
        <v>46.8157</v>
      </c>
      <c r="L3401" s="7">
        <v>-71.201899999999995</v>
      </c>
      <c r="M3401" s="10" t="str">
        <f t="shared" si="323"/>
        <v>C62</v>
      </c>
      <c r="N3401" s="10" t="str">
        <f t="shared" si="324"/>
        <v>C83</v>
      </c>
      <c r="O3401" s="5">
        <f t="shared" si="325"/>
        <v>4.0008572500076003</v>
      </c>
      <c r="P3401" s="22">
        <f>O3401/Explications!$C$8</f>
        <v>0.13336190833358669</v>
      </c>
      <c r="Q3401" s="7" t="str">
        <f t="shared" si="326"/>
        <v>C83</v>
      </c>
      <c r="R3401" s="7" t="str">
        <f t="shared" si="327"/>
        <v>C62</v>
      </c>
      <c r="S3401" s="18">
        <f t="shared" si="328"/>
        <v>4.0008572500076003</v>
      </c>
      <c r="T3401" s="18">
        <f>S3401/Explications!$C$8</f>
        <v>0.13336190833358669</v>
      </c>
    </row>
    <row r="3402" spans="7:20">
      <c r="G3402" s="7" t="s">
        <v>78</v>
      </c>
      <c r="H3402" s="7" t="s">
        <v>100</v>
      </c>
      <c r="I3402" s="7">
        <v>46.795200000000001</v>
      </c>
      <c r="J3402" s="7">
        <v>-71.245099999999994</v>
      </c>
      <c r="K3402" s="7">
        <v>46.837600000000002</v>
      </c>
      <c r="L3402" s="7">
        <v>-71.196299999999994</v>
      </c>
      <c r="M3402" s="10" t="str">
        <f t="shared" si="323"/>
        <v>C62</v>
      </c>
      <c r="N3402" s="10" t="str">
        <f t="shared" si="324"/>
        <v>C84</v>
      </c>
      <c r="O3402" s="5">
        <f t="shared" si="325"/>
        <v>6.0014710265499769</v>
      </c>
      <c r="P3402" s="22">
        <f>O3402/Explications!$C$8</f>
        <v>0.20004903421833256</v>
      </c>
      <c r="Q3402" s="7" t="str">
        <f t="shared" si="326"/>
        <v>C84</v>
      </c>
      <c r="R3402" s="7" t="str">
        <f t="shared" si="327"/>
        <v>C62</v>
      </c>
      <c r="S3402" s="18">
        <f t="shared" si="328"/>
        <v>6.0014710265499769</v>
      </c>
      <c r="T3402" s="18">
        <f>S3402/Explications!$C$8</f>
        <v>0.20004903421833256</v>
      </c>
    </row>
    <row r="3403" spans="7:20">
      <c r="G3403" s="7" t="s">
        <v>78</v>
      </c>
      <c r="H3403" s="7" t="s">
        <v>101</v>
      </c>
      <c r="I3403" s="7">
        <v>46.795200000000001</v>
      </c>
      <c r="J3403" s="7">
        <v>-71.245099999999994</v>
      </c>
      <c r="K3403" s="7">
        <v>46.7988</v>
      </c>
      <c r="L3403" s="7">
        <v>-71.318200000000004</v>
      </c>
      <c r="M3403" s="10" t="str">
        <f t="shared" si="323"/>
        <v>C62</v>
      </c>
      <c r="N3403" s="10" t="str">
        <f t="shared" si="324"/>
        <v>C85</v>
      </c>
      <c r="O3403" s="5">
        <f t="shared" si="325"/>
        <v>5.5789277617724542</v>
      </c>
      <c r="P3403" s="22">
        <f>O3403/Explications!$C$8</f>
        <v>0.18596425872574848</v>
      </c>
      <c r="Q3403" s="7" t="str">
        <f t="shared" si="326"/>
        <v>C85</v>
      </c>
      <c r="R3403" s="7" t="str">
        <f t="shared" si="327"/>
        <v>C62</v>
      </c>
      <c r="S3403" s="18">
        <f t="shared" si="328"/>
        <v>5.5789277617724542</v>
      </c>
      <c r="T3403" s="18">
        <f>S3403/Explications!$C$8</f>
        <v>0.18596425872574848</v>
      </c>
    </row>
    <row r="3404" spans="7:20">
      <c r="G3404" s="7" t="s">
        <v>79</v>
      </c>
      <c r="H3404" s="7" t="s">
        <v>80</v>
      </c>
      <c r="I3404" s="7">
        <v>46.822000000000003</v>
      </c>
      <c r="J3404" s="7">
        <v>-71.345699999999994</v>
      </c>
      <c r="K3404" s="7">
        <v>46.779400000000003</v>
      </c>
      <c r="L3404" s="7">
        <v>-71.350399999999993</v>
      </c>
      <c r="M3404" s="10" t="str">
        <f t="shared" si="323"/>
        <v>C63</v>
      </c>
      <c r="N3404" s="10" t="str">
        <f t="shared" si="324"/>
        <v>C64</v>
      </c>
      <c r="O3404" s="5">
        <f t="shared" si="325"/>
        <v>4.750394074077076</v>
      </c>
      <c r="P3404" s="22">
        <f>O3404/Explications!$C$8</f>
        <v>0.15834646913590253</v>
      </c>
      <c r="Q3404" s="7" t="str">
        <f t="shared" si="326"/>
        <v>C64</v>
      </c>
      <c r="R3404" s="7" t="str">
        <f t="shared" si="327"/>
        <v>C63</v>
      </c>
      <c r="S3404" s="18">
        <f t="shared" si="328"/>
        <v>4.750394074077076</v>
      </c>
      <c r="T3404" s="18">
        <f>S3404/Explications!$C$8</f>
        <v>0.15834646913590253</v>
      </c>
    </row>
    <row r="3405" spans="7:20">
      <c r="G3405" s="7" t="s">
        <v>79</v>
      </c>
      <c r="H3405" s="7" t="s">
        <v>81</v>
      </c>
      <c r="I3405" s="7">
        <v>46.822000000000003</v>
      </c>
      <c r="J3405" s="7">
        <v>-71.345699999999994</v>
      </c>
      <c r="K3405" s="7">
        <v>46.772300000000001</v>
      </c>
      <c r="L3405" s="7">
        <v>-71.279799999999994</v>
      </c>
      <c r="M3405" s="10" t="str">
        <f t="shared" si="323"/>
        <v>C63</v>
      </c>
      <c r="N3405" s="10" t="str">
        <f t="shared" si="324"/>
        <v>C65</v>
      </c>
      <c r="O3405" s="5">
        <f t="shared" si="325"/>
        <v>7.4636286658536619</v>
      </c>
      <c r="P3405" s="22">
        <f>O3405/Explications!$C$8</f>
        <v>0.24878762219512207</v>
      </c>
      <c r="Q3405" s="7" t="str">
        <f t="shared" si="326"/>
        <v>C65</v>
      </c>
      <c r="R3405" s="7" t="str">
        <f t="shared" si="327"/>
        <v>C63</v>
      </c>
      <c r="S3405" s="18">
        <f t="shared" si="328"/>
        <v>7.4636286658536619</v>
      </c>
      <c r="T3405" s="18">
        <f>S3405/Explications!$C$8</f>
        <v>0.24878762219512207</v>
      </c>
    </row>
    <row r="3406" spans="7:20">
      <c r="G3406" s="7" t="s">
        <v>79</v>
      </c>
      <c r="H3406" s="7" t="s">
        <v>82</v>
      </c>
      <c r="I3406" s="7">
        <v>46.822000000000003</v>
      </c>
      <c r="J3406" s="7">
        <v>-71.345699999999994</v>
      </c>
      <c r="K3406" s="7">
        <v>46.814900000000002</v>
      </c>
      <c r="L3406" s="7">
        <v>-71.225200000000001</v>
      </c>
      <c r="M3406" s="10" t="str">
        <f t="shared" si="323"/>
        <v>C63</v>
      </c>
      <c r="N3406" s="10" t="str">
        <f t="shared" si="324"/>
        <v>C66</v>
      </c>
      <c r="O3406" s="5">
        <f t="shared" si="325"/>
        <v>9.2030178692326245</v>
      </c>
      <c r="P3406" s="22">
        <f>O3406/Explications!$C$8</f>
        <v>0.30676726230775414</v>
      </c>
      <c r="Q3406" s="7" t="str">
        <f t="shared" si="326"/>
        <v>C66</v>
      </c>
      <c r="R3406" s="7" t="str">
        <f t="shared" si="327"/>
        <v>C63</v>
      </c>
      <c r="S3406" s="18">
        <f t="shared" si="328"/>
        <v>9.2030178692326245</v>
      </c>
      <c r="T3406" s="18">
        <f>S3406/Explications!$C$8</f>
        <v>0.30676726230775414</v>
      </c>
    </row>
    <row r="3407" spans="7:20">
      <c r="G3407" s="7" t="s">
        <v>79</v>
      </c>
      <c r="H3407" s="7" t="s">
        <v>83</v>
      </c>
      <c r="I3407" s="7">
        <v>46.822000000000003</v>
      </c>
      <c r="J3407" s="7">
        <v>-71.345699999999994</v>
      </c>
      <c r="K3407" s="7">
        <v>46.814700000000002</v>
      </c>
      <c r="L3407" s="7">
        <v>-71.207300000000004</v>
      </c>
      <c r="M3407" s="10" t="str">
        <f t="shared" si="323"/>
        <v>C63</v>
      </c>
      <c r="N3407" s="10" t="str">
        <f t="shared" si="324"/>
        <v>C67</v>
      </c>
      <c r="O3407" s="5">
        <f t="shared" si="325"/>
        <v>10.562396002045947</v>
      </c>
      <c r="P3407" s="22">
        <f>O3407/Explications!$C$8</f>
        <v>0.35207986673486491</v>
      </c>
      <c r="Q3407" s="7" t="str">
        <f t="shared" si="326"/>
        <v>C67</v>
      </c>
      <c r="R3407" s="7" t="str">
        <f t="shared" si="327"/>
        <v>C63</v>
      </c>
      <c r="S3407" s="18">
        <f t="shared" si="328"/>
        <v>10.562396002045947</v>
      </c>
      <c r="T3407" s="18">
        <f>S3407/Explications!$C$8</f>
        <v>0.35207986673486491</v>
      </c>
    </row>
    <row r="3408" spans="7:20">
      <c r="G3408" s="7" t="s">
        <v>79</v>
      </c>
      <c r="H3408" s="7" t="s">
        <v>84</v>
      </c>
      <c r="I3408" s="7">
        <v>46.822000000000003</v>
      </c>
      <c r="J3408" s="7">
        <v>-71.345699999999994</v>
      </c>
      <c r="K3408" s="7">
        <v>46.815600000000003</v>
      </c>
      <c r="L3408" s="7">
        <v>-71.2029</v>
      </c>
      <c r="M3408" s="10" t="str">
        <f t="shared" si="323"/>
        <v>C63</v>
      </c>
      <c r="N3408" s="10" t="str">
        <f t="shared" si="324"/>
        <v>C68</v>
      </c>
      <c r="O3408" s="5">
        <f t="shared" si="325"/>
        <v>10.889153188140559</v>
      </c>
      <c r="P3408" s="22">
        <f>O3408/Explications!$C$8</f>
        <v>0.36297177293801863</v>
      </c>
      <c r="Q3408" s="7" t="str">
        <f t="shared" si="326"/>
        <v>C68</v>
      </c>
      <c r="R3408" s="7" t="str">
        <f t="shared" si="327"/>
        <v>C63</v>
      </c>
      <c r="S3408" s="18">
        <f t="shared" si="328"/>
        <v>10.889153188140559</v>
      </c>
      <c r="T3408" s="18">
        <f>S3408/Explications!$C$8</f>
        <v>0.36297177293801863</v>
      </c>
    </row>
    <row r="3409" spans="7:20">
      <c r="G3409" s="7" t="s">
        <v>79</v>
      </c>
      <c r="H3409" s="7" t="s">
        <v>85</v>
      </c>
      <c r="I3409" s="7">
        <v>46.822000000000003</v>
      </c>
      <c r="J3409" s="7">
        <v>-71.345699999999994</v>
      </c>
      <c r="K3409" s="7">
        <v>46.821899999999999</v>
      </c>
      <c r="L3409" s="7">
        <v>-71.249899999999997</v>
      </c>
      <c r="M3409" s="10" t="str">
        <f t="shared" si="323"/>
        <v>C63</v>
      </c>
      <c r="N3409" s="10" t="str">
        <f t="shared" si="324"/>
        <v>C69</v>
      </c>
      <c r="O3409" s="5">
        <f t="shared" si="325"/>
        <v>7.2891528310287645</v>
      </c>
      <c r="P3409" s="22">
        <f>O3409/Explications!$C$8</f>
        <v>0.24297176103429216</v>
      </c>
      <c r="Q3409" s="7" t="str">
        <f t="shared" si="326"/>
        <v>C69</v>
      </c>
      <c r="R3409" s="7" t="str">
        <f t="shared" si="327"/>
        <v>C63</v>
      </c>
      <c r="S3409" s="18">
        <f t="shared" si="328"/>
        <v>7.2891528310287645</v>
      </c>
      <c r="T3409" s="18">
        <f>S3409/Explications!$C$8</f>
        <v>0.24297176103429216</v>
      </c>
    </row>
    <row r="3410" spans="7:20">
      <c r="G3410" s="7" t="s">
        <v>79</v>
      </c>
      <c r="H3410" s="7" t="s">
        <v>86</v>
      </c>
      <c r="I3410" s="7">
        <v>46.822000000000003</v>
      </c>
      <c r="J3410" s="7">
        <v>-71.345699999999994</v>
      </c>
      <c r="K3410" s="7">
        <v>46.8872</v>
      </c>
      <c r="L3410" s="7">
        <v>-71.27</v>
      </c>
      <c r="M3410" s="10" t="str">
        <f t="shared" si="323"/>
        <v>C63</v>
      </c>
      <c r="N3410" s="10" t="str">
        <f t="shared" si="324"/>
        <v>C70</v>
      </c>
      <c r="O3410" s="5">
        <f t="shared" si="325"/>
        <v>9.2572187495786284</v>
      </c>
      <c r="P3410" s="22">
        <f>O3410/Explications!$C$8</f>
        <v>0.30857395831928763</v>
      </c>
      <c r="Q3410" s="7" t="str">
        <f t="shared" si="326"/>
        <v>C70</v>
      </c>
      <c r="R3410" s="7" t="str">
        <f t="shared" si="327"/>
        <v>C63</v>
      </c>
      <c r="S3410" s="18">
        <f t="shared" si="328"/>
        <v>9.2572187495786284</v>
      </c>
      <c r="T3410" s="18">
        <f>S3410/Explications!$C$8</f>
        <v>0.30857395831928763</v>
      </c>
    </row>
    <row r="3411" spans="7:20">
      <c r="G3411" s="7" t="s">
        <v>79</v>
      </c>
      <c r="H3411" s="7" t="s">
        <v>87</v>
      </c>
      <c r="I3411" s="7">
        <v>46.822000000000003</v>
      </c>
      <c r="J3411" s="7">
        <v>-71.345699999999994</v>
      </c>
      <c r="K3411" s="7">
        <v>46.816299999999998</v>
      </c>
      <c r="L3411" s="7">
        <v>-71.210300000000004</v>
      </c>
      <c r="M3411" s="10" t="str">
        <f t="shared" si="323"/>
        <v>C63</v>
      </c>
      <c r="N3411" s="10" t="str">
        <f t="shared" si="324"/>
        <v>C71</v>
      </c>
      <c r="O3411" s="5">
        <f t="shared" si="325"/>
        <v>10.322206678452861</v>
      </c>
      <c r="P3411" s="22">
        <f>O3411/Explications!$C$8</f>
        <v>0.3440735559484287</v>
      </c>
      <c r="Q3411" s="7" t="str">
        <f t="shared" si="326"/>
        <v>C71</v>
      </c>
      <c r="R3411" s="7" t="str">
        <f t="shared" si="327"/>
        <v>C63</v>
      </c>
      <c r="S3411" s="18">
        <f t="shared" si="328"/>
        <v>10.322206678452861</v>
      </c>
      <c r="T3411" s="18">
        <f>S3411/Explications!$C$8</f>
        <v>0.3440735559484287</v>
      </c>
    </row>
    <row r="3412" spans="7:20">
      <c r="G3412" s="7" t="s">
        <v>79</v>
      </c>
      <c r="H3412" s="7" t="s">
        <v>88</v>
      </c>
      <c r="I3412" s="7">
        <v>46.822000000000003</v>
      </c>
      <c r="J3412" s="7">
        <v>-71.345699999999994</v>
      </c>
      <c r="K3412" s="7">
        <v>46.807000000000002</v>
      </c>
      <c r="L3412" s="7">
        <v>-71.3566</v>
      </c>
      <c r="M3412" s="10" t="str">
        <f t="shared" si="323"/>
        <v>C63</v>
      </c>
      <c r="N3412" s="10" t="str">
        <f t="shared" si="324"/>
        <v>C72</v>
      </c>
      <c r="O3412" s="5">
        <f t="shared" si="325"/>
        <v>1.8627885731350149</v>
      </c>
      <c r="P3412" s="22">
        <f>O3412/Explications!$C$8</f>
        <v>6.2092952437833832E-2</v>
      </c>
      <c r="Q3412" s="7" t="str">
        <f t="shared" si="326"/>
        <v>C72</v>
      </c>
      <c r="R3412" s="7" t="str">
        <f t="shared" si="327"/>
        <v>C63</v>
      </c>
      <c r="S3412" s="18">
        <f t="shared" si="328"/>
        <v>1.8627885731350149</v>
      </c>
      <c r="T3412" s="18">
        <f>S3412/Explications!$C$8</f>
        <v>6.2092952437833832E-2</v>
      </c>
    </row>
    <row r="3413" spans="7:20">
      <c r="G3413" s="7" t="s">
        <v>79</v>
      </c>
      <c r="H3413" s="7" t="s">
        <v>89</v>
      </c>
      <c r="I3413" s="7">
        <v>46.822000000000003</v>
      </c>
      <c r="J3413" s="7">
        <v>-71.345699999999994</v>
      </c>
      <c r="K3413" s="7">
        <v>46.822899999999997</v>
      </c>
      <c r="L3413" s="7">
        <v>-71.341899999999995</v>
      </c>
      <c r="M3413" s="10" t="str">
        <f t="shared" si="323"/>
        <v>C63</v>
      </c>
      <c r="N3413" s="10" t="str">
        <f t="shared" si="324"/>
        <v>C73</v>
      </c>
      <c r="O3413" s="5">
        <f t="shared" si="325"/>
        <v>0.30595796671660946</v>
      </c>
      <c r="P3413" s="22">
        <f>O3413/Explications!$C$8</f>
        <v>1.019859889055365E-2</v>
      </c>
      <c r="Q3413" s="7" t="str">
        <f t="shared" si="326"/>
        <v>C73</v>
      </c>
      <c r="R3413" s="7" t="str">
        <f t="shared" si="327"/>
        <v>C63</v>
      </c>
      <c r="S3413" s="18">
        <f t="shared" si="328"/>
        <v>0.30595796671660946</v>
      </c>
      <c r="T3413" s="18">
        <f>S3413/Explications!$C$8</f>
        <v>1.019859889055365E-2</v>
      </c>
    </row>
    <row r="3414" spans="7:20">
      <c r="G3414" s="7" t="s">
        <v>79</v>
      </c>
      <c r="H3414" s="7" t="s">
        <v>90</v>
      </c>
      <c r="I3414" s="7">
        <v>46.822000000000003</v>
      </c>
      <c r="J3414" s="7">
        <v>-71.345699999999994</v>
      </c>
      <c r="K3414" s="7">
        <v>46.730699999999999</v>
      </c>
      <c r="L3414" s="7">
        <v>-71.261099999999999</v>
      </c>
      <c r="M3414" s="10" t="str">
        <f t="shared" si="323"/>
        <v>C63</v>
      </c>
      <c r="N3414" s="10" t="str">
        <f t="shared" si="324"/>
        <v>C74</v>
      </c>
      <c r="O3414" s="5">
        <f t="shared" si="325"/>
        <v>12.023721962598652</v>
      </c>
      <c r="P3414" s="22">
        <f>O3414/Explications!$C$8</f>
        <v>0.40079073208662169</v>
      </c>
      <c r="Q3414" s="7" t="str">
        <f t="shared" si="326"/>
        <v>C74</v>
      </c>
      <c r="R3414" s="7" t="str">
        <f t="shared" si="327"/>
        <v>C63</v>
      </c>
      <c r="S3414" s="18">
        <f t="shared" si="328"/>
        <v>12.023721962598652</v>
      </c>
      <c r="T3414" s="18">
        <f>S3414/Explications!$C$8</f>
        <v>0.40079073208662169</v>
      </c>
    </row>
    <row r="3415" spans="7:20">
      <c r="G3415" s="7" t="s">
        <v>79</v>
      </c>
      <c r="H3415" s="7" t="s">
        <v>91</v>
      </c>
      <c r="I3415" s="7">
        <v>46.822000000000003</v>
      </c>
      <c r="J3415" s="7">
        <v>-71.345699999999994</v>
      </c>
      <c r="K3415" s="7">
        <v>46.840600000000002</v>
      </c>
      <c r="L3415" s="7">
        <v>-71.289100000000005</v>
      </c>
      <c r="M3415" s="10" t="str">
        <f t="shared" si="323"/>
        <v>C63</v>
      </c>
      <c r="N3415" s="10" t="str">
        <f t="shared" si="324"/>
        <v>C75</v>
      </c>
      <c r="O3415" s="5">
        <f t="shared" si="325"/>
        <v>4.7767465530921198</v>
      </c>
      <c r="P3415" s="22">
        <f>O3415/Explications!$C$8</f>
        <v>0.15922488510307067</v>
      </c>
      <c r="Q3415" s="7" t="str">
        <f t="shared" si="326"/>
        <v>C75</v>
      </c>
      <c r="R3415" s="7" t="str">
        <f t="shared" si="327"/>
        <v>C63</v>
      </c>
      <c r="S3415" s="18">
        <f t="shared" si="328"/>
        <v>4.7767465530921198</v>
      </c>
      <c r="T3415" s="18">
        <f>S3415/Explications!$C$8</f>
        <v>0.15922488510307067</v>
      </c>
    </row>
    <row r="3416" spans="7:20">
      <c r="G3416" s="7" t="s">
        <v>79</v>
      </c>
      <c r="H3416" s="7" t="s">
        <v>92</v>
      </c>
      <c r="I3416" s="7">
        <v>46.822000000000003</v>
      </c>
      <c r="J3416" s="7">
        <v>-71.345699999999994</v>
      </c>
      <c r="K3416" s="7">
        <v>46.840600000000002</v>
      </c>
      <c r="L3416" s="7">
        <v>-71.281599999999997</v>
      </c>
      <c r="M3416" s="10" t="str">
        <f t="shared" si="323"/>
        <v>C63</v>
      </c>
      <c r="N3416" s="10" t="str">
        <f t="shared" si="324"/>
        <v>C76</v>
      </c>
      <c r="O3416" s="5">
        <f t="shared" si="325"/>
        <v>5.2968104208804769</v>
      </c>
      <c r="P3416" s="22">
        <f>O3416/Explications!$C$8</f>
        <v>0.17656034736268256</v>
      </c>
      <c r="Q3416" s="7" t="str">
        <f t="shared" si="326"/>
        <v>C76</v>
      </c>
      <c r="R3416" s="7" t="str">
        <f t="shared" si="327"/>
        <v>C63</v>
      </c>
      <c r="S3416" s="18">
        <f t="shared" si="328"/>
        <v>5.2968104208804769</v>
      </c>
      <c r="T3416" s="18">
        <f>S3416/Explications!$C$8</f>
        <v>0.17656034736268256</v>
      </c>
    </row>
    <row r="3417" spans="7:20">
      <c r="G3417" s="7" t="s">
        <v>79</v>
      </c>
      <c r="H3417" s="7" t="s">
        <v>93</v>
      </c>
      <c r="I3417" s="7">
        <v>46.822000000000003</v>
      </c>
      <c r="J3417" s="7">
        <v>-71.345699999999994</v>
      </c>
      <c r="K3417" s="7">
        <v>46.839399999999998</v>
      </c>
      <c r="L3417" s="7">
        <v>-71.282600000000002</v>
      </c>
      <c r="M3417" s="10" t="str">
        <f t="shared" si="323"/>
        <v>C63</v>
      </c>
      <c r="N3417" s="10" t="str">
        <f t="shared" si="324"/>
        <v>C77</v>
      </c>
      <c r="O3417" s="5">
        <f t="shared" si="325"/>
        <v>5.1755618913620118</v>
      </c>
      <c r="P3417" s="22">
        <f>O3417/Explications!$C$8</f>
        <v>0.17251872971206705</v>
      </c>
      <c r="Q3417" s="7" t="str">
        <f t="shared" si="326"/>
        <v>C77</v>
      </c>
      <c r="R3417" s="7" t="str">
        <f t="shared" si="327"/>
        <v>C63</v>
      </c>
      <c r="S3417" s="18">
        <f t="shared" si="328"/>
        <v>5.1755618913620118</v>
      </c>
      <c r="T3417" s="18">
        <f>S3417/Explications!$C$8</f>
        <v>0.17251872971206705</v>
      </c>
    </row>
    <row r="3418" spans="7:20">
      <c r="G3418" s="7" t="s">
        <v>79</v>
      </c>
      <c r="H3418" s="7" t="s">
        <v>94</v>
      </c>
      <c r="I3418" s="7">
        <v>46.822000000000003</v>
      </c>
      <c r="J3418" s="7">
        <v>-71.345699999999994</v>
      </c>
      <c r="K3418" s="7">
        <v>46.788499999999999</v>
      </c>
      <c r="L3418" s="7">
        <v>-71.282399999999996</v>
      </c>
      <c r="M3418" s="10" t="str">
        <f t="shared" si="323"/>
        <v>C63</v>
      </c>
      <c r="N3418" s="10" t="str">
        <f t="shared" si="324"/>
        <v>C78</v>
      </c>
      <c r="O3418" s="5">
        <f t="shared" si="325"/>
        <v>6.0899207602092025</v>
      </c>
      <c r="P3418" s="22">
        <f>O3418/Explications!$C$8</f>
        <v>0.20299735867364008</v>
      </c>
      <c r="Q3418" s="7" t="str">
        <f t="shared" si="326"/>
        <v>C78</v>
      </c>
      <c r="R3418" s="7" t="str">
        <f t="shared" si="327"/>
        <v>C63</v>
      </c>
      <c r="S3418" s="18">
        <f t="shared" si="328"/>
        <v>6.0899207602092025</v>
      </c>
      <c r="T3418" s="18">
        <f>S3418/Explications!$C$8</f>
        <v>0.20299735867364008</v>
      </c>
    </row>
    <row r="3419" spans="7:20">
      <c r="G3419" s="7" t="s">
        <v>79</v>
      </c>
      <c r="H3419" s="7" t="s">
        <v>95</v>
      </c>
      <c r="I3419" s="7">
        <v>46.822000000000003</v>
      </c>
      <c r="J3419" s="7">
        <v>-71.345699999999994</v>
      </c>
      <c r="K3419" s="7">
        <v>46.840699999999998</v>
      </c>
      <c r="L3419" s="7">
        <v>-71.325400000000002</v>
      </c>
      <c r="M3419" s="10" t="str">
        <f t="shared" si="323"/>
        <v>C63</v>
      </c>
      <c r="N3419" s="10" t="str">
        <f t="shared" si="324"/>
        <v>C79</v>
      </c>
      <c r="O3419" s="5">
        <f t="shared" si="325"/>
        <v>2.5900835792854577</v>
      </c>
      <c r="P3419" s="22">
        <f>O3419/Explications!$C$8</f>
        <v>8.6336119309515263E-2</v>
      </c>
      <c r="Q3419" s="7" t="str">
        <f t="shared" si="326"/>
        <v>C79</v>
      </c>
      <c r="R3419" s="7" t="str">
        <f t="shared" si="327"/>
        <v>C63</v>
      </c>
      <c r="S3419" s="18">
        <f t="shared" si="328"/>
        <v>2.5900835792854577</v>
      </c>
      <c r="T3419" s="18">
        <f>S3419/Explications!$C$8</f>
        <v>8.6336119309515263E-2</v>
      </c>
    </row>
    <row r="3420" spans="7:20">
      <c r="G3420" s="7" t="s">
        <v>79</v>
      </c>
      <c r="H3420" s="7" t="s">
        <v>96</v>
      </c>
      <c r="I3420" s="7">
        <v>46.822000000000003</v>
      </c>
      <c r="J3420" s="7">
        <v>-71.345699999999994</v>
      </c>
      <c r="K3420" s="7">
        <v>46.798400000000001</v>
      </c>
      <c r="L3420" s="7">
        <v>-71.183199999999999</v>
      </c>
      <c r="M3420" s="10" t="str">
        <f t="shared" si="323"/>
        <v>C63</v>
      </c>
      <c r="N3420" s="10" t="str">
        <f t="shared" si="324"/>
        <v>C80</v>
      </c>
      <c r="O3420" s="5">
        <f t="shared" si="325"/>
        <v>12.642211394541363</v>
      </c>
      <c r="P3420" s="22">
        <f>O3420/Explications!$C$8</f>
        <v>0.42140704648471211</v>
      </c>
      <c r="Q3420" s="7" t="str">
        <f t="shared" si="326"/>
        <v>C80</v>
      </c>
      <c r="R3420" s="7" t="str">
        <f t="shared" si="327"/>
        <v>C63</v>
      </c>
      <c r="S3420" s="18">
        <f t="shared" si="328"/>
        <v>12.642211394541363</v>
      </c>
      <c r="T3420" s="18">
        <f>S3420/Explications!$C$8</f>
        <v>0.42140704648471211</v>
      </c>
    </row>
    <row r="3421" spans="7:20">
      <c r="G3421" s="7" t="s">
        <v>79</v>
      </c>
      <c r="H3421" s="7" t="s">
        <v>97</v>
      </c>
      <c r="I3421" s="7">
        <v>46.822000000000003</v>
      </c>
      <c r="J3421" s="7">
        <v>-71.345699999999994</v>
      </c>
      <c r="K3421" s="7">
        <v>46.724800000000002</v>
      </c>
      <c r="L3421" s="7">
        <v>-71.2988</v>
      </c>
      <c r="M3421" s="10" t="str">
        <f t="shared" si="323"/>
        <v>C63</v>
      </c>
      <c r="N3421" s="10" t="str">
        <f t="shared" si="324"/>
        <v>C81</v>
      </c>
      <c r="O3421" s="5">
        <f t="shared" si="325"/>
        <v>11.383018587230762</v>
      </c>
      <c r="P3421" s="22">
        <f>O3421/Explications!$C$8</f>
        <v>0.37943395290769205</v>
      </c>
      <c r="Q3421" s="7" t="str">
        <f t="shared" si="326"/>
        <v>C81</v>
      </c>
      <c r="R3421" s="7" t="str">
        <f t="shared" si="327"/>
        <v>C63</v>
      </c>
      <c r="S3421" s="18">
        <f t="shared" si="328"/>
        <v>11.383018587230762</v>
      </c>
      <c r="T3421" s="18">
        <f>S3421/Explications!$C$8</f>
        <v>0.37943395290769205</v>
      </c>
    </row>
    <row r="3422" spans="7:20">
      <c r="G3422" s="7" t="s">
        <v>79</v>
      </c>
      <c r="H3422" s="7" t="s">
        <v>98</v>
      </c>
      <c r="I3422" s="7">
        <v>46.822000000000003</v>
      </c>
      <c r="J3422" s="7">
        <v>-71.345699999999994</v>
      </c>
      <c r="K3422" s="7">
        <v>46.795499999999997</v>
      </c>
      <c r="L3422" s="7">
        <v>-71.242900000000006</v>
      </c>
      <c r="M3422" s="10" t="str">
        <f t="shared" si="323"/>
        <v>C63</v>
      </c>
      <c r="N3422" s="10" t="str">
        <f t="shared" si="324"/>
        <v>C82</v>
      </c>
      <c r="O3422" s="5">
        <f t="shared" si="325"/>
        <v>8.3601860617807358</v>
      </c>
      <c r="P3422" s="22">
        <f>O3422/Explications!$C$8</f>
        <v>0.27867286872602454</v>
      </c>
      <c r="Q3422" s="7" t="str">
        <f t="shared" si="326"/>
        <v>C82</v>
      </c>
      <c r="R3422" s="7" t="str">
        <f t="shared" si="327"/>
        <v>C63</v>
      </c>
      <c r="S3422" s="18">
        <f t="shared" si="328"/>
        <v>8.3601860617807358</v>
      </c>
      <c r="T3422" s="18">
        <f>S3422/Explications!$C$8</f>
        <v>0.27867286872602454</v>
      </c>
    </row>
    <row r="3423" spans="7:20">
      <c r="G3423" s="7" t="s">
        <v>79</v>
      </c>
      <c r="H3423" s="7" t="s">
        <v>99</v>
      </c>
      <c r="I3423" s="7">
        <v>46.822000000000003</v>
      </c>
      <c r="J3423" s="7">
        <v>-71.345699999999994</v>
      </c>
      <c r="K3423" s="7">
        <v>46.8157</v>
      </c>
      <c r="L3423" s="7">
        <v>-71.201899999999995</v>
      </c>
      <c r="M3423" s="10" t="str">
        <f t="shared" si="323"/>
        <v>C63</v>
      </c>
      <c r="N3423" s="10" t="str">
        <f t="shared" si="324"/>
        <v>C83</v>
      </c>
      <c r="O3423" s="5">
        <f t="shared" si="325"/>
        <v>10.964356968741516</v>
      </c>
      <c r="P3423" s="22">
        <f>O3423/Explications!$C$8</f>
        <v>0.3654785656247172</v>
      </c>
      <c r="Q3423" s="7" t="str">
        <f t="shared" si="326"/>
        <v>C83</v>
      </c>
      <c r="R3423" s="7" t="str">
        <f t="shared" si="327"/>
        <v>C63</v>
      </c>
      <c r="S3423" s="18">
        <f t="shared" si="328"/>
        <v>10.964356968741516</v>
      </c>
      <c r="T3423" s="18">
        <f>S3423/Explications!$C$8</f>
        <v>0.3654785656247172</v>
      </c>
    </row>
    <row r="3424" spans="7:20">
      <c r="G3424" s="7" t="s">
        <v>79</v>
      </c>
      <c r="H3424" s="7" t="s">
        <v>100</v>
      </c>
      <c r="I3424" s="7">
        <v>46.822000000000003</v>
      </c>
      <c r="J3424" s="7">
        <v>-71.345699999999994</v>
      </c>
      <c r="K3424" s="7">
        <v>46.837600000000002</v>
      </c>
      <c r="L3424" s="7">
        <v>-71.196299999999994</v>
      </c>
      <c r="M3424" s="10" t="str">
        <f t="shared" si="323"/>
        <v>C63</v>
      </c>
      <c r="N3424" s="10" t="str">
        <f t="shared" si="324"/>
        <v>C84</v>
      </c>
      <c r="O3424" s="5">
        <f t="shared" si="325"/>
        <v>11.497360421319099</v>
      </c>
      <c r="P3424" s="22">
        <f>O3424/Explications!$C$8</f>
        <v>0.38324534737730331</v>
      </c>
      <c r="Q3424" s="7" t="str">
        <f t="shared" si="326"/>
        <v>C84</v>
      </c>
      <c r="R3424" s="7" t="str">
        <f t="shared" si="327"/>
        <v>C63</v>
      </c>
      <c r="S3424" s="18">
        <f t="shared" si="328"/>
        <v>11.497360421319099</v>
      </c>
      <c r="T3424" s="18">
        <f>S3424/Explications!$C$8</f>
        <v>0.38324534737730331</v>
      </c>
    </row>
    <row r="3425" spans="7:20">
      <c r="G3425" s="7" t="s">
        <v>79</v>
      </c>
      <c r="H3425" s="7" t="s">
        <v>101</v>
      </c>
      <c r="I3425" s="7">
        <v>46.822000000000003</v>
      </c>
      <c r="J3425" s="7">
        <v>-71.345699999999994</v>
      </c>
      <c r="K3425" s="7">
        <v>46.7988</v>
      </c>
      <c r="L3425" s="7">
        <v>-71.318200000000004</v>
      </c>
      <c r="M3425" s="10" t="str">
        <f t="shared" si="323"/>
        <v>C63</v>
      </c>
      <c r="N3425" s="10" t="str">
        <f t="shared" si="324"/>
        <v>C85</v>
      </c>
      <c r="O3425" s="5">
        <f t="shared" si="325"/>
        <v>3.3218920206561595</v>
      </c>
      <c r="P3425" s="22">
        <f>O3425/Explications!$C$8</f>
        <v>0.11072973402187199</v>
      </c>
      <c r="Q3425" s="7" t="str">
        <f t="shared" si="326"/>
        <v>C85</v>
      </c>
      <c r="R3425" s="7" t="str">
        <f t="shared" si="327"/>
        <v>C63</v>
      </c>
      <c r="S3425" s="18">
        <f t="shared" si="328"/>
        <v>3.3218920206561595</v>
      </c>
      <c r="T3425" s="18">
        <f>S3425/Explications!$C$8</f>
        <v>0.11072973402187199</v>
      </c>
    </row>
    <row r="3426" spans="7:20">
      <c r="G3426" s="7" t="s">
        <v>80</v>
      </c>
      <c r="H3426" s="7" t="s">
        <v>81</v>
      </c>
      <c r="I3426" s="7">
        <v>46.779400000000003</v>
      </c>
      <c r="J3426" s="7">
        <v>-71.350399999999993</v>
      </c>
      <c r="K3426" s="7">
        <v>46.772300000000001</v>
      </c>
      <c r="L3426" s="7">
        <v>-71.279799999999994</v>
      </c>
      <c r="M3426" s="10" t="str">
        <f t="shared" si="323"/>
        <v>C64</v>
      </c>
      <c r="N3426" s="10" t="str">
        <f t="shared" si="324"/>
        <v>C65</v>
      </c>
      <c r="O3426" s="5">
        <f t="shared" si="325"/>
        <v>5.4340101196795985</v>
      </c>
      <c r="P3426" s="22">
        <f>O3426/Explications!$C$8</f>
        <v>0.18113367065598662</v>
      </c>
      <c r="Q3426" s="7" t="str">
        <f t="shared" si="326"/>
        <v>C65</v>
      </c>
      <c r="R3426" s="7" t="str">
        <f t="shared" si="327"/>
        <v>C64</v>
      </c>
      <c r="S3426" s="18">
        <f t="shared" si="328"/>
        <v>5.4340101196795985</v>
      </c>
      <c r="T3426" s="18">
        <f>S3426/Explications!$C$8</f>
        <v>0.18113367065598662</v>
      </c>
    </row>
    <row r="3427" spans="7:20">
      <c r="G3427" s="7" t="s">
        <v>80</v>
      </c>
      <c r="H3427" s="7" t="s">
        <v>82</v>
      </c>
      <c r="I3427" s="7">
        <v>46.779400000000003</v>
      </c>
      <c r="J3427" s="7">
        <v>-71.350399999999993</v>
      </c>
      <c r="K3427" s="7">
        <v>46.814900000000002</v>
      </c>
      <c r="L3427" s="7">
        <v>-71.225200000000001</v>
      </c>
      <c r="M3427" s="10" t="str">
        <f t="shared" si="323"/>
        <v>C64</v>
      </c>
      <c r="N3427" s="10" t="str">
        <f t="shared" si="324"/>
        <v>C66</v>
      </c>
      <c r="O3427" s="5">
        <f t="shared" si="325"/>
        <v>10.315643677062209</v>
      </c>
      <c r="P3427" s="22">
        <f>O3427/Explications!$C$8</f>
        <v>0.34385478923540697</v>
      </c>
      <c r="Q3427" s="7" t="str">
        <f t="shared" si="326"/>
        <v>C66</v>
      </c>
      <c r="R3427" s="7" t="str">
        <f t="shared" si="327"/>
        <v>C64</v>
      </c>
      <c r="S3427" s="18">
        <f t="shared" si="328"/>
        <v>10.315643677062209</v>
      </c>
      <c r="T3427" s="18">
        <f>S3427/Explications!$C$8</f>
        <v>0.34385478923540697</v>
      </c>
    </row>
    <row r="3428" spans="7:20">
      <c r="G3428" s="7" t="s">
        <v>80</v>
      </c>
      <c r="H3428" s="7" t="s">
        <v>83</v>
      </c>
      <c r="I3428" s="7">
        <v>46.779400000000003</v>
      </c>
      <c r="J3428" s="7">
        <v>-71.350399999999993</v>
      </c>
      <c r="K3428" s="7">
        <v>46.814700000000002</v>
      </c>
      <c r="L3428" s="7">
        <v>-71.207300000000004</v>
      </c>
      <c r="M3428" s="10" t="str">
        <f t="shared" si="323"/>
        <v>C64</v>
      </c>
      <c r="N3428" s="10" t="str">
        <f t="shared" si="324"/>
        <v>C67</v>
      </c>
      <c r="O3428" s="5">
        <f t="shared" si="325"/>
        <v>11.578720495506712</v>
      </c>
      <c r="P3428" s="22">
        <f>O3428/Explications!$C$8</f>
        <v>0.38595734985022373</v>
      </c>
      <c r="Q3428" s="7" t="str">
        <f t="shared" si="326"/>
        <v>C67</v>
      </c>
      <c r="R3428" s="7" t="str">
        <f t="shared" si="327"/>
        <v>C64</v>
      </c>
      <c r="S3428" s="18">
        <f t="shared" si="328"/>
        <v>11.578720495506712</v>
      </c>
      <c r="T3428" s="18">
        <f>S3428/Explications!$C$8</f>
        <v>0.38595734985022373</v>
      </c>
    </row>
    <row r="3429" spans="7:20">
      <c r="G3429" s="7" t="s">
        <v>80</v>
      </c>
      <c r="H3429" s="7" t="s">
        <v>84</v>
      </c>
      <c r="I3429" s="7">
        <v>46.779400000000003</v>
      </c>
      <c r="J3429" s="7">
        <v>-71.350399999999993</v>
      </c>
      <c r="K3429" s="7">
        <v>46.815600000000003</v>
      </c>
      <c r="L3429" s="7">
        <v>-71.2029</v>
      </c>
      <c r="M3429" s="10" t="str">
        <f t="shared" si="323"/>
        <v>C64</v>
      </c>
      <c r="N3429" s="10" t="str">
        <f t="shared" si="324"/>
        <v>C68</v>
      </c>
      <c r="O3429" s="5">
        <f t="shared" si="325"/>
        <v>11.927678639574744</v>
      </c>
      <c r="P3429" s="22">
        <f>O3429/Explications!$C$8</f>
        <v>0.39758928798582477</v>
      </c>
      <c r="Q3429" s="7" t="str">
        <f t="shared" si="326"/>
        <v>C68</v>
      </c>
      <c r="R3429" s="7" t="str">
        <f t="shared" si="327"/>
        <v>C64</v>
      </c>
      <c r="S3429" s="18">
        <f t="shared" si="328"/>
        <v>11.927678639574744</v>
      </c>
      <c r="T3429" s="18">
        <f>S3429/Explications!$C$8</f>
        <v>0.39758928798582477</v>
      </c>
    </row>
    <row r="3430" spans="7:20">
      <c r="G3430" s="7" t="s">
        <v>80</v>
      </c>
      <c r="H3430" s="7" t="s">
        <v>85</v>
      </c>
      <c r="I3430" s="7">
        <v>46.779400000000003</v>
      </c>
      <c r="J3430" s="7">
        <v>-71.350399999999993</v>
      </c>
      <c r="K3430" s="7">
        <v>46.821899999999999</v>
      </c>
      <c r="L3430" s="7">
        <v>-71.249899999999997</v>
      </c>
      <c r="M3430" s="10" t="str">
        <f t="shared" si="323"/>
        <v>C64</v>
      </c>
      <c r="N3430" s="10" t="str">
        <f t="shared" si="324"/>
        <v>C69</v>
      </c>
      <c r="O3430" s="5">
        <f t="shared" si="325"/>
        <v>8.9917851991088238</v>
      </c>
      <c r="P3430" s="22">
        <f>O3430/Explications!$C$8</f>
        <v>0.29972617330362744</v>
      </c>
      <c r="Q3430" s="7" t="str">
        <f t="shared" si="326"/>
        <v>C69</v>
      </c>
      <c r="R3430" s="7" t="str">
        <f t="shared" si="327"/>
        <v>C64</v>
      </c>
      <c r="S3430" s="18">
        <f t="shared" si="328"/>
        <v>8.9917851991088238</v>
      </c>
      <c r="T3430" s="18">
        <f>S3430/Explications!$C$8</f>
        <v>0.29972617330362744</v>
      </c>
    </row>
    <row r="3431" spans="7:20">
      <c r="G3431" s="7" t="s">
        <v>80</v>
      </c>
      <c r="H3431" s="7" t="s">
        <v>86</v>
      </c>
      <c r="I3431" s="7">
        <v>46.779400000000003</v>
      </c>
      <c r="J3431" s="7">
        <v>-71.350399999999993</v>
      </c>
      <c r="K3431" s="7">
        <v>46.8872</v>
      </c>
      <c r="L3431" s="7">
        <v>-71.27</v>
      </c>
      <c r="M3431" s="10" t="str">
        <f t="shared" si="323"/>
        <v>C64</v>
      </c>
      <c r="N3431" s="10" t="str">
        <f t="shared" si="324"/>
        <v>C70</v>
      </c>
      <c r="O3431" s="5">
        <f t="shared" si="325"/>
        <v>13.456985530242434</v>
      </c>
      <c r="P3431" s="22">
        <f>O3431/Explications!$C$8</f>
        <v>0.44856618434141449</v>
      </c>
      <c r="Q3431" s="7" t="str">
        <f t="shared" si="326"/>
        <v>C70</v>
      </c>
      <c r="R3431" s="7" t="str">
        <f t="shared" si="327"/>
        <v>C64</v>
      </c>
      <c r="S3431" s="18">
        <f t="shared" si="328"/>
        <v>13.456985530242434</v>
      </c>
      <c r="T3431" s="18">
        <f>S3431/Explications!$C$8</f>
        <v>0.44856618434141449</v>
      </c>
    </row>
    <row r="3432" spans="7:20">
      <c r="G3432" s="7" t="s">
        <v>80</v>
      </c>
      <c r="H3432" s="7" t="s">
        <v>87</v>
      </c>
      <c r="I3432" s="7">
        <v>46.779400000000003</v>
      </c>
      <c r="J3432" s="7">
        <v>-71.350399999999993</v>
      </c>
      <c r="K3432" s="7">
        <v>46.816299999999998</v>
      </c>
      <c r="L3432" s="7">
        <v>-71.210300000000004</v>
      </c>
      <c r="M3432" s="10" t="str">
        <f t="shared" si="323"/>
        <v>C64</v>
      </c>
      <c r="N3432" s="10" t="str">
        <f t="shared" si="324"/>
        <v>C71</v>
      </c>
      <c r="O3432" s="5">
        <f t="shared" si="325"/>
        <v>11.426662355588933</v>
      </c>
      <c r="P3432" s="22">
        <f>O3432/Explications!$C$8</f>
        <v>0.38088874518629778</v>
      </c>
      <c r="Q3432" s="7" t="str">
        <f t="shared" si="326"/>
        <v>C71</v>
      </c>
      <c r="R3432" s="7" t="str">
        <f t="shared" si="327"/>
        <v>C64</v>
      </c>
      <c r="S3432" s="18">
        <f t="shared" si="328"/>
        <v>11.426662355588933</v>
      </c>
      <c r="T3432" s="18">
        <f>S3432/Explications!$C$8</f>
        <v>0.38088874518629778</v>
      </c>
    </row>
    <row r="3433" spans="7:20">
      <c r="G3433" s="7" t="s">
        <v>80</v>
      </c>
      <c r="H3433" s="7" t="s">
        <v>88</v>
      </c>
      <c r="I3433" s="7">
        <v>46.779400000000003</v>
      </c>
      <c r="J3433" s="7">
        <v>-71.350399999999993</v>
      </c>
      <c r="K3433" s="7">
        <v>46.807000000000002</v>
      </c>
      <c r="L3433" s="7">
        <v>-71.3566</v>
      </c>
      <c r="M3433" s="10" t="str">
        <f t="shared" si="323"/>
        <v>C64</v>
      </c>
      <c r="N3433" s="10" t="str">
        <f t="shared" si="324"/>
        <v>C72</v>
      </c>
      <c r="O3433" s="5">
        <f t="shared" si="325"/>
        <v>3.1050627639072106</v>
      </c>
      <c r="P3433" s="22">
        <f>O3433/Explications!$C$8</f>
        <v>0.10350209213024035</v>
      </c>
      <c r="Q3433" s="7" t="str">
        <f t="shared" si="326"/>
        <v>C72</v>
      </c>
      <c r="R3433" s="7" t="str">
        <f t="shared" si="327"/>
        <v>C64</v>
      </c>
      <c r="S3433" s="18">
        <f t="shared" si="328"/>
        <v>3.1050627639072106</v>
      </c>
      <c r="T3433" s="18">
        <f>S3433/Explications!$C$8</f>
        <v>0.10350209213024035</v>
      </c>
    </row>
    <row r="3434" spans="7:20">
      <c r="G3434" s="7" t="s">
        <v>80</v>
      </c>
      <c r="H3434" s="7" t="s">
        <v>89</v>
      </c>
      <c r="I3434" s="7">
        <v>46.779400000000003</v>
      </c>
      <c r="J3434" s="7">
        <v>-71.350399999999993</v>
      </c>
      <c r="K3434" s="7">
        <v>46.822899999999997</v>
      </c>
      <c r="L3434" s="7">
        <v>-71.341899999999995</v>
      </c>
      <c r="M3434" s="10" t="str">
        <f t="shared" si="323"/>
        <v>C64</v>
      </c>
      <c r="N3434" s="10" t="str">
        <f t="shared" si="324"/>
        <v>C73</v>
      </c>
      <c r="O3434" s="5">
        <f t="shared" si="325"/>
        <v>4.8800579453582449</v>
      </c>
      <c r="P3434" s="22">
        <f>O3434/Explications!$C$8</f>
        <v>0.16266859817860815</v>
      </c>
      <c r="Q3434" s="7" t="str">
        <f t="shared" si="326"/>
        <v>C73</v>
      </c>
      <c r="R3434" s="7" t="str">
        <f t="shared" si="327"/>
        <v>C64</v>
      </c>
      <c r="S3434" s="18">
        <f t="shared" si="328"/>
        <v>4.8800579453582449</v>
      </c>
      <c r="T3434" s="18">
        <f>S3434/Explications!$C$8</f>
        <v>0.16266859817860815</v>
      </c>
    </row>
    <row r="3435" spans="7:20">
      <c r="G3435" s="7" t="s">
        <v>80</v>
      </c>
      <c r="H3435" s="7" t="s">
        <v>90</v>
      </c>
      <c r="I3435" s="7">
        <v>46.779400000000003</v>
      </c>
      <c r="J3435" s="7">
        <v>-71.350399999999993</v>
      </c>
      <c r="K3435" s="7">
        <v>46.730699999999999</v>
      </c>
      <c r="L3435" s="7">
        <v>-71.261099999999999</v>
      </c>
      <c r="M3435" s="10" t="str">
        <f t="shared" si="323"/>
        <v>C64</v>
      </c>
      <c r="N3435" s="10" t="str">
        <f t="shared" si="324"/>
        <v>C74</v>
      </c>
      <c r="O3435" s="5">
        <f t="shared" si="325"/>
        <v>8.6951422177948228</v>
      </c>
      <c r="P3435" s="22">
        <f>O3435/Explications!$C$8</f>
        <v>0.28983807392649408</v>
      </c>
      <c r="Q3435" s="7" t="str">
        <f t="shared" si="326"/>
        <v>C74</v>
      </c>
      <c r="R3435" s="7" t="str">
        <f t="shared" si="327"/>
        <v>C64</v>
      </c>
      <c r="S3435" s="18">
        <f t="shared" si="328"/>
        <v>8.6951422177948228</v>
      </c>
      <c r="T3435" s="18">
        <f>S3435/Explications!$C$8</f>
        <v>0.28983807392649408</v>
      </c>
    </row>
    <row r="3436" spans="7:20">
      <c r="G3436" s="7" t="s">
        <v>80</v>
      </c>
      <c r="H3436" s="7" t="s">
        <v>91</v>
      </c>
      <c r="I3436" s="7">
        <v>46.779400000000003</v>
      </c>
      <c r="J3436" s="7">
        <v>-71.350399999999993</v>
      </c>
      <c r="K3436" s="7">
        <v>46.840600000000002</v>
      </c>
      <c r="L3436" s="7">
        <v>-71.289100000000005</v>
      </c>
      <c r="M3436" s="10" t="str">
        <f t="shared" si="323"/>
        <v>C64</v>
      </c>
      <c r="N3436" s="10" t="str">
        <f t="shared" si="324"/>
        <v>C75</v>
      </c>
      <c r="O3436" s="5">
        <f t="shared" si="325"/>
        <v>8.2506755308659461</v>
      </c>
      <c r="P3436" s="22">
        <f>O3436/Explications!$C$8</f>
        <v>0.27502251769553154</v>
      </c>
      <c r="Q3436" s="7" t="str">
        <f t="shared" si="326"/>
        <v>C75</v>
      </c>
      <c r="R3436" s="7" t="str">
        <f t="shared" si="327"/>
        <v>C64</v>
      </c>
      <c r="S3436" s="18">
        <f t="shared" si="328"/>
        <v>8.2506755308659461</v>
      </c>
      <c r="T3436" s="18">
        <f>S3436/Explications!$C$8</f>
        <v>0.27502251769553154</v>
      </c>
    </row>
    <row r="3437" spans="7:20">
      <c r="G3437" s="7" t="s">
        <v>80</v>
      </c>
      <c r="H3437" s="7" t="s">
        <v>92</v>
      </c>
      <c r="I3437" s="7">
        <v>46.779400000000003</v>
      </c>
      <c r="J3437" s="7">
        <v>-71.350399999999993</v>
      </c>
      <c r="K3437" s="7">
        <v>46.840600000000002</v>
      </c>
      <c r="L3437" s="7">
        <v>-71.281599999999997</v>
      </c>
      <c r="M3437" s="10" t="str">
        <f t="shared" si="323"/>
        <v>C64</v>
      </c>
      <c r="N3437" s="10" t="str">
        <f t="shared" si="324"/>
        <v>C76</v>
      </c>
      <c r="O3437" s="5">
        <f t="shared" si="325"/>
        <v>8.5863271204875105</v>
      </c>
      <c r="P3437" s="22">
        <f>O3437/Explications!$C$8</f>
        <v>0.28621090401625032</v>
      </c>
      <c r="Q3437" s="7" t="str">
        <f t="shared" si="326"/>
        <v>C76</v>
      </c>
      <c r="R3437" s="7" t="str">
        <f t="shared" si="327"/>
        <v>C64</v>
      </c>
      <c r="S3437" s="18">
        <f t="shared" si="328"/>
        <v>8.5863271204875105</v>
      </c>
      <c r="T3437" s="18">
        <f>S3437/Explications!$C$8</f>
        <v>0.28621090401625032</v>
      </c>
    </row>
    <row r="3438" spans="7:20">
      <c r="G3438" s="7" t="s">
        <v>80</v>
      </c>
      <c r="H3438" s="7" t="s">
        <v>93</v>
      </c>
      <c r="I3438" s="7">
        <v>46.779400000000003</v>
      </c>
      <c r="J3438" s="7">
        <v>-71.350399999999993</v>
      </c>
      <c r="K3438" s="7">
        <v>46.839399999999998</v>
      </c>
      <c r="L3438" s="7">
        <v>-71.282600000000002</v>
      </c>
      <c r="M3438" s="10" t="str">
        <f t="shared" si="323"/>
        <v>C64</v>
      </c>
      <c r="N3438" s="10" t="str">
        <f t="shared" si="324"/>
        <v>C77</v>
      </c>
      <c r="O3438" s="5">
        <f t="shared" si="325"/>
        <v>8.4342266976555766</v>
      </c>
      <c r="P3438" s="22">
        <f>O3438/Explications!$C$8</f>
        <v>0.28114088992185254</v>
      </c>
      <c r="Q3438" s="7" t="str">
        <f t="shared" si="326"/>
        <v>C77</v>
      </c>
      <c r="R3438" s="7" t="str">
        <f t="shared" si="327"/>
        <v>C64</v>
      </c>
      <c r="S3438" s="18">
        <f t="shared" si="328"/>
        <v>8.4342266976555766</v>
      </c>
      <c r="T3438" s="18">
        <f>S3438/Explications!$C$8</f>
        <v>0.28114088992185254</v>
      </c>
    </row>
    <row r="3439" spans="7:20">
      <c r="G3439" s="7" t="s">
        <v>80</v>
      </c>
      <c r="H3439" s="7" t="s">
        <v>94</v>
      </c>
      <c r="I3439" s="7">
        <v>46.779400000000003</v>
      </c>
      <c r="J3439" s="7">
        <v>-71.350399999999993</v>
      </c>
      <c r="K3439" s="7">
        <v>46.788499999999999</v>
      </c>
      <c r="L3439" s="7">
        <v>-71.282399999999996</v>
      </c>
      <c r="M3439" s="10" t="str">
        <f t="shared" si="323"/>
        <v>C64</v>
      </c>
      <c r="N3439" s="10" t="str">
        <f t="shared" si="324"/>
        <v>C78</v>
      </c>
      <c r="O3439" s="5">
        <f t="shared" si="325"/>
        <v>5.2755295145298007</v>
      </c>
      <c r="P3439" s="22">
        <f>O3439/Explications!$C$8</f>
        <v>0.17585098381766001</v>
      </c>
      <c r="Q3439" s="7" t="str">
        <f t="shared" si="326"/>
        <v>C78</v>
      </c>
      <c r="R3439" s="7" t="str">
        <f t="shared" si="327"/>
        <v>C64</v>
      </c>
      <c r="S3439" s="18">
        <f t="shared" si="328"/>
        <v>5.2755295145298007</v>
      </c>
      <c r="T3439" s="18">
        <f>S3439/Explications!$C$8</f>
        <v>0.17585098381766001</v>
      </c>
    </row>
    <row r="3440" spans="7:20">
      <c r="G3440" s="7" t="s">
        <v>80</v>
      </c>
      <c r="H3440" s="7" t="s">
        <v>95</v>
      </c>
      <c r="I3440" s="7">
        <v>46.779400000000003</v>
      </c>
      <c r="J3440" s="7">
        <v>-71.350399999999993</v>
      </c>
      <c r="K3440" s="7">
        <v>46.840699999999998</v>
      </c>
      <c r="L3440" s="7">
        <v>-71.325400000000002</v>
      </c>
      <c r="M3440" s="10" t="str">
        <f t="shared" si="323"/>
        <v>C64</v>
      </c>
      <c r="N3440" s="10" t="str">
        <f t="shared" si="324"/>
        <v>C79</v>
      </c>
      <c r="O3440" s="5">
        <f t="shared" si="325"/>
        <v>7.0768022832735547</v>
      </c>
      <c r="P3440" s="22">
        <f>O3440/Explications!$C$8</f>
        <v>0.23589340944245182</v>
      </c>
      <c r="Q3440" s="7" t="str">
        <f t="shared" si="326"/>
        <v>C79</v>
      </c>
      <c r="R3440" s="7" t="str">
        <f t="shared" si="327"/>
        <v>C64</v>
      </c>
      <c r="S3440" s="18">
        <f t="shared" si="328"/>
        <v>7.0768022832735547</v>
      </c>
      <c r="T3440" s="18">
        <f>S3440/Explications!$C$8</f>
        <v>0.23589340944245182</v>
      </c>
    </row>
    <row r="3441" spans="7:20">
      <c r="G3441" s="7" t="s">
        <v>80</v>
      </c>
      <c r="H3441" s="7" t="s">
        <v>96</v>
      </c>
      <c r="I3441" s="7">
        <v>46.779400000000003</v>
      </c>
      <c r="J3441" s="7">
        <v>-71.350399999999993</v>
      </c>
      <c r="K3441" s="7">
        <v>46.798400000000001</v>
      </c>
      <c r="L3441" s="7">
        <v>-71.183199999999999</v>
      </c>
      <c r="M3441" s="10" t="str">
        <f t="shared" si="323"/>
        <v>C64</v>
      </c>
      <c r="N3441" s="10" t="str">
        <f t="shared" si="324"/>
        <v>C80</v>
      </c>
      <c r="O3441" s="5">
        <f t="shared" si="325"/>
        <v>12.903709623474917</v>
      </c>
      <c r="P3441" s="22">
        <f>O3441/Explications!$C$8</f>
        <v>0.43012365411583059</v>
      </c>
      <c r="Q3441" s="7" t="str">
        <f t="shared" si="326"/>
        <v>C80</v>
      </c>
      <c r="R3441" s="7" t="str">
        <f t="shared" si="327"/>
        <v>C64</v>
      </c>
      <c r="S3441" s="18">
        <f t="shared" si="328"/>
        <v>12.903709623474917</v>
      </c>
      <c r="T3441" s="18">
        <f>S3441/Explications!$C$8</f>
        <v>0.43012365411583059</v>
      </c>
    </row>
    <row r="3442" spans="7:20">
      <c r="G3442" s="7" t="s">
        <v>80</v>
      </c>
      <c r="H3442" s="7" t="s">
        <v>97</v>
      </c>
      <c r="I3442" s="7">
        <v>46.779400000000003</v>
      </c>
      <c r="J3442" s="7">
        <v>-71.350399999999993</v>
      </c>
      <c r="K3442" s="7">
        <v>46.724800000000002</v>
      </c>
      <c r="L3442" s="7">
        <v>-71.2988</v>
      </c>
      <c r="M3442" s="10" t="str">
        <f t="shared" si="323"/>
        <v>C64</v>
      </c>
      <c r="N3442" s="10" t="str">
        <f t="shared" si="324"/>
        <v>C81</v>
      </c>
      <c r="O3442" s="5">
        <f t="shared" si="325"/>
        <v>7.2328598318902593</v>
      </c>
      <c r="P3442" s="22">
        <f>O3442/Explications!$C$8</f>
        <v>0.24109532772967532</v>
      </c>
      <c r="Q3442" s="7" t="str">
        <f t="shared" si="326"/>
        <v>C81</v>
      </c>
      <c r="R3442" s="7" t="str">
        <f t="shared" si="327"/>
        <v>C64</v>
      </c>
      <c r="S3442" s="18">
        <f t="shared" si="328"/>
        <v>7.2328598318902593</v>
      </c>
      <c r="T3442" s="18">
        <f>S3442/Explications!$C$8</f>
        <v>0.24109532772967532</v>
      </c>
    </row>
    <row r="3443" spans="7:20">
      <c r="G3443" s="7" t="s">
        <v>80</v>
      </c>
      <c r="H3443" s="7" t="s">
        <v>98</v>
      </c>
      <c r="I3443" s="7">
        <v>46.779400000000003</v>
      </c>
      <c r="J3443" s="7">
        <v>-71.350399999999993</v>
      </c>
      <c r="K3443" s="7">
        <v>46.795499999999997</v>
      </c>
      <c r="L3443" s="7">
        <v>-71.242900000000006</v>
      </c>
      <c r="M3443" s="10" t="str">
        <f t="shared" si="323"/>
        <v>C64</v>
      </c>
      <c r="N3443" s="10" t="str">
        <f t="shared" si="324"/>
        <v>C82</v>
      </c>
      <c r="O3443" s="5">
        <f t="shared" si="325"/>
        <v>8.3781144294560992</v>
      </c>
      <c r="P3443" s="22">
        <f>O3443/Explications!$C$8</f>
        <v>0.27927048098186996</v>
      </c>
      <c r="Q3443" s="7" t="str">
        <f t="shared" si="326"/>
        <v>C82</v>
      </c>
      <c r="R3443" s="7" t="str">
        <f t="shared" si="327"/>
        <v>C64</v>
      </c>
      <c r="S3443" s="18">
        <f t="shared" si="328"/>
        <v>8.3781144294560992</v>
      </c>
      <c r="T3443" s="18">
        <f>S3443/Explications!$C$8</f>
        <v>0.27927048098186996</v>
      </c>
    </row>
    <row r="3444" spans="7:20">
      <c r="G3444" s="7" t="s">
        <v>80</v>
      </c>
      <c r="H3444" s="7" t="s">
        <v>99</v>
      </c>
      <c r="I3444" s="7">
        <v>46.779400000000003</v>
      </c>
      <c r="J3444" s="7">
        <v>-71.350399999999993</v>
      </c>
      <c r="K3444" s="7">
        <v>46.8157</v>
      </c>
      <c r="L3444" s="7">
        <v>-71.201899999999995</v>
      </c>
      <c r="M3444" s="10" t="str">
        <f t="shared" si="323"/>
        <v>C64</v>
      </c>
      <c r="N3444" s="10" t="str">
        <f t="shared" si="324"/>
        <v>C83</v>
      </c>
      <c r="O3444" s="5">
        <f t="shared" si="325"/>
        <v>12.003086941994729</v>
      </c>
      <c r="P3444" s="22">
        <f>O3444/Explications!$C$8</f>
        <v>0.40010289806649096</v>
      </c>
      <c r="Q3444" s="7" t="str">
        <f t="shared" si="326"/>
        <v>C83</v>
      </c>
      <c r="R3444" s="7" t="str">
        <f t="shared" si="327"/>
        <v>C64</v>
      </c>
      <c r="S3444" s="18">
        <f t="shared" si="328"/>
        <v>12.003086941994729</v>
      </c>
      <c r="T3444" s="18">
        <f>S3444/Explications!$C$8</f>
        <v>0.40010289806649096</v>
      </c>
    </row>
    <row r="3445" spans="7:20">
      <c r="G3445" s="7" t="s">
        <v>80</v>
      </c>
      <c r="H3445" s="7" t="s">
        <v>100</v>
      </c>
      <c r="I3445" s="7">
        <v>46.779400000000003</v>
      </c>
      <c r="J3445" s="7">
        <v>-71.350399999999993</v>
      </c>
      <c r="K3445" s="7">
        <v>46.837600000000002</v>
      </c>
      <c r="L3445" s="7">
        <v>-71.196299999999994</v>
      </c>
      <c r="M3445" s="10" t="str">
        <f t="shared" si="323"/>
        <v>C64</v>
      </c>
      <c r="N3445" s="10" t="str">
        <f t="shared" si="324"/>
        <v>C84</v>
      </c>
      <c r="O3445" s="5">
        <f t="shared" si="325"/>
        <v>13.394989673659184</v>
      </c>
      <c r="P3445" s="22">
        <f>O3445/Explications!$C$8</f>
        <v>0.44649965578863948</v>
      </c>
      <c r="Q3445" s="7" t="str">
        <f t="shared" si="326"/>
        <v>C84</v>
      </c>
      <c r="R3445" s="7" t="str">
        <f t="shared" si="327"/>
        <v>C64</v>
      </c>
      <c r="S3445" s="18">
        <f t="shared" si="328"/>
        <v>13.394989673659184</v>
      </c>
      <c r="T3445" s="18">
        <f>S3445/Explications!$C$8</f>
        <v>0.44649965578863948</v>
      </c>
    </row>
    <row r="3446" spans="7:20">
      <c r="G3446" s="7" t="s">
        <v>80</v>
      </c>
      <c r="H3446" s="7" t="s">
        <v>101</v>
      </c>
      <c r="I3446" s="7">
        <v>46.779400000000003</v>
      </c>
      <c r="J3446" s="7">
        <v>-71.350399999999993</v>
      </c>
      <c r="K3446" s="7">
        <v>46.7988</v>
      </c>
      <c r="L3446" s="7">
        <v>-71.318200000000004</v>
      </c>
      <c r="M3446" s="10" t="str">
        <f t="shared" si="323"/>
        <v>C64</v>
      </c>
      <c r="N3446" s="10" t="str">
        <f t="shared" si="324"/>
        <v>C85</v>
      </c>
      <c r="O3446" s="5">
        <f t="shared" si="325"/>
        <v>3.2654695237285614</v>
      </c>
      <c r="P3446" s="22">
        <f>O3446/Explications!$C$8</f>
        <v>0.10884898412428538</v>
      </c>
      <c r="Q3446" s="7" t="str">
        <f t="shared" si="326"/>
        <v>C85</v>
      </c>
      <c r="R3446" s="7" t="str">
        <f t="shared" si="327"/>
        <v>C64</v>
      </c>
      <c r="S3446" s="18">
        <f t="shared" si="328"/>
        <v>3.2654695237285614</v>
      </c>
      <c r="T3446" s="18">
        <f>S3446/Explications!$C$8</f>
        <v>0.10884898412428538</v>
      </c>
    </row>
    <row r="3447" spans="7:20">
      <c r="G3447" s="7" t="s">
        <v>81</v>
      </c>
      <c r="H3447" s="7" t="s">
        <v>82</v>
      </c>
      <c r="I3447" s="7">
        <v>46.772300000000001</v>
      </c>
      <c r="J3447" s="7">
        <v>-71.279799999999994</v>
      </c>
      <c r="K3447" s="7">
        <v>46.814900000000002</v>
      </c>
      <c r="L3447" s="7">
        <v>-71.225200000000001</v>
      </c>
      <c r="M3447" s="10" t="str">
        <f t="shared" si="323"/>
        <v>C65</v>
      </c>
      <c r="N3447" s="10" t="str">
        <f t="shared" si="324"/>
        <v>C66</v>
      </c>
      <c r="O3447" s="5">
        <f t="shared" si="325"/>
        <v>6.3019941339027401</v>
      </c>
      <c r="P3447" s="22">
        <f>O3447/Explications!$C$8</f>
        <v>0.21006647113009133</v>
      </c>
      <c r="Q3447" s="7" t="str">
        <f t="shared" si="326"/>
        <v>C66</v>
      </c>
      <c r="R3447" s="7" t="str">
        <f t="shared" si="327"/>
        <v>C65</v>
      </c>
      <c r="S3447" s="18">
        <f t="shared" si="328"/>
        <v>6.3019941339027401</v>
      </c>
      <c r="T3447" s="18">
        <f>S3447/Explications!$C$8</f>
        <v>0.21006647113009133</v>
      </c>
    </row>
    <row r="3448" spans="7:20">
      <c r="G3448" s="7" t="s">
        <v>81</v>
      </c>
      <c r="H3448" s="7" t="s">
        <v>83</v>
      </c>
      <c r="I3448" s="7">
        <v>46.772300000000001</v>
      </c>
      <c r="J3448" s="7">
        <v>-71.279799999999994</v>
      </c>
      <c r="K3448" s="7">
        <v>46.814700000000002</v>
      </c>
      <c r="L3448" s="7">
        <v>-71.207300000000004</v>
      </c>
      <c r="M3448" s="10" t="str">
        <f t="shared" si="323"/>
        <v>C65</v>
      </c>
      <c r="N3448" s="10" t="str">
        <f t="shared" si="324"/>
        <v>C67</v>
      </c>
      <c r="O3448" s="5">
        <f t="shared" si="325"/>
        <v>7.2587875453394792</v>
      </c>
      <c r="P3448" s="22">
        <f>O3448/Explications!$C$8</f>
        <v>0.2419595848446493</v>
      </c>
      <c r="Q3448" s="7" t="str">
        <f t="shared" si="326"/>
        <v>C67</v>
      </c>
      <c r="R3448" s="7" t="str">
        <f t="shared" si="327"/>
        <v>C65</v>
      </c>
      <c r="S3448" s="18">
        <f t="shared" si="328"/>
        <v>7.2587875453394792</v>
      </c>
      <c r="T3448" s="18">
        <f>S3448/Explications!$C$8</f>
        <v>0.2419595848446493</v>
      </c>
    </row>
    <row r="3449" spans="7:20">
      <c r="G3449" s="7" t="s">
        <v>81</v>
      </c>
      <c r="H3449" s="7" t="s">
        <v>84</v>
      </c>
      <c r="I3449" s="7">
        <v>46.772300000000001</v>
      </c>
      <c r="J3449" s="7">
        <v>-71.279799999999994</v>
      </c>
      <c r="K3449" s="7">
        <v>46.815600000000003</v>
      </c>
      <c r="L3449" s="7">
        <v>-71.2029</v>
      </c>
      <c r="M3449" s="10" t="str">
        <f t="shared" si="323"/>
        <v>C65</v>
      </c>
      <c r="N3449" s="10" t="str">
        <f t="shared" si="324"/>
        <v>C68</v>
      </c>
      <c r="O3449" s="5">
        <f t="shared" si="325"/>
        <v>7.5797578410596671</v>
      </c>
      <c r="P3449" s="22">
        <f>O3449/Explications!$C$8</f>
        <v>0.25265859470198893</v>
      </c>
      <c r="Q3449" s="7" t="str">
        <f t="shared" si="326"/>
        <v>C68</v>
      </c>
      <c r="R3449" s="7" t="str">
        <f t="shared" si="327"/>
        <v>C65</v>
      </c>
      <c r="S3449" s="18">
        <f t="shared" si="328"/>
        <v>7.5797578410596671</v>
      </c>
      <c r="T3449" s="18">
        <f>S3449/Explications!$C$8</f>
        <v>0.25265859470198893</v>
      </c>
    </row>
    <row r="3450" spans="7:20">
      <c r="G3450" s="7" t="s">
        <v>81</v>
      </c>
      <c r="H3450" s="7" t="s">
        <v>85</v>
      </c>
      <c r="I3450" s="7">
        <v>46.772300000000001</v>
      </c>
      <c r="J3450" s="7">
        <v>-71.279799999999994</v>
      </c>
      <c r="K3450" s="7">
        <v>46.821899999999999</v>
      </c>
      <c r="L3450" s="7">
        <v>-71.249899999999997</v>
      </c>
      <c r="M3450" s="10" t="str">
        <f t="shared" si="323"/>
        <v>C65</v>
      </c>
      <c r="N3450" s="10" t="str">
        <f t="shared" si="324"/>
        <v>C69</v>
      </c>
      <c r="O3450" s="5">
        <f t="shared" si="325"/>
        <v>5.9664573793531712</v>
      </c>
      <c r="P3450" s="22">
        <f>O3450/Explications!$C$8</f>
        <v>0.19888191264510571</v>
      </c>
      <c r="Q3450" s="7" t="str">
        <f t="shared" si="326"/>
        <v>C69</v>
      </c>
      <c r="R3450" s="7" t="str">
        <f t="shared" si="327"/>
        <v>C65</v>
      </c>
      <c r="S3450" s="18">
        <f t="shared" si="328"/>
        <v>5.9664573793531712</v>
      </c>
      <c r="T3450" s="18">
        <f>S3450/Explications!$C$8</f>
        <v>0.19888191264510571</v>
      </c>
    </row>
    <row r="3451" spans="7:20">
      <c r="G3451" s="7" t="s">
        <v>81</v>
      </c>
      <c r="H3451" s="7" t="s">
        <v>86</v>
      </c>
      <c r="I3451" s="7">
        <v>46.772300000000001</v>
      </c>
      <c r="J3451" s="7">
        <v>-71.279799999999994</v>
      </c>
      <c r="K3451" s="7">
        <v>46.8872</v>
      </c>
      <c r="L3451" s="7">
        <v>-71.27</v>
      </c>
      <c r="M3451" s="10" t="str">
        <f t="shared" si="323"/>
        <v>C65</v>
      </c>
      <c r="N3451" s="10" t="str">
        <f t="shared" si="324"/>
        <v>C70</v>
      </c>
      <c r="O3451" s="5">
        <f t="shared" si="325"/>
        <v>12.798031257037509</v>
      </c>
      <c r="P3451" s="22">
        <f>O3451/Explications!$C$8</f>
        <v>0.42660104190125031</v>
      </c>
      <c r="Q3451" s="7" t="str">
        <f t="shared" si="326"/>
        <v>C70</v>
      </c>
      <c r="R3451" s="7" t="str">
        <f t="shared" si="327"/>
        <v>C65</v>
      </c>
      <c r="S3451" s="18">
        <f t="shared" si="328"/>
        <v>12.798031257037509</v>
      </c>
      <c r="T3451" s="18">
        <f>S3451/Explications!$C$8</f>
        <v>0.42660104190125031</v>
      </c>
    </row>
    <row r="3452" spans="7:20">
      <c r="G3452" s="7" t="s">
        <v>81</v>
      </c>
      <c r="H3452" s="7" t="s">
        <v>87</v>
      </c>
      <c r="I3452" s="7">
        <v>46.772300000000001</v>
      </c>
      <c r="J3452" s="7">
        <v>-71.279799999999994</v>
      </c>
      <c r="K3452" s="7">
        <v>46.816299999999998</v>
      </c>
      <c r="L3452" s="7">
        <v>-71.210300000000004</v>
      </c>
      <c r="M3452" s="10" t="str">
        <f t="shared" si="323"/>
        <v>C65</v>
      </c>
      <c r="N3452" s="10" t="str">
        <f t="shared" si="324"/>
        <v>C71</v>
      </c>
      <c r="O3452" s="5">
        <f t="shared" si="325"/>
        <v>7.2062179727978766</v>
      </c>
      <c r="P3452" s="22">
        <f>O3452/Explications!$C$8</f>
        <v>0.24020726575992921</v>
      </c>
      <c r="Q3452" s="7" t="str">
        <f t="shared" si="326"/>
        <v>C71</v>
      </c>
      <c r="R3452" s="7" t="str">
        <f t="shared" si="327"/>
        <v>C65</v>
      </c>
      <c r="S3452" s="18">
        <f t="shared" si="328"/>
        <v>7.2062179727978766</v>
      </c>
      <c r="T3452" s="18">
        <f>S3452/Explications!$C$8</f>
        <v>0.24020726575992921</v>
      </c>
    </row>
    <row r="3453" spans="7:20">
      <c r="G3453" s="7" t="s">
        <v>81</v>
      </c>
      <c r="H3453" s="7" t="s">
        <v>88</v>
      </c>
      <c r="I3453" s="7">
        <v>46.772300000000001</v>
      </c>
      <c r="J3453" s="7">
        <v>-71.279799999999994</v>
      </c>
      <c r="K3453" s="7">
        <v>46.807000000000002</v>
      </c>
      <c r="L3453" s="7">
        <v>-71.3566</v>
      </c>
      <c r="M3453" s="10" t="str">
        <f t="shared" si="323"/>
        <v>C65</v>
      </c>
      <c r="N3453" s="10" t="str">
        <f t="shared" si="324"/>
        <v>C72</v>
      </c>
      <c r="O3453" s="5">
        <f t="shared" si="325"/>
        <v>7.0053651054407657</v>
      </c>
      <c r="P3453" s="22">
        <f>O3453/Explications!$C$8</f>
        <v>0.23351217018135886</v>
      </c>
      <c r="Q3453" s="7" t="str">
        <f t="shared" si="326"/>
        <v>C72</v>
      </c>
      <c r="R3453" s="7" t="str">
        <f t="shared" si="327"/>
        <v>C65</v>
      </c>
      <c r="S3453" s="18">
        <f t="shared" si="328"/>
        <v>7.0053651054407657</v>
      </c>
      <c r="T3453" s="18">
        <f>S3453/Explications!$C$8</f>
        <v>0.23351217018135886</v>
      </c>
    </row>
    <row r="3454" spans="7:20">
      <c r="G3454" s="7" t="s">
        <v>81</v>
      </c>
      <c r="H3454" s="7" t="s">
        <v>89</v>
      </c>
      <c r="I3454" s="7">
        <v>46.772300000000001</v>
      </c>
      <c r="J3454" s="7">
        <v>-71.279799999999994</v>
      </c>
      <c r="K3454" s="7">
        <v>46.822899999999997</v>
      </c>
      <c r="L3454" s="7">
        <v>-71.341899999999995</v>
      </c>
      <c r="M3454" s="10" t="str">
        <f t="shared" si="323"/>
        <v>C65</v>
      </c>
      <c r="N3454" s="10" t="str">
        <f t="shared" si="324"/>
        <v>C73</v>
      </c>
      <c r="O3454" s="5">
        <f t="shared" si="325"/>
        <v>7.3486745993052836</v>
      </c>
      <c r="P3454" s="22">
        <f>O3454/Explications!$C$8</f>
        <v>0.24495581997684279</v>
      </c>
      <c r="Q3454" s="7" t="str">
        <f t="shared" si="326"/>
        <v>C73</v>
      </c>
      <c r="R3454" s="7" t="str">
        <f t="shared" si="327"/>
        <v>C65</v>
      </c>
      <c r="S3454" s="18">
        <f t="shared" si="328"/>
        <v>7.3486745993052836</v>
      </c>
      <c r="T3454" s="18">
        <f>S3454/Explications!$C$8</f>
        <v>0.24495581997684279</v>
      </c>
    </row>
    <row r="3455" spans="7:20">
      <c r="G3455" s="7" t="s">
        <v>81</v>
      </c>
      <c r="H3455" s="7" t="s">
        <v>90</v>
      </c>
      <c r="I3455" s="7">
        <v>46.772300000000001</v>
      </c>
      <c r="J3455" s="7">
        <v>-71.279799999999994</v>
      </c>
      <c r="K3455" s="7">
        <v>46.730699999999999</v>
      </c>
      <c r="L3455" s="7">
        <v>-71.261099999999999</v>
      </c>
      <c r="M3455" s="10" t="str">
        <f t="shared" si="323"/>
        <v>C65</v>
      </c>
      <c r="N3455" s="10" t="str">
        <f t="shared" si="324"/>
        <v>C74</v>
      </c>
      <c r="O3455" s="5">
        <f t="shared" si="325"/>
        <v>4.8401374887220499</v>
      </c>
      <c r="P3455" s="22">
        <f>O3455/Explications!$C$8</f>
        <v>0.16133791629073499</v>
      </c>
      <c r="Q3455" s="7" t="str">
        <f t="shared" si="326"/>
        <v>C74</v>
      </c>
      <c r="R3455" s="7" t="str">
        <f t="shared" si="327"/>
        <v>C65</v>
      </c>
      <c r="S3455" s="18">
        <f t="shared" si="328"/>
        <v>4.8401374887220499</v>
      </c>
      <c r="T3455" s="18">
        <f>S3455/Explications!$C$8</f>
        <v>0.16133791629073499</v>
      </c>
    </row>
    <row r="3456" spans="7:20">
      <c r="G3456" s="7" t="s">
        <v>81</v>
      </c>
      <c r="H3456" s="7" t="s">
        <v>91</v>
      </c>
      <c r="I3456" s="7">
        <v>46.772300000000001</v>
      </c>
      <c r="J3456" s="7">
        <v>-71.279799999999994</v>
      </c>
      <c r="K3456" s="7">
        <v>46.840600000000002</v>
      </c>
      <c r="L3456" s="7">
        <v>-71.289100000000005</v>
      </c>
      <c r="M3456" s="10" t="str">
        <f t="shared" si="323"/>
        <v>C65</v>
      </c>
      <c r="N3456" s="10" t="str">
        <f t="shared" si="324"/>
        <v>C75</v>
      </c>
      <c r="O3456" s="5">
        <f t="shared" si="325"/>
        <v>7.6275261098460412</v>
      </c>
      <c r="P3456" s="22">
        <f>O3456/Explications!$C$8</f>
        <v>0.25425087032820137</v>
      </c>
      <c r="Q3456" s="7" t="str">
        <f t="shared" si="326"/>
        <v>C75</v>
      </c>
      <c r="R3456" s="7" t="str">
        <f t="shared" si="327"/>
        <v>C65</v>
      </c>
      <c r="S3456" s="18">
        <f t="shared" si="328"/>
        <v>7.6275261098460412</v>
      </c>
      <c r="T3456" s="18">
        <f>S3456/Explications!$C$8</f>
        <v>0.25425087032820137</v>
      </c>
    </row>
    <row r="3457" spans="7:20">
      <c r="G3457" s="7" t="s">
        <v>81</v>
      </c>
      <c r="H3457" s="7" t="s">
        <v>92</v>
      </c>
      <c r="I3457" s="7">
        <v>46.772300000000001</v>
      </c>
      <c r="J3457" s="7">
        <v>-71.279799999999994</v>
      </c>
      <c r="K3457" s="7">
        <v>46.840600000000002</v>
      </c>
      <c r="L3457" s="7">
        <v>-71.281599999999997</v>
      </c>
      <c r="M3457" s="10" t="str">
        <f t="shared" si="323"/>
        <v>C65</v>
      </c>
      <c r="N3457" s="10" t="str">
        <f t="shared" si="324"/>
        <v>C76</v>
      </c>
      <c r="O3457" s="5">
        <f t="shared" si="325"/>
        <v>7.5958489994849874</v>
      </c>
      <c r="P3457" s="22">
        <f>O3457/Explications!$C$8</f>
        <v>0.25319496664949959</v>
      </c>
      <c r="Q3457" s="7" t="str">
        <f t="shared" si="326"/>
        <v>C76</v>
      </c>
      <c r="R3457" s="7" t="str">
        <f t="shared" si="327"/>
        <v>C65</v>
      </c>
      <c r="S3457" s="18">
        <f t="shared" si="328"/>
        <v>7.5958489994849874</v>
      </c>
      <c r="T3457" s="18">
        <f>S3457/Explications!$C$8</f>
        <v>0.25319496664949959</v>
      </c>
    </row>
    <row r="3458" spans="7:20">
      <c r="G3458" s="7" t="s">
        <v>81</v>
      </c>
      <c r="H3458" s="7" t="s">
        <v>93</v>
      </c>
      <c r="I3458" s="7">
        <v>46.772300000000001</v>
      </c>
      <c r="J3458" s="7">
        <v>-71.279799999999994</v>
      </c>
      <c r="K3458" s="7">
        <v>46.839399999999998</v>
      </c>
      <c r="L3458" s="7">
        <v>-71.282600000000002</v>
      </c>
      <c r="M3458" s="10" t="str">
        <f t="shared" si="323"/>
        <v>C65</v>
      </c>
      <c r="N3458" s="10" t="str">
        <f t="shared" si="324"/>
        <v>C77</v>
      </c>
      <c r="O3458" s="5">
        <f t="shared" si="325"/>
        <v>7.4642223679369817</v>
      </c>
      <c r="P3458" s="22">
        <f>O3458/Explications!$C$8</f>
        <v>0.24880741226456607</v>
      </c>
      <c r="Q3458" s="7" t="str">
        <f t="shared" si="326"/>
        <v>C77</v>
      </c>
      <c r="R3458" s="7" t="str">
        <f t="shared" si="327"/>
        <v>C65</v>
      </c>
      <c r="S3458" s="18">
        <f t="shared" si="328"/>
        <v>7.4642223679369817</v>
      </c>
      <c r="T3458" s="18">
        <f>S3458/Explications!$C$8</f>
        <v>0.24880741226456607</v>
      </c>
    </row>
    <row r="3459" spans="7:20">
      <c r="G3459" s="7" t="s">
        <v>81</v>
      </c>
      <c r="H3459" s="7" t="s">
        <v>94</v>
      </c>
      <c r="I3459" s="7">
        <v>46.772300000000001</v>
      </c>
      <c r="J3459" s="7">
        <v>-71.279799999999994</v>
      </c>
      <c r="K3459" s="7">
        <v>46.788499999999999</v>
      </c>
      <c r="L3459" s="7">
        <v>-71.282399999999996</v>
      </c>
      <c r="M3459" s="10" t="str">
        <f t="shared" si="323"/>
        <v>C65</v>
      </c>
      <c r="N3459" s="10" t="str">
        <f t="shared" si="324"/>
        <v>C78</v>
      </c>
      <c r="O3459" s="5">
        <f t="shared" si="325"/>
        <v>1.8122046732180956</v>
      </c>
      <c r="P3459" s="22">
        <f>O3459/Explications!$C$8</f>
        <v>6.0406822440603185E-2</v>
      </c>
      <c r="Q3459" s="7" t="str">
        <f t="shared" si="326"/>
        <v>C78</v>
      </c>
      <c r="R3459" s="7" t="str">
        <f t="shared" si="327"/>
        <v>C65</v>
      </c>
      <c r="S3459" s="18">
        <f t="shared" si="328"/>
        <v>1.8122046732180956</v>
      </c>
      <c r="T3459" s="18">
        <f>S3459/Explications!$C$8</f>
        <v>6.0406822440603185E-2</v>
      </c>
    </row>
    <row r="3460" spans="7:20">
      <c r="G3460" s="7" t="s">
        <v>81</v>
      </c>
      <c r="H3460" s="7" t="s">
        <v>95</v>
      </c>
      <c r="I3460" s="7">
        <v>46.772300000000001</v>
      </c>
      <c r="J3460" s="7">
        <v>-71.279799999999994</v>
      </c>
      <c r="K3460" s="7">
        <v>46.840699999999998</v>
      </c>
      <c r="L3460" s="7">
        <v>-71.325400000000002</v>
      </c>
      <c r="M3460" s="10" t="str">
        <f t="shared" ref="M3460:M3523" si="329">G3460</f>
        <v>C65</v>
      </c>
      <c r="N3460" s="10" t="str">
        <f t="shared" ref="N3460:N3523" si="330">H3460</f>
        <v>C79</v>
      </c>
      <c r="O3460" s="5">
        <f t="shared" ref="O3460:O3523" si="331">ACOS(SIN(RADIANS(I3460))*SIN(RADIANS(K3460))+COS(RADIANS(I3460))*COS(RADIANS(K3460))*COS(RADIANS(J3460-L3460)))*6371</f>
        <v>8.3601445362016555</v>
      </c>
      <c r="P3460" s="22">
        <f>O3460/Explications!$C$8</f>
        <v>0.27867148454005519</v>
      </c>
      <c r="Q3460" s="7" t="str">
        <f t="shared" ref="Q3460:Q3523" si="332">N3460</f>
        <v>C79</v>
      </c>
      <c r="R3460" s="7" t="str">
        <f t="shared" ref="R3460:R3523" si="333">M3460</f>
        <v>C65</v>
      </c>
      <c r="S3460" s="18">
        <f t="shared" ref="S3460:S3523" si="334">O3460</f>
        <v>8.3601445362016555</v>
      </c>
      <c r="T3460" s="18">
        <f>S3460/Explications!$C$8</f>
        <v>0.27867148454005519</v>
      </c>
    </row>
    <row r="3461" spans="7:20">
      <c r="G3461" s="7" t="s">
        <v>81</v>
      </c>
      <c r="H3461" s="7" t="s">
        <v>96</v>
      </c>
      <c r="I3461" s="7">
        <v>46.772300000000001</v>
      </c>
      <c r="J3461" s="7">
        <v>-71.279799999999994</v>
      </c>
      <c r="K3461" s="7">
        <v>46.798400000000001</v>
      </c>
      <c r="L3461" s="7">
        <v>-71.183199999999999</v>
      </c>
      <c r="M3461" s="10" t="str">
        <f t="shared" si="329"/>
        <v>C65</v>
      </c>
      <c r="N3461" s="10" t="str">
        <f t="shared" si="330"/>
        <v>C80</v>
      </c>
      <c r="O3461" s="5">
        <f t="shared" si="331"/>
        <v>7.9068926487860187</v>
      </c>
      <c r="P3461" s="22">
        <f>O3461/Explications!$C$8</f>
        <v>0.26356308829286729</v>
      </c>
      <c r="Q3461" s="7" t="str">
        <f t="shared" si="332"/>
        <v>C80</v>
      </c>
      <c r="R3461" s="7" t="str">
        <f t="shared" si="333"/>
        <v>C65</v>
      </c>
      <c r="S3461" s="18">
        <f t="shared" si="334"/>
        <v>7.9068926487860187</v>
      </c>
      <c r="T3461" s="18">
        <f>S3461/Explications!$C$8</f>
        <v>0.26356308829286729</v>
      </c>
    </row>
    <row r="3462" spans="7:20">
      <c r="G3462" s="7" t="s">
        <v>81</v>
      </c>
      <c r="H3462" s="7" t="s">
        <v>97</v>
      </c>
      <c r="I3462" s="7">
        <v>46.772300000000001</v>
      </c>
      <c r="J3462" s="7">
        <v>-71.279799999999994</v>
      </c>
      <c r="K3462" s="7">
        <v>46.724800000000002</v>
      </c>
      <c r="L3462" s="7">
        <v>-71.2988</v>
      </c>
      <c r="M3462" s="10" t="str">
        <f t="shared" si="329"/>
        <v>C65</v>
      </c>
      <c r="N3462" s="10" t="str">
        <f t="shared" si="330"/>
        <v>C81</v>
      </c>
      <c r="O3462" s="5">
        <f t="shared" si="331"/>
        <v>5.4765502997841837</v>
      </c>
      <c r="P3462" s="22">
        <f>O3462/Explications!$C$8</f>
        <v>0.18255167665947278</v>
      </c>
      <c r="Q3462" s="7" t="str">
        <f t="shared" si="332"/>
        <v>C81</v>
      </c>
      <c r="R3462" s="7" t="str">
        <f t="shared" si="333"/>
        <v>C65</v>
      </c>
      <c r="S3462" s="18">
        <f t="shared" si="334"/>
        <v>5.4765502997841837</v>
      </c>
      <c r="T3462" s="18">
        <f>S3462/Explications!$C$8</f>
        <v>0.18255167665947278</v>
      </c>
    </row>
    <row r="3463" spans="7:20">
      <c r="G3463" s="7" t="s">
        <v>81</v>
      </c>
      <c r="H3463" s="7" t="s">
        <v>98</v>
      </c>
      <c r="I3463" s="7">
        <v>46.772300000000001</v>
      </c>
      <c r="J3463" s="7">
        <v>-71.279799999999994</v>
      </c>
      <c r="K3463" s="7">
        <v>46.795499999999997</v>
      </c>
      <c r="L3463" s="7">
        <v>-71.242900000000006</v>
      </c>
      <c r="M3463" s="10" t="str">
        <f t="shared" si="329"/>
        <v>C65</v>
      </c>
      <c r="N3463" s="10" t="str">
        <f t="shared" si="330"/>
        <v>C82</v>
      </c>
      <c r="O3463" s="5">
        <f t="shared" si="331"/>
        <v>3.8142918581041272</v>
      </c>
      <c r="P3463" s="22">
        <f>O3463/Explications!$C$8</f>
        <v>0.12714306193680425</v>
      </c>
      <c r="Q3463" s="7" t="str">
        <f t="shared" si="332"/>
        <v>C82</v>
      </c>
      <c r="R3463" s="7" t="str">
        <f t="shared" si="333"/>
        <v>C65</v>
      </c>
      <c r="S3463" s="18">
        <f t="shared" si="334"/>
        <v>3.8142918581041272</v>
      </c>
      <c r="T3463" s="18">
        <f>S3463/Explications!$C$8</f>
        <v>0.12714306193680425</v>
      </c>
    </row>
    <row r="3464" spans="7:20">
      <c r="G3464" s="7" t="s">
        <v>81</v>
      </c>
      <c r="H3464" s="7" t="s">
        <v>99</v>
      </c>
      <c r="I3464" s="7">
        <v>46.772300000000001</v>
      </c>
      <c r="J3464" s="7">
        <v>-71.279799999999994</v>
      </c>
      <c r="K3464" s="7">
        <v>46.8157</v>
      </c>
      <c r="L3464" s="7">
        <v>-71.201899999999995</v>
      </c>
      <c r="M3464" s="10" t="str">
        <f t="shared" si="329"/>
        <v>C65</v>
      </c>
      <c r="N3464" s="10" t="str">
        <f t="shared" si="330"/>
        <v>C83</v>
      </c>
      <c r="O3464" s="5">
        <f t="shared" si="331"/>
        <v>7.6457158480726664</v>
      </c>
      <c r="P3464" s="22">
        <f>O3464/Explications!$C$8</f>
        <v>0.25485719493575554</v>
      </c>
      <c r="Q3464" s="7" t="str">
        <f t="shared" si="332"/>
        <v>C83</v>
      </c>
      <c r="R3464" s="7" t="str">
        <f t="shared" si="333"/>
        <v>C65</v>
      </c>
      <c r="S3464" s="18">
        <f t="shared" si="334"/>
        <v>7.6457158480726664</v>
      </c>
      <c r="T3464" s="18">
        <f>S3464/Explications!$C$8</f>
        <v>0.25485719493575554</v>
      </c>
    </row>
    <row r="3465" spans="7:20">
      <c r="G3465" s="7" t="s">
        <v>81</v>
      </c>
      <c r="H3465" s="7" t="s">
        <v>100</v>
      </c>
      <c r="I3465" s="7">
        <v>46.772300000000001</v>
      </c>
      <c r="J3465" s="7">
        <v>-71.279799999999994</v>
      </c>
      <c r="K3465" s="7">
        <v>46.837600000000002</v>
      </c>
      <c r="L3465" s="7">
        <v>-71.196299999999994</v>
      </c>
      <c r="M3465" s="10" t="str">
        <f t="shared" si="329"/>
        <v>C65</v>
      </c>
      <c r="N3465" s="10" t="str">
        <f t="shared" si="330"/>
        <v>C84</v>
      </c>
      <c r="O3465" s="5">
        <f t="shared" si="331"/>
        <v>9.6494623987111012</v>
      </c>
      <c r="P3465" s="22">
        <f>O3465/Explications!$C$8</f>
        <v>0.32164874662370335</v>
      </c>
      <c r="Q3465" s="7" t="str">
        <f t="shared" si="332"/>
        <v>C84</v>
      </c>
      <c r="R3465" s="7" t="str">
        <f t="shared" si="333"/>
        <v>C65</v>
      </c>
      <c r="S3465" s="18">
        <f t="shared" si="334"/>
        <v>9.6494623987111012</v>
      </c>
      <c r="T3465" s="18">
        <f>S3465/Explications!$C$8</f>
        <v>0.32164874662370335</v>
      </c>
    </row>
    <row r="3466" spans="7:20">
      <c r="G3466" s="7" t="s">
        <v>81</v>
      </c>
      <c r="H3466" s="7" t="s">
        <v>101</v>
      </c>
      <c r="I3466" s="7">
        <v>46.772300000000001</v>
      </c>
      <c r="J3466" s="7">
        <v>-71.279799999999994</v>
      </c>
      <c r="K3466" s="7">
        <v>46.7988</v>
      </c>
      <c r="L3466" s="7">
        <v>-71.318200000000004</v>
      </c>
      <c r="M3466" s="10" t="str">
        <f t="shared" si="329"/>
        <v>C65</v>
      </c>
      <c r="N3466" s="10" t="str">
        <f t="shared" si="330"/>
        <v>C85</v>
      </c>
      <c r="O3466" s="5">
        <f t="shared" si="331"/>
        <v>4.151022770154456</v>
      </c>
      <c r="P3466" s="22">
        <f>O3466/Explications!$C$8</f>
        <v>0.1383674256718152</v>
      </c>
      <c r="Q3466" s="7" t="str">
        <f t="shared" si="332"/>
        <v>C85</v>
      </c>
      <c r="R3466" s="7" t="str">
        <f t="shared" si="333"/>
        <v>C65</v>
      </c>
      <c r="S3466" s="18">
        <f t="shared" si="334"/>
        <v>4.151022770154456</v>
      </c>
      <c r="T3466" s="18">
        <f>S3466/Explications!$C$8</f>
        <v>0.1383674256718152</v>
      </c>
    </row>
    <row r="3467" spans="7:20">
      <c r="G3467" s="7" t="s">
        <v>82</v>
      </c>
      <c r="H3467" s="7" t="s">
        <v>83</v>
      </c>
      <c r="I3467" s="7">
        <v>46.814900000000002</v>
      </c>
      <c r="J3467" s="7">
        <v>-71.225200000000001</v>
      </c>
      <c r="K3467" s="7">
        <v>46.814700000000002</v>
      </c>
      <c r="L3467" s="7">
        <v>-71.207300000000004</v>
      </c>
      <c r="M3467" s="10" t="str">
        <f t="shared" si="329"/>
        <v>C66</v>
      </c>
      <c r="N3467" s="10" t="str">
        <f t="shared" si="330"/>
        <v>C67</v>
      </c>
      <c r="O3467" s="5">
        <f t="shared" si="331"/>
        <v>1.3623218525770258</v>
      </c>
      <c r="P3467" s="22">
        <f>O3467/Explications!$C$8</f>
        <v>4.5410728419234193E-2</v>
      </c>
      <c r="Q3467" s="7" t="str">
        <f t="shared" si="332"/>
        <v>C67</v>
      </c>
      <c r="R3467" s="7" t="str">
        <f t="shared" si="333"/>
        <v>C66</v>
      </c>
      <c r="S3467" s="18">
        <f t="shared" si="334"/>
        <v>1.3623218525770258</v>
      </c>
      <c r="T3467" s="18">
        <f>S3467/Explications!$C$8</f>
        <v>4.5410728419234193E-2</v>
      </c>
    </row>
    <row r="3468" spans="7:20">
      <c r="G3468" s="7" t="s">
        <v>82</v>
      </c>
      <c r="H3468" s="7" t="s">
        <v>84</v>
      </c>
      <c r="I3468" s="7">
        <v>46.814900000000002</v>
      </c>
      <c r="J3468" s="7">
        <v>-71.225200000000001</v>
      </c>
      <c r="K3468" s="7">
        <v>46.815600000000003</v>
      </c>
      <c r="L3468" s="7">
        <v>-71.2029</v>
      </c>
      <c r="M3468" s="10" t="str">
        <f t="shared" si="329"/>
        <v>C66</v>
      </c>
      <c r="N3468" s="10" t="str">
        <f t="shared" si="330"/>
        <v>C68</v>
      </c>
      <c r="O3468" s="5">
        <f t="shared" si="331"/>
        <v>1.6987380834220482</v>
      </c>
      <c r="P3468" s="22">
        <f>O3468/Explications!$C$8</f>
        <v>5.6624602780734938E-2</v>
      </c>
      <c r="Q3468" s="7" t="str">
        <f t="shared" si="332"/>
        <v>C68</v>
      </c>
      <c r="R3468" s="7" t="str">
        <f t="shared" si="333"/>
        <v>C66</v>
      </c>
      <c r="S3468" s="18">
        <f t="shared" si="334"/>
        <v>1.6987380834220482</v>
      </c>
      <c r="T3468" s="18">
        <f>S3468/Explications!$C$8</f>
        <v>5.6624602780734938E-2</v>
      </c>
    </row>
    <row r="3469" spans="7:20">
      <c r="G3469" s="7" t="s">
        <v>82</v>
      </c>
      <c r="H3469" s="7" t="s">
        <v>85</v>
      </c>
      <c r="I3469" s="7">
        <v>46.814900000000002</v>
      </c>
      <c r="J3469" s="7">
        <v>-71.225200000000001</v>
      </c>
      <c r="K3469" s="7">
        <v>46.821899999999999</v>
      </c>
      <c r="L3469" s="7">
        <v>-71.249899999999997</v>
      </c>
      <c r="M3469" s="10" t="str">
        <f t="shared" si="329"/>
        <v>C66</v>
      </c>
      <c r="N3469" s="10" t="str">
        <f t="shared" si="330"/>
        <v>C69</v>
      </c>
      <c r="O3469" s="5">
        <f t="shared" si="331"/>
        <v>2.0342762450055849</v>
      </c>
      <c r="P3469" s="22">
        <f>O3469/Explications!$C$8</f>
        <v>6.7809208166852833E-2</v>
      </c>
      <c r="Q3469" s="7" t="str">
        <f t="shared" si="332"/>
        <v>C69</v>
      </c>
      <c r="R3469" s="7" t="str">
        <f t="shared" si="333"/>
        <v>C66</v>
      </c>
      <c r="S3469" s="18">
        <f t="shared" si="334"/>
        <v>2.0342762450055849</v>
      </c>
      <c r="T3469" s="18">
        <f>S3469/Explications!$C$8</f>
        <v>6.7809208166852833E-2</v>
      </c>
    </row>
    <row r="3470" spans="7:20">
      <c r="G3470" s="7" t="s">
        <v>82</v>
      </c>
      <c r="H3470" s="7" t="s">
        <v>86</v>
      </c>
      <c r="I3470" s="7">
        <v>46.814900000000002</v>
      </c>
      <c r="J3470" s="7">
        <v>-71.225200000000001</v>
      </c>
      <c r="K3470" s="7">
        <v>46.8872</v>
      </c>
      <c r="L3470" s="7">
        <v>-71.27</v>
      </c>
      <c r="M3470" s="10" t="str">
        <f t="shared" si="329"/>
        <v>C66</v>
      </c>
      <c r="N3470" s="10" t="str">
        <f t="shared" si="330"/>
        <v>C70</v>
      </c>
      <c r="O3470" s="5">
        <f t="shared" si="331"/>
        <v>8.7314666546021549</v>
      </c>
      <c r="P3470" s="22">
        <f>O3470/Explications!$C$8</f>
        <v>0.29104888848673849</v>
      </c>
      <c r="Q3470" s="7" t="str">
        <f t="shared" si="332"/>
        <v>C70</v>
      </c>
      <c r="R3470" s="7" t="str">
        <f t="shared" si="333"/>
        <v>C66</v>
      </c>
      <c r="S3470" s="18">
        <f t="shared" si="334"/>
        <v>8.7314666546021549</v>
      </c>
      <c r="T3470" s="18">
        <f>S3470/Explications!$C$8</f>
        <v>0.29104888848673849</v>
      </c>
    </row>
    <row r="3471" spans="7:20">
      <c r="G3471" s="7" t="s">
        <v>82</v>
      </c>
      <c r="H3471" s="7" t="s">
        <v>87</v>
      </c>
      <c r="I3471" s="7">
        <v>46.814900000000002</v>
      </c>
      <c r="J3471" s="7">
        <v>-71.225200000000001</v>
      </c>
      <c r="K3471" s="7">
        <v>46.816299999999998</v>
      </c>
      <c r="L3471" s="7">
        <v>-71.210300000000004</v>
      </c>
      <c r="M3471" s="10" t="str">
        <f t="shared" si="329"/>
        <v>C66</v>
      </c>
      <c r="N3471" s="10" t="str">
        <f t="shared" si="330"/>
        <v>C71</v>
      </c>
      <c r="O3471" s="5">
        <f t="shared" si="331"/>
        <v>1.1444686792532737</v>
      </c>
      <c r="P3471" s="22">
        <f>O3471/Explications!$C$8</f>
        <v>3.8148955975109124E-2</v>
      </c>
      <c r="Q3471" s="7" t="str">
        <f t="shared" si="332"/>
        <v>C71</v>
      </c>
      <c r="R3471" s="7" t="str">
        <f t="shared" si="333"/>
        <v>C66</v>
      </c>
      <c r="S3471" s="18">
        <f t="shared" si="334"/>
        <v>1.1444686792532737</v>
      </c>
      <c r="T3471" s="18">
        <f>S3471/Explications!$C$8</f>
        <v>3.8148955975109124E-2</v>
      </c>
    </row>
    <row r="3472" spans="7:20">
      <c r="G3472" s="7" t="s">
        <v>82</v>
      </c>
      <c r="H3472" s="7" t="s">
        <v>88</v>
      </c>
      <c r="I3472" s="7">
        <v>46.814900000000002</v>
      </c>
      <c r="J3472" s="7">
        <v>-71.225200000000001</v>
      </c>
      <c r="K3472" s="7">
        <v>46.807000000000002</v>
      </c>
      <c r="L3472" s="7">
        <v>-71.3566</v>
      </c>
      <c r="M3472" s="10" t="str">
        <f t="shared" si="329"/>
        <v>C66</v>
      </c>
      <c r="N3472" s="10" t="str">
        <f t="shared" si="330"/>
        <v>C72</v>
      </c>
      <c r="O3472" s="5">
        <f t="shared" si="331"/>
        <v>10.038399094706895</v>
      </c>
      <c r="P3472" s="22">
        <f>O3472/Explications!$C$8</f>
        <v>0.33461330315689647</v>
      </c>
      <c r="Q3472" s="7" t="str">
        <f t="shared" si="332"/>
        <v>C72</v>
      </c>
      <c r="R3472" s="7" t="str">
        <f t="shared" si="333"/>
        <v>C66</v>
      </c>
      <c r="S3472" s="18">
        <f t="shared" si="334"/>
        <v>10.038399094706895</v>
      </c>
      <c r="T3472" s="18">
        <f>S3472/Explications!$C$8</f>
        <v>0.33461330315689647</v>
      </c>
    </row>
    <row r="3473" spans="7:20">
      <c r="G3473" s="7" t="s">
        <v>82</v>
      </c>
      <c r="H3473" s="7" t="s">
        <v>89</v>
      </c>
      <c r="I3473" s="7">
        <v>46.814900000000002</v>
      </c>
      <c r="J3473" s="7">
        <v>-71.225200000000001</v>
      </c>
      <c r="K3473" s="7">
        <v>46.822899999999997</v>
      </c>
      <c r="L3473" s="7">
        <v>-71.341899999999995</v>
      </c>
      <c r="M3473" s="10" t="str">
        <f t="shared" si="329"/>
        <v>C66</v>
      </c>
      <c r="N3473" s="10" t="str">
        <f t="shared" si="330"/>
        <v>C73</v>
      </c>
      <c r="O3473" s="5">
        <f t="shared" si="331"/>
        <v>8.9243137074880021</v>
      </c>
      <c r="P3473" s="22">
        <f>O3473/Explications!$C$8</f>
        <v>0.29747712358293338</v>
      </c>
      <c r="Q3473" s="7" t="str">
        <f t="shared" si="332"/>
        <v>C73</v>
      </c>
      <c r="R3473" s="7" t="str">
        <f t="shared" si="333"/>
        <v>C66</v>
      </c>
      <c r="S3473" s="18">
        <f t="shared" si="334"/>
        <v>8.9243137074880021</v>
      </c>
      <c r="T3473" s="18">
        <f>S3473/Explications!$C$8</f>
        <v>0.29747712358293338</v>
      </c>
    </row>
    <row r="3474" spans="7:20">
      <c r="G3474" s="7" t="s">
        <v>82</v>
      </c>
      <c r="H3474" s="7" t="s">
        <v>90</v>
      </c>
      <c r="I3474" s="7">
        <v>46.814900000000002</v>
      </c>
      <c r="J3474" s="7">
        <v>-71.225200000000001</v>
      </c>
      <c r="K3474" s="7">
        <v>46.730699999999999</v>
      </c>
      <c r="L3474" s="7">
        <v>-71.261099999999999</v>
      </c>
      <c r="M3474" s="10" t="str">
        <f t="shared" si="329"/>
        <v>C66</v>
      </c>
      <c r="N3474" s="10" t="str">
        <f t="shared" si="330"/>
        <v>C74</v>
      </c>
      <c r="O3474" s="5">
        <f t="shared" si="331"/>
        <v>9.75363501902733</v>
      </c>
      <c r="P3474" s="22">
        <f>O3474/Explications!$C$8</f>
        <v>0.32512116730091101</v>
      </c>
      <c r="Q3474" s="7" t="str">
        <f t="shared" si="332"/>
        <v>C74</v>
      </c>
      <c r="R3474" s="7" t="str">
        <f t="shared" si="333"/>
        <v>C66</v>
      </c>
      <c r="S3474" s="18">
        <f t="shared" si="334"/>
        <v>9.75363501902733</v>
      </c>
      <c r="T3474" s="18">
        <f>S3474/Explications!$C$8</f>
        <v>0.32512116730091101</v>
      </c>
    </row>
    <row r="3475" spans="7:20">
      <c r="G3475" s="7" t="s">
        <v>82</v>
      </c>
      <c r="H3475" s="7" t="s">
        <v>91</v>
      </c>
      <c r="I3475" s="7">
        <v>46.814900000000002</v>
      </c>
      <c r="J3475" s="7">
        <v>-71.225200000000001</v>
      </c>
      <c r="K3475" s="7">
        <v>46.840600000000002</v>
      </c>
      <c r="L3475" s="7">
        <v>-71.289100000000005</v>
      </c>
      <c r="M3475" s="10" t="str">
        <f t="shared" si="329"/>
        <v>C66</v>
      </c>
      <c r="N3475" s="10" t="str">
        <f t="shared" si="330"/>
        <v>C75</v>
      </c>
      <c r="O3475" s="5">
        <f t="shared" si="331"/>
        <v>5.6391590952248354</v>
      </c>
      <c r="P3475" s="22">
        <f>O3475/Explications!$C$8</f>
        <v>0.18797196984082784</v>
      </c>
      <c r="Q3475" s="7" t="str">
        <f t="shared" si="332"/>
        <v>C75</v>
      </c>
      <c r="R3475" s="7" t="str">
        <f t="shared" si="333"/>
        <v>C66</v>
      </c>
      <c r="S3475" s="18">
        <f t="shared" si="334"/>
        <v>5.6391590952248354</v>
      </c>
      <c r="T3475" s="18">
        <f>S3475/Explications!$C$8</f>
        <v>0.18797196984082784</v>
      </c>
    </row>
    <row r="3476" spans="7:20">
      <c r="G3476" s="7" t="s">
        <v>82</v>
      </c>
      <c r="H3476" s="7" t="s">
        <v>92</v>
      </c>
      <c r="I3476" s="7">
        <v>46.814900000000002</v>
      </c>
      <c r="J3476" s="7">
        <v>-71.225200000000001</v>
      </c>
      <c r="K3476" s="7">
        <v>46.840600000000002</v>
      </c>
      <c r="L3476" s="7">
        <v>-71.281599999999997</v>
      </c>
      <c r="M3476" s="10" t="str">
        <f t="shared" si="329"/>
        <v>C66</v>
      </c>
      <c r="N3476" s="10" t="str">
        <f t="shared" si="330"/>
        <v>C76</v>
      </c>
      <c r="O3476" s="5">
        <f t="shared" si="331"/>
        <v>5.1553752902520174</v>
      </c>
      <c r="P3476" s="22">
        <f>O3476/Explications!$C$8</f>
        <v>0.17184584300840058</v>
      </c>
      <c r="Q3476" s="7" t="str">
        <f t="shared" si="332"/>
        <v>C76</v>
      </c>
      <c r="R3476" s="7" t="str">
        <f t="shared" si="333"/>
        <v>C66</v>
      </c>
      <c r="S3476" s="18">
        <f t="shared" si="334"/>
        <v>5.1553752902520174</v>
      </c>
      <c r="T3476" s="18">
        <f>S3476/Explications!$C$8</f>
        <v>0.17184584300840058</v>
      </c>
    </row>
    <row r="3477" spans="7:20">
      <c r="G3477" s="7" t="s">
        <v>82</v>
      </c>
      <c r="H3477" s="7" t="s">
        <v>93</v>
      </c>
      <c r="I3477" s="7">
        <v>46.814900000000002</v>
      </c>
      <c r="J3477" s="7">
        <v>-71.225200000000001</v>
      </c>
      <c r="K3477" s="7">
        <v>46.839399999999998</v>
      </c>
      <c r="L3477" s="7">
        <v>-71.282600000000002</v>
      </c>
      <c r="M3477" s="10" t="str">
        <f t="shared" si="329"/>
        <v>C66</v>
      </c>
      <c r="N3477" s="10" t="str">
        <f t="shared" si="330"/>
        <v>C77</v>
      </c>
      <c r="O3477" s="5">
        <f t="shared" si="331"/>
        <v>5.1470543278454777</v>
      </c>
      <c r="P3477" s="22">
        <f>O3477/Explications!$C$8</f>
        <v>0.17156847759484925</v>
      </c>
      <c r="Q3477" s="7" t="str">
        <f t="shared" si="332"/>
        <v>C77</v>
      </c>
      <c r="R3477" s="7" t="str">
        <f t="shared" si="333"/>
        <v>C66</v>
      </c>
      <c r="S3477" s="18">
        <f t="shared" si="334"/>
        <v>5.1470543278454777</v>
      </c>
      <c r="T3477" s="18">
        <f>S3477/Explications!$C$8</f>
        <v>0.17156847759484925</v>
      </c>
    </row>
    <row r="3478" spans="7:20">
      <c r="G3478" s="7" t="s">
        <v>82</v>
      </c>
      <c r="H3478" s="7" t="s">
        <v>94</v>
      </c>
      <c r="I3478" s="7">
        <v>46.814900000000002</v>
      </c>
      <c r="J3478" s="7">
        <v>-71.225200000000001</v>
      </c>
      <c r="K3478" s="7">
        <v>46.788499999999999</v>
      </c>
      <c r="L3478" s="7">
        <v>-71.282399999999996</v>
      </c>
      <c r="M3478" s="10" t="str">
        <f t="shared" si="329"/>
        <v>C66</v>
      </c>
      <c r="N3478" s="10" t="str">
        <f t="shared" si="330"/>
        <v>C78</v>
      </c>
      <c r="O3478" s="5">
        <f t="shared" si="331"/>
        <v>5.2510179839957738</v>
      </c>
      <c r="P3478" s="22">
        <f>O3478/Explications!$C$8</f>
        <v>0.17503393279985913</v>
      </c>
      <c r="Q3478" s="7" t="str">
        <f t="shared" si="332"/>
        <v>C78</v>
      </c>
      <c r="R3478" s="7" t="str">
        <f t="shared" si="333"/>
        <v>C66</v>
      </c>
      <c r="S3478" s="18">
        <f t="shared" si="334"/>
        <v>5.2510179839957738</v>
      </c>
      <c r="T3478" s="18">
        <f>S3478/Explications!$C$8</f>
        <v>0.17503393279985913</v>
      </c>
    </row>
    <row r="3479" spans="7:20">
      <c r="G3479" s="7" t="s">
        <v>82</v>
      </c>
      <c r="H3479" s="7" t="s">
        <v>95</v>
      </c>
      <c r="I3479" s="7">
        <v>46.814900000000002</v>
      </c>
      <c r="J3479" s="7">
        <v>-71.225200000000001</v>
      </c>
      <c r="K3479" s="7">
        <v>46.840699999999998</v>
      </c>
      <c r="L3479" s="7">
        <v>-71.325400000000002</v>
      </c>
      <c r="M3479" s="10" t="str">
        <f t="shared" si="329"/>
        <v>C66</v>
      </c>
      <c r="N3479" s="10" t="str">
        <f t="shared" si="330"/>
        <v>C79</v>
      </c>
      <c r="O3479" s="5">
        <f t="shared" si="331"/>
        <v>8.1450474791944192</v>
      </c>
      <c r="P3479" s="22">
        <f>O3479/Explications!$C$8</f>
        <v>0.271501582639814</v>
      </c>
      <c r="Q3479" s="7" t="str">
        <f t="shared" si="332"/>
        <v>C79</v>
      </c>
      <c r="R3479" s="7" t="str">
        <f t="shared" si="333"/>
        <v>C66</v>
      </c>
      <c r="S3479" s="18">
        <f t="shared" si="334"/>
        <v>8.1450474791944192</v>
      </c>
      <c r="T3479" s="18">
        <f>S3479/Explications!$C$8</f>
        <v>0.271501582639814</v>
      </c>
    </row>
    <row r="3480" spans="7:20">
      <c r="G3480" s="7" t="s">
        <v>82</v>
      </c>
      <c r="H3480" s="7" t="s">
        <v>96</v>
      </c>
      <c r="I3480" s="7">
        <v>46.814900000000002</v>
      </c>
      <c r="J3480" s="7">
        <v>-71.225200000000001</v>
      </c>
      <c r="K3480" s="7">
        <v>46.798400000000001</v>
      </c>
      <c r="L3480" s="7">
        <v>-71.183199999999999</v>
      </c>
      <c r="M3480" s="10" t="str">
        <f t="shared" si="329"/>
        <v>C66</v>
      </c>
      <c r="N3480" s="10" t="str">
        <f t="shared" si="330"/>
        <v>C80</v>
      </c>
      <c r="O3480" s="5">
        <f t="shared" si="331"/>
        <v>3.68567889409566</v>
      </c>
      <c r="P3480" s="22">
        <f>O3480/Explications!$C$8</f>
        <v>0.122855963136522</v>
      </c>
      <c r="Q3480" s="7" t="str">
        <f t="shared" si="332"/>
        <v>C80</v>
      </c>
      <c r="R3480" s="7" t="str">
        <f t="shared" si="333"/>
        <v>C66</v>
      </c>
      <c r="S3480" s="18">
        <f t="shared" si="334"/>
        <v>3.68567889409566</v>
      </c>
      <c r="T3480" s="18">
        <f>S3480/Explications!$C$8</f>
        <v>0.122855963136522</v>
      </c>
    </row>
    <row r="3481" spans="7:20">
      <c r="G3481" s="7" t="s">
        <v>82</v>
      </c>
      <c r="H3481" s="7" t="s">
        <v>97</v>
      </c>
      <c r="I3481" s="7">
        <v>46.814900000000002</v>
      </c>
      <c r="J3481" s="7">
        <v>-71.225200000000001</v>
      </c>
      <c r="K3481" s="7">
        <v>46.724800000000002</v>
      </c>
      <c r="L3481" s="7">
        <v>-71.2988</v>
      </c>
      <c r="M3481" s="10" t="str">
        <f t="shared" si="329"/>
        <v>C66</v>
      </c>
      <c r="N3481" s="10" t="str">
        <f t="shared" si="330"/>
        <v>C81</v>
      </c>
      <c r="O3481" s="5">
        <f t="shared" si="331"/>
        <v>11.480177813264945</v>
      </c>
      <c r="P3481" s="22">
        <f>O3481/Explications!$C$8</f>
        <v>0.38267259377549817</v>
      </c>
      <c r="Q3481" s="7" t="str">
        <f t="shared" si="332"/>
        <v>C81</v>
      </c>
      <c r="R3481" s="7" t="str">
        <f t="shared" si="333"/>
        <v>C66</v>
      </c>
      <c r="S3481" s="18">
        <f t="shared" si="334"/>
        <v>11.480177813264945</v>
      </c>
      <c r="T3481" s="18">
        <f>S3481/Explications!$C$8</f>
        <v>0.38267259377549817</v>
      </c>
    </row>
    <row r="3482" spans="7:20">
      <c r="G3482" s="7" t="s">
        <v>82</v>
      </c>
      <c r="H3482" s="7" t="s">
        <v>98</v>
      </c>
      <c r="I3482" s="7">
        <v>46.814900000000002</v>
      </c>
      <c r="J3482" s="7">
        <v>-71.225200000000001</v>
      </c>
      <c r="K3482" s="7">
        <v>46.795499999999997</v>
      </c>
      <c r="L3482" s="7">
        <v>-71.242900000000006</v>
      </c>
      <c r="M3482" s="10" t="str">
        <f t="shared" si="329"/>
        <v>C66</v>
      </c>
      <c r="N3482" s="10" t="str">
        <f t="shared" si="330"/>
        <v>C82</v>
      </c>
      <c r="O3482" s="5">
        <f t="shared" si="331"/>
        <v>2.5432805283664077</v>
      </c>
      <c r="P3482" s="22">
        <f>O3482/Explications!$C$8</f>
        <v>8.4776017612213594E-2</v>
      </c>
      <c r="Q3482" s="7" t="str">
        <f t="shared" si="332"/>
        <v>C82</v>
      </c>
      <c r="R3482" s="7" t="str">
        <f t="shared" si="333"/>
        <v>C66</v>
      </c>
      <c r="S3482" s="18">
        <f t="shared" si="334"/>
        <v>2.5432805283664077</v>
      </c>
      <c r="T3482" s="18">
        <f>S3482/Explications!$C$8</f>
        <v>8.4776017612213594E-2</v>
      </c>
    </row>
    <row r="3483" spans="7:20">
      <c r="G3483" s="7" t="s">
        <v>82</v>
      </c>
      <c r="H3483" s="7" t="s">
        <v>99</v>
      </c>
      <c r="I3483" s="7">
        <v>46.814900000000002</v>
      </c>
      <c r="J3483" s="7">
        <v>-71.225200000000001</v>
      </c>
      <c r="K3483" s="7">
        <v>46.8157</v>
      </c>
      <c r="L3483" s="7">
        <v>-71.201899999999995</v>
      </c>
      <c r="M3483" s="10" t="str">
        <f t="shared" si="329"/>
        <v>C66</v>
      </c>
      <c r="N3483" s="10" t="str">
        <f t="shared" si="330"/>
        <v>C83</v>
      </c>
      <c r="O3483" s="5">
        <f t="shared" si="331"/>
        <v>1.775278954504685</v>
      </c>
      <c r="P3483" s="22">
        <f>O3483/Explications!$C$8</f>
        <v>5.9175965150156169E-2</v>
      </c>
      <c r="Q3483" s="7" t="str">
        <f t="shared" si="332"/>
        <v>C83</v>
      </c>
      <c r="R3483" s="7" t="str">
        <f t="shared" si="333"/>
        <v>C66</v>
      </c>
      <c r="S3483" s="18">
        <f t="shared" si="334"/>
        <v>1.775278954504685</v>
      </c>
      <c r="T3483" s="18">
        <f>S3483/Explications!$C$8</f>
        <v>5.9175965150156169E-2</v>
      </c>
    </row>
    <row r="3484" spans="7:20">
      <c r="G3484" s="7" t="s">
        <v>82</v>
      </c>
      <c r="H3484" s="7" t="s">
        <v>100</v>
      </c>
      <c r="I3484" s="7">
        <v>46.814900000000002</v>
      </c>
      <c r="J3484" s="7">
        <v>-71.225200000000001</v>
      </c>
      <c r="K3484" s="7">
        <v>46.837600000000002</v>
      </c>
      <c r="L3484" s="7">
        <v>-71.196299999999994</v>
      </c>
      <c r="M3484" s="10" t="str">
        <f t="shared" si="329"/>
        <v>C66</v>
      </c>
      <c r="N3484" s="10" t="str">
        <f t="shared" si="330"/>
        <v>C84</v>
      </c>
      <c r="O3484" s="5">
        <f t="shared" si="331"/>
        <v>3.3474871208154147</v>
      </c>
      <c r="P3484" s="22">
        <f>O3484/Explications!$C$8</f>
        <v>0.11158290402718049</v>
      </c>
      <c r="Q3484" s="7" t="str">
        <f t="shared" si="332"/>
        <v>C84</v>
      </c>
      <c r="R3484" s="7" t="str">
        <f t="shared" si="333"/>
        <v>C66</v>
      </c>
      <c r="S3484" s="18">
        <f t="shared" si="334"/>
        <v>3.3474871208154147</v>
      </c>
      <c r="T3484" s="18">
        <f>S3484/Explications!$C$8</f>
        <v>0.11158290402718049</v>
      </c>
    </row>
    <row r="3485" spans="7:20">
      <c r="G3485" s="7" t="s">
        <v>82</v>
      </c>
      <c r="H3485" s="7" t="s">
        <v>101</v>
      </c>
      <c r="I3485" s="7">
        <v>46.814900000000002</v>
      </c>
      <c r="J3485" s="7">
        <v>-71.225200000000001</v>
      </c>
      <c r="K3485" s="7">
        <v>46.7988</v>
      </c>
      <c r="L3485" s="7">
        <v>-71.318200000000004</v>
      </c>
      <c r="M3485" s="10" t="str">
        <f t="shared" si="329"/>
        <v>C66</v>
      </c>
      <c r="N3485" s="10" t="str">
        <f t="shared" si="330"/>
        <v>C85</v>
      </c>
      <c r="O3485" s="5">
        <f t="shared" si="331"/>
        <v>7.300977784843413</v>
      </c>
      <c r="P3485" s="22">
        <f>O3485/Explications!$C$8</f>
        <v>0.24336592616144709</v>
      </c>
      <c r="Q3485" s="7" t="str">
        <f t="shared" si="332"/>
        <v>C85</v>
      </c>
      <c r="R3485" s="7" t="str">
        <f t="shared" si="333"/>
        <v>C66</v>
      </c>
      <c r="S3485" s="18">
        <f t="shared" si="334"/>
        <v>7.300977784843413</v>
      </c>
      <c r="T3485" s="18">
        <f>S3485/Explications!$C$8</f>
        <v>0.24336592616144709</v>
      </c>
    </row>
    <row r="3486" spans="7:20">
      <c r="G3486" s="7" t="s">
        <v>83</v>
      </c>
      <c r="H3486" s="7" t="s">
        <v>84</v>
      </c>
      <c r="I3486" s="7">
        <v>46.814700000000002</v>
      </c>
      <c r="J3486" s="7">
        <v>-71.207300000000004</v>
      </c>
      <c r="K3486" s="7">
        <v>46.815600000000003</v>
      </c>
      <c r="L3486" s="7">
        <v>-71.2029</v>
      </c>
      <c r="M3486" s="10" t="str">
        <f t="shared" si="329"/>
        <v>C67</v>
      </c>
      <c r="N3486" s="10" t="str">
        <f t="shared" si="330"/>
        <v>C68</v>
      </c>
      <c r="O3486" s="5">
        <f t="shared" si="331"/>
        <v>0.34946142255756163</v>
      </c>
      <c r="P3486" s="22">
        <f>O3486/Explications!$C$8</f>
        <v>1.1648714085252055E-2</v>
      </c>
      <c r="Q3486" s="7" t="str">
        <f t="shared" si="332"/>
        <v>C68</v>
      </c>
      <c r="R3486" s="7" t="str">
        <f t="shared" si="333"/>
        <v>C67</v>
      </c>
      <c r="S3486" s="18">
        <f t="shared" si="334"/>
        <v>0.34946142255756163</v>
      </c>
      <c r="T3486" s="18">
        <f>S3486/Explications!$C$8</f>
        <v>1.1648714085252055E-2</v>
      </c>
    </row>
    <row r="3487" spans="7:20">
      <c r="G3487" s="7" t="s">
        <v>83</v>
      </c>
      <c r="H3487" s="7" t="s">
        <v>85</v>
      </c>
      <c r="I3487" s="7">
        <v>46.814700000000002</v>
      </c>
      <c r="J3487" s="7">
        <v>-71.207300000000004</v>
      </c>
      <c r="K3487" s="7">
        <v>46.821899999999999</v>
      </c>
      <c r="L3487" s="7">
        <v>-71.249899999999997</v>
      </c>
      <c r="M3487" s="10" t="str">
        <f t="shared" si="329"/>
        <v>C67</v>
      </c>
      <c r="N3487" s="10" t="str">
        <f t="shared" si="330"/>
        <v>C69</v>
      </c>
      <c r="O3487" s="5">
        <f t="shared" si="331"/>
        <v>3.3389350750941831</v>
      </c>
      <c r="P3487" s="22">
        <f>O3487/Explications!$C$8</f>
        <v>0.11129783583647276</v>
      </c>
      <c r="Q3487" s="7" t="str">
        <f t="shared" si="332"/>
        <v>C69</v>
      </c>
      <c r="R3487" s="7" t="str">
        <f t="shared" si="333"/>
        <v>C67</v>
      </c>
      <c r="S3487" s="18">
        <f t="shared" si="334"/>
        <v>3.3389350750941831</v>
      </c>
      <c r="T3487" s="18">
        <f>S3487/Explications!$C$8</f>
        <v>0.11129783583647276</v>
      </c>
    </row>
    <row r="3488" spans="7:20">
      <c r="G3488" s="7" t="s">
        <v>83</v>
      </c>
      <c r="H3488" s="7" t="s">
        <v>86</v>
      </c>
      <c r="I3488" s="7">
        <v>46.814700000000002</v>
      </c>
      <c r="J3488" s="7">
        <v>-71.207300000000004</v>
      </c>
      <c r="K3488" s="7">
        <v>46.8872</v>
      </c>
      <c r="L3488" s="7">
        <v>-71.27</v>
      </c>
      <c r="M3488" s="10" t="str">
        <f t="shared" si="329"/>
        <v>C67</v>
      </c>
      <c r="N3488" s="10" t="str">
        <f t="shared" si="330"/>
        <v>C70</v>
      </c>
      <c r="O3488" s="5">
        <f t="shared" si="331"/>
        <v>9.3661389423071491</v>
      </c>
      <c r="P3488" s="22">
        <f>O3488/Explications!$C$8</f>
        <v>0.3122046314102383</v>
      </c>
      <c r="Q3488" s="7" t="str">
        <f t="shared" si="332"/>
        <v>C70</v>
      </c>
      <c r="R3488" s="7" t="str">
        <f t="shared" si="333"/>
        <v>C67</v>
      </c>
      <c r="S3488" s="18">
        <f t="shared" si="334"/>
        <v>9.3661389423071491</v>
      </c>
      <c r="T3488" s="18">
        <f>S3488/Explications!$C$8</f>
        <v>0.3122046314102383</v>
      </c>
    </row>
    <row r="3489" spans="7:20">
      <c r="G3489" s="7" t="s">
        <v>83</v>
      </c>
      <c r="H3489" s="7" t="s">
        <v>87</v>
      </c>
      <c r="I3489" s="7">
        <v>46.814700000000002</v>
      </c>
      <c r="J3489" s="7">
        <v>-71.207300000000004</v>
      </c>
      <c r="K3489" s="7">
        <v>46.816299999999998</v>
      </c>
      <c r="L3489" s="7">
        <v>-71.210300000000004</v>
      </c>
      <c r="M3489" s="10" t="str">
        <f t="shared" si="329"/>
        <v>C67</v>
      </c>
      <c r="N3489" s="10" t="str">
        <f t="shared" si="330"/>
        <v>C71</v>
      </c>
      <c r="O3489" s="5">
        <f t="shared" si="331"/>
        <v>0.28942764406622468</v>
      </c>
      <c r="P3489" s="22">
        <f>O3489/Explications!$C$8</f>
        <v>9.647588135540822E-3</v>
      </c>
      <c r="Q3489" s="7" t="str">
        <f t="shared" si="332"/>
        <v>C71</v>
      </c>
      <c r="R3489" s="7" t="str">
        <f t="shared" si="333"/>
        <v>C67</v>
      </c>
      <c r="S3489" s="18">
        <f t="shared" si="334"/>
        <v>0.28942764406622468</v>
      </c>
      <c r="T3489" s="18">
        <f>S3489/Explications!$C$8</f>
        <v>9.647588135540822E-3</v>
      </c>
    </row>
    <row r="3490" spans="7:20">
      <c r="G3490" s="7" t="s">
        <v>83</v>
      </c>
      <c r="H3490" s="7" t="s">
        <v>88</v>
      </c>
      <c r="I3490" s="7">
        <v>46.814700000000002</v>
      </c>
      <c r="J3490" s="7">
        <v>-71.207300000000004</v>
      </c>
      <c r="K3490" s="7">
        <v>46.807000000000002</v>
      </c>
      <c r="L3490" s="7">
        <v>-71.3566</v>
      </c>
      <c r="M3490" s="10" t="str">
        <f t="shared" si="329"/>
        <v>C67</v>
      </c>
      <c r="N3490" s="10" t="str">
        <f t="shared" si="330"/>
        <v>C72</v>
      </c>
      <c r="O3490" s="5">
        <f t="shared" si="331"/>
        <v>11.394362482206763</v>
      </c>
      <c r="P3490" s="22">
        <f>O3490/Explications!$C$8</f>
        <v>0.37981208274022543</v>
      </c>
      <c r="Q3490" s="7" t="str">
        <f t="shared" si="332"/>
        <v>C72</v>
      </c>
      <c r="R3490" s="7" t="str">
        <f t="shared" si="333"/>
        <v>C67</v>
      </c>
      <c r="S3490" s="18">
        <f t="shared" si="334"/>
        <v>11.394362482206763</v>
      </c>
      <c r="T3490" s="18">
        <f>S3490/Explications!$C$8</f>
        <v>0.37981208274022543</v>
      </c>
    </row>
    <row r="3491" spans="7:20">
      <c r="G3491" s="7" t="s">
        <v>83</v>
      </c>
      <c r="H3491" s="7" t="s">
        <v>89</v>
      </c>
      <c r="I3491" s="7">
        <v>46.814700000000002</v>
      </c>
      <c r="J3491" s="7">
        <v>-71.207300000000004</v>
      </c>
      <c r="K3491" s="7">
        <v>46.822899999999997</v>
      </c>
      <c r="L3491" s="7">
        <v>-71.341899999999995</v>
      </c>
      <c r="M3491" s="10" t="str">
        <f t="shared" si="329"/>
        <v>C67</v>
      </c>
      <c r="N3491" s="10" t="str">
        <f t="shared" si="330"/>
        <v>C73</v>
      </c>
      <c r="O3491" s="5">
        <f t="shared" si="331"/>
        <v>10.2824300931522</v>
      </c>
      <c r="P3491" s="22">
        <f>O3491/Explications!$C$8</f>
        <v>0.34274766977174004</v>
      </c>
      <c r="Q3491" s="7" t="str">
        <f t="shared" si="332"/>
        <v>C73</v>
      </c>
      <c r="R3491" s="7" t="str">
        <f t="shared" si="333"/>
        <v>C67</v>
      </c>
      <c r="S3491" s="18">
        <f t="shared" si="334"/>
        <v>10.2824300931522</v>
      </c>
      <c r="T3491" s="18">
        <f>S3491/Explications!$C$8</f>
        <v>0.34274766977174004</v>
      </c>
    </row>
    <row r="3492" spans="7:20">
      <c r="G3492" s="7" t="s">
        <v>83</v>
      </c>
      <c r="H3492" s="7" t="s">
        <v>90</v>
      </c>
      <c r="I3492" s="7">
        <v>46.814700000000002</v>
      </c>
      <c r="J3492" s="7">
        <v>-71.207300000000004</v>
      </c>
      <c r="K3492" s="7">
        <v>46.730699999999999</v>
      </c>
      <c r="L3492" s="7">
        <v>-71.261099999999999</v>
      </c>
      <c r="M3492" s="10" t="str">
        <f t="shared" si="329"/>
        <v>C67</v>
      </c>
      <c r="N3492" s="10" t="str">
        <f t="shared" si="330"/>
        <v>C74</v>
      </c>
      <c r="O3492" s="5">
        <f t="shared" si="331"/>
        <v>10.199504969378935</v>
      </c>
      <c r="P3492" s="22">
        <f>O3492/Explications!$C$8</f>
        <v>0.33998349897929786</v>
      </c>
      <c r="Q3492" s="7" t="str">
        <f t="shared" si="332"/>
        <v>C74</v>
      </c>
      <c r="R3492" s="7" t="str">
        <f t="shared" si="333"/>
        <v>C67</v>
      </c>
      <c r="S3492" s="18">
        <f t="shared" si="334"/>
        <v>10.199504969378935</v>
      </c>
      <c r="T3492" s="18">
        <f>S3492/Explications!$C$8</f>
        <v>0.33998349897929786</v>
      </c>
    </row>
    <row r="3493" spans="7:20">
      <c r="G3493" s="7" t="s">
        <v>83</v>
      </c>
      <c r="H3493" s="7" t="s">
        <v>91</v>
      </c>
      <c r="I3493" s="7">
        <v>46.814700000000002</v>
      </c>
      <c r="J3493" s="7">
        <v>-71.207300000000004</v>
      </c>
      <c r="K3493" s="7">
        <v>46.840600000000002</v>
      </c>
      <c r="L3493" s="7">
        <v>-71.289100000000005</v>
      </c>
      <c r="M3493" s="10" t="str">
        <f t="shared" si="329"/>
        <v>C67</v>
      </c>
      <c r="N3493" s="10" t="str">
        <f t="shared" si="330"/>
        <v>C75</v>
      </c>
      <c r="O3493" s="5">
        <f t="shared" si="331"/>
        <v>6.8573413180705263</v>
      </c>
      <c r="P3493" s="22">
        <f>O3493/Explications!$C$8</f>
        <v>0.22857804393568421</v>
      </c>
      <c r="Q3493" s="7" t="str">
        <f t="shared" si="332"/>
        <v>C75</v>
      </c>
      <c r="R3493" s="7" t="str">
        <f t="shared" si="333"/>
        <v>C67</v>
      </c>
      <c r="S3493" s="18">
        <f t="shared" si="334"/>
        <v>6.8573413180705263</v>
      </c>
      <c r="T3493" s="18">
        <f>S3493/Explications!$C$8</f>
        <v>0.22857804393568421</v>
      </c>
    </row>
    <row r="3494" spans="7:20">
      <c r="G3494" s="7" t="s">
        <v>83</v>
      </c>
      <c r="H3494" s="7" t="s">
        <v>92</v>
      </c>
      <c r="I3494" s="7">
        <v>46.814700000000002</v>
      </c>
      <c r="J3494" s="7">
        <v>-71.207300000000004</v>
      </c>
      <c r="K3494" s="7">
        <v>46.840600000000002</v>
      </c>
      <c r="L3494" s="7">
        <v>-71.281599999999997</v>
      </c>
      <c r="M3494" s="10" t="str">
        <f t="shared" si="329"/>
        <v>C67</v>
      </c>
      <c r="N3494" s="10" t="str">
        <f t="shared" si="330"/>
        <v>C76</v>
      </c>
      <c r="O3494" s="5">
        <f t="shared" si="331"/>
        <v>6.3440371140939824</v>
      </c>
      <c r="P3494" s="22">
        <f>O3494/Explications!$C$8</f>
        <v>0.21146790380313274</v>
      </c>
      <c r="Q3494" s="7" t="str">
        <f t="shared" si="332"/>
        <v>C76</v>
      </c>
      <c r="R3494" s="7" t="str">
        <f t="shared" si="333"/>
        <v>C67</v>
      </c>
      <c r="S3494" s="18">
        <f t="shared" si="334"/>
        <v>6.3440371140939824</v>
      </c>
      <c r="T3494" s="18">
        <f>S3494/Explications!$C$8</f>
        <v>0.21146790380313274</v>
      </c>
    </row>
    <row r="3495" spans="7:20">
      <c r="G3495" s="7" t="s">
        <v>83</v>
      </c>
      <c r="H3495" s="7" t="s">
        <v>93</v>
      </c>
      <c r="I3495" s="7">
        <v>46.814700000000002</v>
      </c>
      <c r="J3495" s="7">
        <v>-71.207300000000004</v>
      </c>
      <c r="K3495" s="7">
        <v>46.839399999999998</v>
      </c>
      <c r="L3495" s="7">
        <v>-71.282600000000002</v>
      </c>
      <c r="M3495" s="10" t="str">
        <f t="shared" si="329"/>
        <v>C67</v>
      </c>
      <c r="N3495" s="10" t="str">
        <f t="shared" si="330"/>
        <v>C77</v>
      </c>
      <c r="O3495" s="5">
        <f t="shared" si="331"/>
        <v>6.353161923095179</v>
      </c>
      <c r="P3495" s="22">
        <f>O3495/Explications!$C$8</f>
        <v>0.21177206410317265</v>
      </c>
      <c r="Q3495" s="7" t="str">
        <f t="shared" si="332"/>
        <v>C77</v>
      </c>
      <c r="R3495" s="7" t="str">
        <f t="shared" si="333"/>
        <v>C67</v>
      </c>
      <c r="S3495" s="18">
        <f t="shared" si="334"/>
        <v>6.353161923095179</v>
      </c>
      <c r="T3495" s="18">
        <f>S3495/Explications!$C$8</f>
        <v>0.21177206410317265</v>
      </c>
    </row>
    <row r="3496" spans="7:20">
      <c r="G3496" s="7" t="s">
        <v>83</v>
      </c>
      <c r="H3496" s="7" t="s">
        <v>94</v>
      </c>
      <c r="I3496" s="7">
        <v>46.814700000000002</v>
      </c>
      <c r="J3496" s="7">
        <v>-71.207300000000004</v>
      </c>
      <c r="K3496" s="7">
        <v>46.788499999999999</v>
      </c>
      <c r="L3496" s="7">
        <v>-71.282399999999996</v>
      </c>
      <c r="M3496" s="10" t="str">
        <f t="shared" si="329"/>
        <v>C67</v>
      </c>
      <c r="N3496" s="10" t="str">
        <f t="shared" si="330"/>
        <v>C78</v>
      </c>
      <c r="O3496" s="5">
        <f t="shared" si="331"/>
        <v>6.4158777262833668</v>
      </c>
      <c r="P3496" s="22">
        <f>O3496/Explications!$C$8</f>
        <v>0.21386259087611223</v>
      </c>
      <c r="Q3496" s="7" t="str">
        <f t="shared" si="332"/>
        <v>C78</v>
      </c>
      <c r="R3496" s="7" t="str">
        <f t="shared" si="333"/>
        <v>C67</v>
      </c>
      <c r="S3496" s="18">
        <f t="shared" si="334"/>
        <v>6.4158777262833668</v>
      </c>
      <c r="T3496" s="18">
        <f>S3496/Explications!$C$8</f>
        <v>0.21386259087611223</v>
      </c>
    </row>
    <row r="3497" spans="7:20">
      <c r="G3497" s="7" t="s">
        <v>83</v>
      </c>
      <c r="H3497" s="7" t="s">
        <v>95</v>
      </c>
      <c r="I3497" s="7">
        <v>46.814700000000002</v>
      </c>
      <c r="J3497" s="7">
        <v>-71.207300000000004</v>
      </c>
      <c r="K3497" s="7">
        <v>46.840699999999998</v>
      </c>
      <c r="L3497" s="7">
        <v>-71.325400000000002</v>
      </c>
      <c r="M3497" s="10" t="str">
        <f t="shared" si="329"/>
        <v>C67</v>
      </c>
      <c r="N3497" s="10" t="str">
        <f t="shared" si="330"/>
        <v>C79</v>
      </c>
      <c r="O3497" s="5">
        <f t="shared" si="331"/>
        <v>9.438599044829914</v>
      </c>
      <c r="P3497" s="22">
        <f>O3497/Explications!$C$8</f>
        <v>0.31461996816099713</v>
      </c>
      <c r="Q3497" s="7" t="str">
        <f t="shared" si="332"/>
        <v>C79</v>
      </c>
      <c r="R3497" s="7" t="str">
        <f t="shared" si="333"/>
        <v>C67</v>
      </c>
      <c r="S3497" s="18">
        <f t="shared" si="334"/>
        <v>9.438599044829914</v>
      </c>
      <c r="T3497" s="18">
        <f>S3497/Explications!$C$8</f>
        <v>0.31461996816099713</v>
      </c>
    </row>
    <row r="3498" spans="7:20">
      <c r="G3498" s="7" t="s">
        <v>83</v>
      </c>
      <c r="H3498" s="7" t="s">
        <v>96</v>
      </c>
      <c r="I3498" s="7">
        <v>46.814700000000002</v>
      </c>
      <c r="J3498" s="7">
        <v>-71.207300000000004</v>
      </c>
      <c r="K3498" s="7">
        <v>46.798400000000001</v>
      </c>
      <c r="L3498" s="7">
        <v>-71.183199999999999</v>
      </c>
      <c r="M3498" s="10" t="str">
        <f t="shared" si="329"/>
        <v>C67</v>
      </c>
      <c r="N3498" s="10" t="str">
        <f t="shared" si="330"/>
        <v>C80</v>
      </c>
      <c r="O3498" s="5">
        <f t="shared" si="331"/>
        <v>2.5786533647867218</v>
      </c>
      <c r="P3498" s="22">
        <f>O3498/Explications!$C$8</f>
        <v>8.5955112159557395E-2</v>
      </c>
      <c r="Q3498" s="7" t="str">
        <f t="shared" si="332"/>
        <v>C80</v>
      </c>
      <c r="R3498" s="7" t="str">
        <f t="shared" si="333"/>
        <v>C67</v>
      </c>
      <c r="S3498" s="18">
        <f t="shared" si="334"/>
        <v>2.5786533647867218</v>
      </c>
      <c r="T3498" s="18">
        <f>S3498/Explications!$C$8</f>
        <v>8.5955112159557395E-2</v>
      </c>
    </row>
    <row r="3499" spans="7:20">
      <c r="G3499" s="7" t="s">
        <v>83</v>
      </c>
      <c r="H3499" s="7" t="s">
        <v>97</v>
      </c>
      <c r="I3499" s="7">
        <v>46.814700000000002</v>
      </c>
      <c r="J3499" s="7">
        <v>-71.207300000000004</v>
      </c>
      <c r="K3499" s="7">
        <v>46.724800000000002</v>
      </c>
      <c r="L3499" s="7">
        <v>-71.2988</v>
      </c>
      <c r="M3499" s="10" t="str">
        <f t="shared" si="329"/>
        <v>C67</v>
      </c>
      <c r="N3499" s="10" t="str">
        <f t="shared" si="330"/>
        <v>C81</v>
      </c>
      <c r="O3499" s="5">
        <f t="shared" si="331"/>
        <v>12.185712803967817</v>
      </c>
      <c r="P3499" s="22">
        <f>O3499/Explications!$C$8</f>
        <v>0.40619042679892725</v>
      </c>
      <c r="Q3499" s="7" t="str">
        <f t="shared" si="332"/>
        <v>C81</v>
      </c>
      <c r="R3499" s="7" t="str">
        <f t="shared" si="333"/>
        <v>C67</v>
      </c>
      <c r="S3499" s="18">
        <f t="shared" si="334"/>
        <v>12.185712803967817</v>
      </c>
      <c r="T3499" s="18">
        <f>S3499/Explications!$C$8</f>
        <v>0.40619042679892725</v>
      </c>
    </row>
    <row r="3500" spans="7:20">
      <c r="G3500" s="7" t="s">
        <v>83</v>
      </c>
      <c r="H3500" s="7" t="s">
        <v>98</v>
      </c>
      <c r="I3500" s="7">
        <v>46.814700000000002</v>
      </c>
      <c r="J3500" s="7">
        <v>-71.207300000000004</v>
      </c>
      <c r="K3500" s="7">
        <v>46.795499999999997</v>
      </c>
      <c r="L3500" s="7">
        <v>-71.242900000000006</v>
      </c>
      <c r="M3500" s="10" t="str">
        <f t="shared" si="329"/>
        <v>C67</v>
      </c>
      <c r="N3500" s="10" t="str">
        <f t="shared" si="330"/>
        <v>C82</v>
      </c>
      <c r="O3500" s="5">
        <f t="shared" si="331"/>
        <v>3.449585430256064</v>
      </c>
      <c r="P3500" s="22">
        <f>O3500/Explications!$C$8</f>
        <v>0.11498618100853547</v>
      </c>
      <c r="Q3500" s="7" t="str">
        <f t="shared" si="332"/>
        <v>C82</v>
      </c>
      <c r="R3500" s="7" t="str">
        <f t="shared" si="333"/>
        <v>C67</v>
      </c>
      <c r="S3500" s="18">
        <f t="shared" si="334"/>
        <v>3.449585430256064</v>
      </c>
      <c r="T3500" s="18">
        <f>S3500/Explications!$C$8</f>
        <v>0.11498618100853547</v>
      </c>
    </row>
    <row r="3501" spans="7:20">
      <c r="G3501" s="7" t="s">
        <v>83</v>
      </c>
      <c r="H3501" s="7" t="s">
        <v>99</v>
      </c>
      <c r="I3501" s="7">
        <v>46.814700000000002</v>
      </c>
      <c r="J3501" s="7">
        <v>-71.207300000000004</v>
      </c>
      <c r="K3501" s="7">
        <v>46.8157</v>
      </c>
      <c r="L3501" s="7">
        <v>-71.201899999999995</v>
      </c>
      <c r="M3501" s="10" t="str">
        <f t="shared" si="329"/>
        <v>C67</v>
      </c>
      <c r="N3501" s="10" t="str">
        <f t="shared" si="330"/>
        <v>C83</v>
      </c>
      <c r="O3501" s="5">
        <f t="shared" si="331"/>
        <v>0.42570079019082341</v>
      </c>
      <c r="P3501" s="22">
        <f>O3501/Explications!$C$8</f>
        <v>1.4190026339694113E-2</v>
      </c>
      <c r="Q3501" s="7" t="str">
        <f t="shared" si="332"/>
        <v>C83</v>
      </c>
      <c r="R3501" s="7" t="str">
        <f t="shared" si="333"/>
        <v>C67</v>
      </c>
      <c r="S3501" s="18">
        <f t="shared" si="334"/>
        <v>0.42570079019082341</v>
      </c>
      <c r="T3501" s="18">
        <f>S3501/Explications!$C$8</f>
        <v>1.4190026339694113E-2</v>
      </c>
    </row>
    <row r="3502" spans="7:20">
      <c r="G3502" s="7" t="s">
        <v>83</v>
      </c>
      <c r="H3502" s="7" t="s">
        <v>100</v>
      </c>
      <c r="I3502" s="7">
        <v>46.814700000000002</v>
      </c>
      <c r="J3502" s="7">
        <v>-71.207300000000004</v>
      </c>
      <c r="K3502" s="7">
        <v>46.837600000000002</v>
      </c>
      <c r="L3502" s="7">
        <v>-71.196299999999994</v>
      </c>
      <c r="M3502" s="10" t="str">
        <f t="shared" si="329"/>
        <v>C67</v>
      </c>
      <c r="N3502" s="10" t="str">
        <f t="shared" si="330"/>
        <v>C84</v>
      </c>
      <c r="O3502" s="5">
        <f t="shared" si="331"/>
        <v>2.680365309012779</v>
      </c>
      <c r="P3502" s="22">
        <f>O3502/Explications!$C$8</f>
        <v>8.9345510300425965E-2</v>
      </c>
      <c r="Q3502" s="7" t="str">
        <f t="shared" si="332"/>
        <v>C84</v>
      </c>
      <c r="R3502" s="7" t="str">
        <f t="shared" si="333"/>
        <v>C67</v>
      </c>
      <c r="S3502" s="18">
        <f t="shared" si="334"/>
        <v>2.680365309012779</v>
      </c>
      <c r="T3502" s="18">
        <f>S3502/Explications!$C$8</f>
        <v>8.9345510300425965E-2</v>
      </c>
    </row>
    <row r="3503" spans="7:20">
      <c r="G3503" s="7" t="s">
        <v>83</v>
      </c>
      <c r="H3503" s="7" t="s">
        <v>101</v>
      </c>
      <c r="I3503" s="7">
        <v>46.814700000000002</v>
      </c>
      <c r="J3503" s="7">
        <v>-71.207300000000004</v>
      </c>
      <c r="K3503" s="7">
        <v>46.7988</v>
      </c>
      <c r="L3503" s="7">
        <v>-71.318200000000004</v>
      </c>
      <c r="M3503" s="10" t="str">
        <f t="shared" si="329"/>
        <v>C67</v>
      </c>
      <c r="N3503" s="10" t="str">
        <f t="shared" si="330"/>
        <v>C85</v>
      </c>
      <c r="O3503" s="5">
        <f t="shared" si="331"/>
        <v>8.6236260954467525</v>
      </c>
      <c r="P3503" s="22">
        <f>O3503/Explications!$C$8</f>
        <v>0.2874542031815584</v>
      </c>
      <c r="Q3503" s="7" t="str">
        <f t="shared" si="332"/>
        <v>C85</v>
      </c>
      <c r="R3503" s="7" t="str">
        <f t="shared" si="333"/>
        <v>C67</v>
      </c>
      <c r="S3503" s="18">
        <f t="shared" si="334"/>
        <v>8.6236260954467525</v>
      </c>
      <c r="T3503" s="18">
        <f>S3503/Explications!$C$8</f>
        <v>0.2874542031815584</v>
      </c>
    </row>
    <row r="3504" spans="7:20">
      <c r="G3504" s="7" t="s">
        <v>84</v>
      </c>
      <c r="H3504" s="7" t="s">
        <v>85</v>
      </c>
      <c r="I3504" s="7">
        <v>46.815600000000003</v>
      </c>
      <c r="J3504" s="7">
        <v>-71.2029</v>
      </c>
      <c r="K3504" s="7">
        <v>46.821899999999999</v>
      </c>
      <c r="L3504" s="7">
        <v>-71.249899999999997</v>
      </c>
      <c r="M3504" s="10" t="str">
        <f t="shared" si="329"/>
        <v>C68</v>
      </c>
      <c r="N3504" s="10" t="str">
        <f t="shared" si="330"/>
        <v>C69</v>
      </c>
      <c r="O3504" s="5">
        <f t="shared" si="331"/>
        <v>3.6442708170215203</v>
      </c>
      <c r="P3504" s="22">
        <f>O3504/Explications!$C$8</f>
        <v>0.12147569390071734</v>
      </c>
      <c r="Q3504" s="7" t="str">
        <f t="shared" si="332"/>
        <v>C69</v>
      </c>
      <c r="R3504" s="7" t="str">
        <f t="shared" si="333"/>
        <v>C68</v>
      </c>
      <c r="S3504" s="18">
        <f t="shared" si="334"/>
        <v>3.6442708170215203</v>
      </c>
      <c r="T3504" s="18">
        <f>S3504/Explications!$C$8</f>
        <v>0.12147569390071734</v>
      </c>
    </row>
    <row r="3505" spans="7:20">
      <c r="G3505" s="7" t="s">
        <v>84</v>
      </c>
      <c r="H3505" s="7" t="s">
        <v>86</v>
      </c>
      <c r="I3505" s="7">
        <v>46.815600000000003</v>
      </c>
      <c r="J3505" s="7">
        <v>-71.2029</v>
      </c>
      <c r="K3505" s="7">
        <v>46.8872</v>
      </c>
      <c r="L3505" s="7">
        <v>-71.27</v>
      </c>
      <c r="M3505" s="10" t="str">
        <f t="shared" si="329"/>
        <v>C68</v>
      </c>
      <c r="N3505" s="10" t="str">
        <f t="shared" si="330"/>
        <v>C70</v>
      </c>
      <c r="O3505" s="5">
        <f t="shared" si="331"/>
        <v>9.4563936690362222</v>
      </c>
      <c r="P3505" s="22">
        <f>O3505/Explications!$C$8</f>
        <v>0.3152131223012074</v>
      </c>
      <c r="Q3505" s="7" t="str">
        <f t="shared" si="332"/>
        <v>C70</v>
      </c>
      <c r="R3505" s="7" t="str">
        <f t="shared" si="333"/>
        <v>C68</v>
      </c>
      <c r="S3505" s="18">
        <f t="shared" si="334"/>
        <v>9.4563936690362222</v>
      </c>
      <c r="T3505" s="18">
        <f>S3505/Explications!$C$8</f>
        <v>0.3152131223012074</v>
      </c>
    </row>
    <row r="3506" spans="7:20">
      <c r="G3506" s="7" t="s">
        <v>84</v>
      </c>
      <c r="H3506" s="7" t="s">
        <v>87</v>
      </c>
      <c r="I3506" s="7">
        <v>46.815600000000003</v>
      </c>
      <c r="J3506" s="7">
        <v>-71.2029</v>
      </c>
      <c r="K3506" s="7">
        <v>46.816299999999998</v>
      </c>
      <c r="L3506" s="7">
        <v>-71.210300000000004</v>
      </c>
      <c r="M3506" s="10" t="str">
        <f t="shared" si="329"/>
        <v>C68</v>
      </c>
      <c r="N3506" s="10" t="str">
        <f t="shared" si="330"/>
        <v>C71</v>
      </c>
      <c r="O3506" s="5">
        <f t="shared" si="331"/>
        <v>0.56846149802904167</v>
      </c>
      <c r="P3506" s="22">
        <f>O3506/Explications!$C$8</f>
        <v>1.8948716600968054E-2</v>
      </c>
      <c r="Q3506" s="7" t="str">
        <f t="shared" si="332"/>
        <v>C71</v>
      </c>
      <c r="R3506" s="7" t="str">
        <f t="shared" si="333"/>
        <v>C68</v>
      </c>
      <c r="S3506" s="18">
        <f t="shared" si="334"/>
        <v>0.56846149802904167</v>
      </c>
      <c r="T3506" s="18">
        <f>S3506/Explications!$C$8</f>
        <v>1.8948716600968054E-2</v>
      </c>
    </row>
    <row r="3507" spans="7:20">
      <c r="G3507" s="7" t="s">
        <v>84</v>
      </c>
      <c r="H3507" s="7" t="s">
        <v>88</v>
      </c>
      <c r="I3507" s="7">
        <v>46.815600000000003</v>
      </c>
      <c r="J3507" s="7">
        <v>-71.2029</v>
      </c>
      <c r="K3507" s="7">
        <v>46.807000000000002</v>
      </c>
      <c r="L3507" s="7">
        <v>-71.3566</v>
      </c>
      <c r="M3507" s="10" t="str">
        <f t="shared" si="329"/>
        <v>C68</v>
      </c>
      <c r="N3507" s="10" t="str">
        <f t="shared" si="330"/>
        <v>C72</v>
      </c>
      <c r="O3507" s="5">
        <f t="shared" si="331"/>
        <v>11.735927678725309</v>
      </c>
      <c r="P3507" s="22">
        <f>O3507/Explications!$C$8</f>
        <v>0.39119758929084364</v>
      </c>
      <c r="Q3507" s="7" t="str">
        <f t="shared" si="332"/>
        <v>C72</v>
      </c>
      <c r="R3507" s="7" t="str">
        <f t="shared" si="333"/>
        <v>C68</v>
      </c>
      <c r="S3507" s="18">
        <f t="shared" si="334"/>
        <v>11.735927678725309</v>
      </c>
      <c r="T3507" s="18">
        <f>S3507/Explications!$C$8</f>
        <v>0.39119758929084364</v>
      </c>
    </row>
    <row r="3508" spans="7:20">
      <c r="G3508" s="7" t="s">
        <v>84</v>
      </c>
      <c r="H3508" s="7" t="s">
        <v>89</v>
      </c>
      <c r="I3508" s="7">
        <v>46.815600000000003</v>
      </c>
      <c r="J3508" s="7">
        <v>-71.2029</v>
      </c>
      <c r="K3508" s="7">
        <v>46.822899999999997</v>
      </c>
      <c r="L3508" s="7">
        <v>-71.341899999999995</v>
      </c>
      <c r="M3508" s="10" t="str">
        <f t="shared" si="329"/>
        <v>C68</v>
      </c>
      <c r="N3508" s="10" t="str">
        <f t="shared" si="330"/>
        <v>C73</v>
      </c>
      <c r="O3508" s="5">
        <f t="shared" si="331"/>
        <v>10.607740349455286</v>
      </c>
      <c r="P3508" s="22">
        <f>O3508/Explications!$C$8</f>
        <v>0.35359134498184286</v>
      </c>
      <c r="Q3508" s="7" t="str">
        <f t="shared" si="332"/>
        <v>C73</v>
      </c>
      <c r="R3508" s="7" t="str">
        <f t="shared" si="333"/>
        <v>C68</v>
      </c>
      <c r="S3508" s="18">
        <f t="shared" si="334"/>
        <v>10.607740349455286</v>
      </c>
      <c r="T3508" s="18">
        <f>S3508/Explications!$C$8</f>
        <v>0.35359134498184286</v>
      </c>
    </row>
    <row r="3509" spans="7:20">
      <c r="G3509" s="7" t="s">
        <v>84</v>
      </c>
      <c r="H3509" s="7" t="s">
        <v>90</v>
      </c>
      <c r="I3509" s="7">
        <v>46.815600000000003</v>
      </c>
      <c r="J3509" s="7">
        <v>-71.2029</v>
      </c>
      <c r="K3509" s="7">
        <v>46.730699999999999</v>
      </c>
      <c r="L3509" s="7">
        <v>-71.261099999999999</v>
      </c>
      <c r="M3509" s="10" t="str">
        <f t="shared" si="329"/>
        <v>C68</v>
      </c>
      <c r="N3509" s="10" t="str">
        <f t="shared" si="330"/>
        <v>C74</v>
      </c>
      <c r="O3509" s="5">
        <f t="shared" si="331"/>
        <v>10.42915327406984</v>
      </c>
      <c r="P3509" s="22">
        <f>O3509/Explications!$C$8</f>
        <v>0.34763844246899467</v>
      </c>
      <c r="Q3509" s="7" t="str">
        <f t="shared" si="332"/>
        <v>C74</v>
      </c>
      <c r="R3509" s="7" t="str">
        <f t="shared" si="333"/>
        <v>C68</v>
      </c>
      <c r="S3509" s="18">
        <f t="shared" si="334"/>
        <v>10.42915327406984</v>
      </c>
      <c r="T3509" s="18">
        <f>S3509/Explications!$C$8</f>
        <v>0.34763844246899467</v>
      </c>
    </row>
    <row r="3510" spans="7:20">
      <c r="G3510" s="7" t="s">
        <v>84</v>
      </c>
      <c r="H3510" s="7" t="s">
        <v>91</v>
      </c>
      <c r="I3510" s="7">
        <v>46.815600000000003</v>
      </c>
      <c r="J3510" s="7">
        <v>-71.2029</v>
      </c>
      <c r="K3510" s="7">
        <v>46.840600000000002</v>
      </c>
      <c r="L3510" s="7">
        <v>-71.289100000000005</v>
      </c>
      <c r="M3510" s="10" t="str">
        <f t="shared" si="329"/>
        <v>C68</v>
      </c>
      <c r="N3510" s="10" t="str">
        <f t="shared" si="330"/>
        <v>C75</v>
      </c>
      <c r="O3510" s="5">
        <f t="shared" si="331"/>
        <v>7.1228157611501253</v>
      </c>
      <c r="P3510" s="22">
        <f>O3510/Explications!$C$8</f>
        <v>0.23742719203833751</v>
      </c>
      <c r="Q3510" s="7" t="str">
        <f t="shared" si="332"/>
        <v>C75</v>
      </c>
      <c r="R3510" s="7" t="str">
        <f t="shared" si="333"/>
        <v>C68</v>
      </c>
      <c r="S3510" s="18">
        <f t="shared" si="334"/>
        <v>7.1228157611501253</v>
      </c>
      <c r="T3510" s="18">
        <f>S3510/Explications!$C$8</f>
        <v>0.23742719203833751</v>
      </c>
    </row>
    <row r="3511" spans="7:20">
      <c r="G3511" s="7" t="s">
        <v>84</v>
      </c>
      <c r="H3511" s="7" t="s">
        <v>92</v>
      </c>
      <c r="I3511" s="7">
        <v>46.815600000000003</v>
      </c>
      <c r="J3511" s="7">
        <v>-71.2029</v>
      </c>
      <c r="K3511" s="7">
        <v>46.840600000000002</v>
      </c>
      <c r="L3511" s="7">
        <v>-71.281599999999997</v>
      </c>
      <c r="M3511" s="10" t="str">
        <f t="shared" si="329"/>
        <v>C68</v>
      </c>
      <c r="N3511" s="10" t="str">
        <f t="shared" si="330"/>
        <v>C76</v>
      </c>
      <c r="O3511" s="5">
        <f t="shared" si="331"/>
        <v>6.6012341302442881</v>
      </c>
      <c r="P3511" s="22">
        <f>O3511/Explications!$C$8</f>
        <v>0.22004113767480959</v>
      </c>
      <c r="Q3511" s="7" t="str">
        <f t="shared" si="332"/>
        <v>C76</v>
      </c>
      <c r="R3511" s="7" t="str">
        <f t="shared" si="333"/>
        <v>C68</v>
      </c>
      <c r="S3511" s="18">
        <f t="shared" si="334"/>
        <v>6.6012341302442881</v>
      </c>
      <c r="T3511" s="18">
        <f>S3511/Explications!$C$8</f>
        <v>0.22004113767480959</v>
      </c>
    </row>
    <row r="3512" spans="7:20">
      <c r="G3512" s="7" t="s">
        <v>84</v>
      </c>
      <c r="H3512" s="7" t="s">
        <v>93</v>
      </c>
      <c r="I3512" s="7">
        <v>46.815600000000003</v>
      </c>
      <c r="J3512" s="7">
        <v>-71.2029</v>
      </c>
      <c r="K3512" s="7">
        <v>46.839399999999998</v>
      </c>
      <c r="L3512" s="7">
        <v>-71.282600000000002</v>
      </c>
      <c r="M3512" s="10" t="str">
        <f t="shared" si="329"/>
        <v>C68</v>
      </c>
      <c r="N3512" s="10" t="str">
        <f t="shared" si="330"/>
        <v>C77</v>
      </c>
      <c r="O3512" s="5">
        <f t="shared" si="331"/>
        <v>6.6158798205357812</v>
      </c>
      <c r="P3512" s="22">
        <f>O3512/Explications!$C$8</f>
        <v>0.22052932735119271</v>
      </c>
      <c r="Q3512" s="7" t="str">
        <f t="shared" si="332"/>
        <v>C77</v>
      </c>
      <c r="R3512" s="7" t="str">
        <f t="shared" si="333"/>
        <v>C68</v>
      </c>
      <c r="S3512" s="18">
        <f t="shared" si="334"/>
        <v>6.6158798205357812</v>
      </c>
      <c r="T3512" s="18">
        <f>S3512/Explications!$C$8</f>
        <v>0.22052932735119271</v>
      </c>
    </row>
    <row r="3513" spans="7:20">
      <c r="G3513" s="7" t="s">
        <v>84</v>
      </c>
      <c r="H3513" s="7" t="s">
        <v>94</v>
      </c>
      <c r="I3513" s="7">
        <v>46.815600000000003</v>
      </c>
      <c r="J3513" s="7">
        <v>-71.2029</v>
      </c>
      <c r="K3513" s="7">
        <v>46.788499999999999</v>
      </c>
      <c r="L3513" s="7">
        <v>-71.282399999999996</v>
      </c>
      <c r="M3513" s="10" t="str">
        <f t="shared" si="329"/>
        <v>C68</v>
      </c>
      <c r="N3513" s="10" t="str">
        <f t="shared" si="330"/>
        <v>C78</v>
      </c>
      <c r="O3513" s="5">
        <f t="shared" si="331"/>
        <v>6.7599592129890391</v>
      </c>
      <c r="P3513" s="22">
        <f>O3513/Explications!$C$8</f>
        <v>0.22533197376630129</v>
      </c>
      <c r="Q3513" s="7" t="str">
        <f t="shared" si="332"/>
        <v>C78</v>
      </c>
      <c r="R3513" s="7" t="str">
        <f t="shared" si="333"/>
        <v>C68</v>
      </c>
      <c r="S3513" s="18">
        <f t="shared" si="334"/>
        <v>6.7599592129890391</v>
      </c>
      <c r="T3513" s="18">
        <f>S3513/Explications!$C$8</f>
        <v>0.22533197376630129</v>
      </c>
    </row>
    <row r="3514" spans="7:20">
      <c r="G3514" s="7" t="s">
        <v>84</v>
      </c>
      <c r="H3514" s="7" t="s">
        <v>95</v>
      </c>
      <c r="I3514" s="7">
        <v>46.815600000000003</v>
      </c>
      <c r="J3514" s="7">
        <v>-71.2029</v>
      </c>
      <c r="K3514" s="7">
        <v>46.840699999999998</v>
      </c>
      <c r="L3514" s="7">
        <v>-71.325400000000002</v>
      </c>
      <c r="M3514" s="10" t="str">
        <f t="shared" si="329"/>
        <v>C68</v>
      </c>
      <c r="N3514" s="10" t="str">
        <f t="shared" si="330"/>
        <v>C79</v>
      </c>
      <c r="O3514" s="5">
        <f t="shared" si="331"/>
        <v>9.728539400382191</v>
      </c>
      <c r="P3514" s="22">
        <f>O3514/Explications!$C$8</f>
        <v>0.32428464667940637</v>
      </c>
      <c r="Q3514" s="7" t="str">
        <f t="shared" si="332"/>
        <v>C79</v>
      </c>
      <c r="R3514" s="7" t="str">
        <f t="shared" si="333"/>
        <v>C68</v>
      </c>
      <c r="S3514" s="18">
        <f t="shared" si="334"/>
        <v>9.728539400382191</v>
      </c>
      <c r="T3514" s="18">
        <f>S3514/Explications!$C$8</f>
        <v>0.32428464667940637</v>
      </c>
    </row>
    <row r="3515" spans="7:20">
      <c r="G3515" s="7" t="s">
        <v>84</v>
      </c>
      <c r="H3515" s="7" t="s">
        <v>96</v>
      </c>
      <c r="I3515" s="7">
        <v>46.815600000000003</v>
      </c>
      <c r="J3515" s="7">
        <v>-71.2029</v>
      </c>
      <c r="K3515" s="7">
        <v>46.798400000000001</v>
      </c>
      <c r="L3515" s="7">
        <v>-71.183199999999999</v>
      </c>
      <c r="M3515" s="10" t="str">
        <f t="shared" si="329"/>
        <v>C68</v>
      </c>
      <c r="N3515" s="10" t="str">
        <f t="shared" si="330"/>
        <v>C80</v>
      </c>
      <c r="O3515" s="5">
        <f t="shared" si="331"/>
        <v>2.4301968222728054</v>
      </c>
      <c r="P3515" s="22">
        <f>O3515/Explications!$C$8</f>
        <v>8.1006560742426847E-2</v>
      </c>
      <c r="Q3515" s="7" t="str">
        <f t="shared" si="332"/>
        <v>C80</v>
      </c>
      <c r="R3515" s="7" t="str">
        <f t="shared" si="333"/>
        <v>C68</v>
      </c>
      <c r="S3515" s="18">
        <f t="shared" si="334"/>
        <v>2.4301968222728054</v>
      </c>
      <c r="T3515" s="18">
        <f>S3515/Explications!$C$8</f>
        <v>8.1006560742426847E-2</v>
      </c>
    </row>
    <row r="3516" spans="7:20">
      <c r="G3516" s="7" t="s">
        <v>84</v>
      </c>
      <c r="H3516" s="7" t="s">
        <v>97</v>
      </c>
      <c r="I3516" s="7">
        <v>46.815600000000003</v>
      </c>
      <c r="J3516" s="7">
        <v>-71.2029</v>
      </c>
      <c r="K3516" s="7">
        <v>46.724800000000002</v>
      </c>
      <c r="L3516" s="7">
        <v>-71.2988</v>
      </c>
      <c r="M3516" s="10" t="str">
        <f t="shared" si="329"/>
        <v>C68</v>
      </c>
      <c r="N3516" s="10" t="str">
        <f t="shared" si="330"/>
        <v>C81</v>
      </c>
      <c r="O3516" s="5">
        <f t="shared" si="331"/>
        <v>12.461314498407605</v>
      </c>
      <c r="P3516" s="22">
        <f>O3516/Explications!$C$8</f>
        <v>0.41537714994692015</v>
      </c>
      <c r="Q3516" s="7" t="str">
        <f t="shared" si="332"/>
        <v>C81</v>
      </c>
      <c r="R3516" s="7" t="str">
        <f t="shared" si="333"/>
        <v>C68</v>
      </c>
      <c r="S3516" s="18">
        <f t="shared" si="334"/>
        <v>12.461314498407605</v>
      </c>
      <c r="T3516" s="18">
        <f>S3516/Explications!$C$8</f>
        <v>0.41537714994692015</v>
      </c>
    </row>
    <row r="3517" spans="7:20">
      <c r="G3517" s="7" t="s">
        <v>84</v>
      </c>
      <c r="H3517" s="7" t="s">
        <v>98</v>
      </c>
      <c r="I3517" s="7">
        <v>46.815600000000003</v>
      </c>
      <c r="J3517" s="7">
        <v>-71.2029</v>
      </c>
      <c r="K3517" s="7">
        <v>46.795499999999997</v>
      </c>
      <c r="L3517" s="7">
        <v>-71.242900000000006</v>
      </c>
      <c r="M3517" s="10" t="str">
        <f t="shared" si="329"/>
        <v>C68</v>
      </c>
      <c r="N3517" s="10" t="str">
        <f t="shared" si="330"/>
        <v>C82</v>
      </c>
      <c r="O3517" s="5">
        <f t="shared" si="331"/>
        <v>3.7767383534660492</v>
      </c>
      <c r="P3517" s="22">
        <f>O3517/Explications!$C$8</f>
        <v>0.1258912784488683</v>
      </c>
      <c r="Q3517" s="7" t="str">
        <f t="shared" si="332"/>
        <v>C82</v>
      </c>
      <c r="R3517" s="7" t="str">
        <f t="shared" si="333"/>
        <v>C68</v>
      </c>
      <c r="S3517" s="18">
        <f t="shared" si="334"/>
        <v>3.7767383534660492</v>
      </c>
      <c r="T3517" s="18">
        <f>S3517/Explications!$C$8</f>
        <v>0.1258912784488683</v>
      </c>
    </row>
    <row r="3518" spans="7:20">
      <c r="G3518" s="7" t="s">
        <v>84</v>
      </c>
      <c r="H3518" s="7" t="s">
        <v>99</v>
      </c>
      <c r="I3518" s="7">
        <v>46.815600000000003</v>
      </c>
      <c r="J3518" s="7">
        <v>-71.2029</v>
      </c>
      <c r="K3518" s="7">
        <v>46.8157</v>
      </c>
      <c r="L3518" s="7">
        <v>-71.201899999999995</v>
      </c>
      <c r="M3518" s="10" t="str">
        <f t="shared" si="329"/>
        <v>C68</v>
      </c>
      <c r="N3518" s="10" t="str">
        <f t="shared" si="330"/>
        <v>C83</v>
      </c>
      <c r="O3518" s="5">
        <f t="shared" si="331"/>
        <v>7.6904154500136324E-2</v>
      </c>
      <c r="P3518" s="22">
        <f>O3518/Explications!$C$8</f>
        <v>2.5634718166712106E-3</v>
      </c>
      <c r="Q3518" s="7" t="str">
        <f t="shared" si="332"/>
        <v>C83</v>
      </c>
      <c r="R3518" s="7" t="str">
        <f t="shared" si="333"/>
        <v>C68</v>
      </c>
      <c r="S3518" s="18">
        <f t="shared" si="334"/>
        <v>7.6904154500136324E-2</v>
      </c>
      <c r="T3518" s="18">
        <f>S3518/Explications!$C$8</f>
        <v>2.5634718166712106E-3</v>
      </c>
    </row>
    <row r="3519" spans="7:20">
      <c r="G3519" s="7" t="s">
        <v>84</v>
      </c>
      <c r="H3519" s="7" t="s">
        <v>100</v>
      </c>
      <c r="I3519" s="7">
        <v>46.815600000000003</v>
      </c>
      <c r="J3519" s="7">
        <v>-71.2029</v>
      </c>
      <c r="K3519" s="7">
        <v>46.837600000000002</v>
      </c>
      <c r="L3519" s="7">
        <v>-71.196299999999994</v>
      </c>
      <c r="M3519" s="10" t="str">
        <f t="shared" si="329"/>
        <v>C68</v>
      </c>
      <c r="N3519" s="10" t="str">
        <f t="shared" si="330"/>
        <v>C84</v>
      </c>
      <c r="O3519" s="5">
        <f t="shared" si="331"/>
        <v>2.4972911046991517</v>
      </c>
      <c r="P3519" s="22">
        <f>O3519/Explications!$C$8</f>
        <v>8.3243036823305055E-2</v>
      </c>
      <c r="Q3519" s="7" t="str">
        <f t="shared" si="332"/>
        <v>C84</v>
      </c>
      <c r="R3519" s="7" t="str">
        <f t="shared" si="333"/>
        <v>C68</v>
      </c>
      <c r="S3519" s="18">
        <f t="shared" si="334"/>
        <v>2.4972911046991517</v>
      </c>
      <c r="T3519" s="18">
        <f>S3519/Explications!$C$8</f>
        <v>8.3243036823305055E-2</v>
      </c>
    </row>
    <row r="3520" spans="7:20">
      <c r="G3520" s="7" t="s">
        <v>84</v>
      </c>
      <c r="H3520" s="7" t="s">
        <v>101</v>
      </c>
      <c r="I3520" s="7">
        <v>46.815600000000003</v>
      </c>
      <c r="J3520" s="7">
        <v>-71.2029</v>
      </c>
      <c r="K3520" s="7">
        <v>46.7988</v>
      </c>
      <c r="L3520" s="7">
        <v>-71.318200000000004</v>
      </c>
      <c r="M3520" s="10" t="str">
        <f t="shared" si="329"/>
        <v>C68</v>
      </c>
      <c r="N3520" s="10" t="str">
        <f t="shared" si="330"/>
        <v>C85</v>
      </c>
      <c r="O3520" s="5">
        <f t="shared" si="331"/>
        <v>8.9718837780001532</v>
      </c>
      <c r="P3520" s="22">
        <f>O3520/Explications!$C$8</f>
        <v>0.29906279260000512</v>
      </c>
      <c r="Q3520" s="7" t="str">
        <f t="shared" si="332"/>
        <v>C85</v>
      </c>
      <c r="R3520" s="7" t="str">
        <f t="shared" si="333"/>
        <v>C68</v>
      </c>
      <c r="S3520" s="18">
        <f t="shared" si="334"/>
        <v>8.9718837780001532</v>
      </c>
      <c r="T3520" s="18">
        <f>S3520/Explications!$C$8</f>
        <v>0.29906279260000512</v>
      </c>
    </row>
    <row r="3521" spans="7:20">
      <c r="G3521" s="7" t="s">
        <v>85</v>
      </c>
      <c r="H3521" s="7" t="s">
        <v>86</v>
      </c>
      <c r="I3521" s="7">
        <v>46.821899999999999</v>
      </c>
      <c r="J3521" s="7">
        <v>-71.249899999999997</v>
      </c>
      <c r="K3521" s="7">
        <v>46.8872</v>
      </c>
      <c r="L3521" s="7">
        <v>-71.27</v>
      </c>
      <c r="M3521" s="10" t="str">
        <f t="shared" si="329"/>
        <v>C69</v>
      </c>
      <c r="N3521" s="10" t="str">
        <f t="shared" si="330"/>
        <v>C70</v>
      </c>
      <c r="O3521" s="5">
        <f t="shared" si="331"/>
        <v>7.420149218782174</v>
      </c>
      <c r="P3521" s="22">
        <f>O3521/Explications!$C$8</f>
        <v>0.24733830729273915</v>
      </c>
      <c r="Q3521" s="7" t="str">
        <f t="shared" si="332"/>
        <v>C70</v>
      </c>
      <c r="R3521" s="7" t="str">
        <f t="shared" si="333"/>
        <v>C69</v>
      </c>
      <c r="S3521" s="18">
        <f t="shared" si="334"/>
        <v>7.420149218782174</v>
      </c>
      <c r="T3521" s="18">
        <f>S3521/Explications!$C$8</f>
        <v>0.24733830729273915</v>
      </c>
    </row>
    <row r="3522" spans="7:20">
      <c r="G3522" s="7" t="s">
        <v>85</v>
      </c>
      <c r="H3522" s="7" t="s">
        <v>87</v>
      </c>
      <c r="I3522" s="7">
        <v>46.821899999999999</v>
      </c>
      <c r="J3522" s="7">
        <v>-71.249899999999997</v>
      </c>
      <c r="K3522" s="7">
        <v>46.816299999999998</v>
      </c>
      <c r="L3522" s="7">
        <v>-71.210300000000004</v>
      </c>
      <c r="M3522" s="10" t="str">
        <f t="shared" si="329"/>
        <v>C69</v>
      </c>
      <c r="N3522" s="10" t="str">
        <f t="shared" si="330"/>
        <v>C71</v>
      </c>
      <c r="O3522" s="5">
        <f t="shared" si="331"/>
        <v>3.0768772950351311</v>
      </c>
      <c r="P3522" s="22">
        <f>O3522/Explications!$C$8</f>
        <v>0.10256257650117104</v>
      </c>
      <c r="Q3522" s="7" t="str">
        <f t="shared" si="332"/>
        <v>C71</v>
      </c>
      <c r="R3522" s="7" t="str">
        <f t="shared" si="333"/>
        <v>C69</v>
      </c>
      <c r="S3522" s="18">
        <f t="shared" si="334"/>
        <v>3.0768772950351311</v>
      </c>
      <c r="T3522" s="18">
        <f>S3522/Explications!$C$8</f>
        <v>0.10256257650117104</v>
      </c>
    </row>
    <row r="3523" spans="7:20">
      <c r="G3523" s="7" t="s">
        <v>85</v>
      </c>
      <c r="H3523" s="7" t="s">
        <v>88</v>
      </c>
      <c r="I3523" s="7">
        <v>46.821899999999999</v>
      </c>
      <c r="J3523" s="7">
        <v>-71.249899999999997</v>
      </c>
      <c r="K3523" s="7">
        <v>46.807000000000002</v>
      </c>
      <c r="L3523" s="7">
        <v>-71.3566</v>
      </c>
      <c r="M3523" s="10" t="str">
        <f t="shared" si="329"/>
        <v>C69</v>
      </c>
      <c r="N3523" s="10" t="str">
        <f t="shared" si="330"/>
        <v>C72</v>
      </c>
      <c r="O3523" s="5">
        <f t="shared" si="331"/>
        <v>8.2869371509562377</v>
      </c>
      <c r="P3523" s="22">
        <f>O3523/Explications!$C$8</f>
        <v>0.27623123836520791</v>
      </c>
      <c r="Q3523" s="7" t="str">
        <f t="shared" si="332"/>
        <v>C72</v>
      </c>
      <c r="R3523" s="7" t="str">
        <f t="shared" si="333"/>
        <v>C69</v>
      </c>
      <c r="S3523" s="18">
        <f t="shared" si="334"/>
        <v>8.2869371509562377</v>
      </c>
      <c r="T3523" s="18">
        <f>S3523/Explications!$C$8</f>
        <v>0.27623123836520791</v>
      </c>
    </row>
    <row r="3524" spans="7:20">
      <c r="G3524" s="7" t="s">
        <v>85</v>
      </c>
      <c r="H3524" s="7" t="s">
        <v>89</v>
      </c>
      <c r="I3524" s="7">
        <v>46.821899999999999</v>
      </c>
      <c r="J3524" s="7">
        <v>-71.249899999999997</v>
      </c>
      <c r="K3524" s="7">
        <v>46.822899999999997</v>
      </c>
      <c r="L3524" s="7">
        <v>-71.341899999999995</v>
      </c>
      <c r="M3524" s="10" t="str">
        <f t="shared" ref="M3524:M3572" si="335">G3524</f>
        <v>C69</v>
      </c>
      <c r="N3524" s="10" t="str">
        <f t="shared" ref="N3524:N3572" si="336">H3524</f>
        <v>C73</v>
      </c>
      <c r="O3524" s="5">
        <f t="shared" ref="O3524:O3572" si="337">ACOS(SIN(RADIANS(I3524))*SIN(RADIANS(K3524))+COS(RADIANS(I3524))*COS(RADIANS(K3524))*COS(RADIANS(J3524-L3524)))*6371</f>
        <v>7.0008379219434307</v>
      </c>
      <c r="P3524" s="22">
        <f>O3524/Explications!$C$8</f>
        <v>0.23336126406478103</v>
      </c>
      <c r="Q3524" s="7" t="str">
        <f t="shared" ref="Q3524:Q3587" si="338">N3524</f>
        <v>C73</v>
      </c>
      <c r="R3524" s="7" t="str">
        <f t="shared" ref="R3524:R3587" si="339">M3524</f>
        <v>C69</v>
      </c>
      <c r="S3524" s="18">
        <f t="shared" ref="S3524:S3587" si="340">O3524</f>
        <v>7.0008379219434307</v>
      </c>
      <c r="T3524" s="18">
        <f>S3524/Explications!$C$8</f>
        <v>0.23336126406478103</v>
      </c>
    </row>
    <row r="3525" spans="7:20">
      <c r="G3525" s="7" t="s">
        <v>85</v>
      </c>
      <c r="H3525" s="7" t="s">
        <v>90</v>
      </c>
      <c r="I3525" s="7">
        <v>46.821899999999999</v>
      </c>
      <c r="J3525" s="7">
        <v>-71.249899999999997</v>
      </c>
      <c r="K3525" s="7">
        <v>46.730699999999999</v>
      </c>
      <c r="L3525" s="7">
        <v>-71.261099999999999</v>
      </c>
      <c r="M3525" s="10" t="str">
        <f t="shared" si="335"/>
        <v>C69</v>
      </c>
      <c r="N3525" s="10" t="str">
        <f t="shared" si="336"/>
        <v>C74</v>
      </c>
      <c r="O3525" s="5">
        <f t="shared" si="337"/>
        <v>10.176780270257071</v>
      </c>
      <c r="P3525" s="22">
        <f>O3525/Explications!$C$8</f>
        <v>0.33922600900856903</v>
      </c>
      <c r="Q3525" s="7" t="str">
        <f t="shared" si="338"/>
        <v>C74</v>
      </c>
      <c r="R3525" s="7" t="str">
        <f t="shared" si="339"/>
        <v>C69</v>
      </c>
      <c r="S3525" s="18">
        <f t="shared" si="340"/>
        <v>10.176780270257071</v>
      </c>
      <c r="T3525" s="18">
        <f>S3525/Explications!$C$8</f>
        <v>0.33922600900856903</v>
      </c>
    </row>
    <row r="3526" spans="7:20">
      <c r="G3526" s="7" t="s">
        <v>85</v>
      </c>
      <c r="H3526" s="7" t="s">
        <v>91</v>
      </c>
      <c r="I3526" s="7">
        <v>46.821899999999999</v>
      </c>
      <c r="J3526" s="7">
        <v>-71.249899999999997</v>
      </c>
      <c r="K3526" s="7">
        <v>46.840600000000002</v>
      </c>
      <c r="L3526" s="7">
        <v>-71.289100000000005</v>
      </c>
      <c r="M3526" s="10" t="str">
        <f t="shared" si="335"/>
        <v>C69</v>
      </c>
      <c r="N3526" s="10" t="str">
        <f t="shared" si="336"/>
        <v>C75</v>
      </c>
      <c r="O3526" s="5">
        <f t="shared" si="337"/>
        <v>3.6354625127583091</v>
      </c>
      <c r="P3526" s="22">
        <f>O3526/Explications!$C$8</f>
        <v>0.12118208375861031</v>
      </c>
      <c r="Q3526" s="7" t="str">
        <f t="shared" si="338"/>
        <v>C75</v>
      </c>
      <c r="R3526" s="7" t="str">
        <f t="shared" si="339"/>
        <v>C69</v>
      </c>
      <c r="S3526" s="18">
        <f t="shared" si="340"/>
        <v>3.6354625127583091</v>
      </c>
      <c r="T3526" s="18">
        <f>S3526/Explications!$C$8</f>
        <v>0.12118208375861031</v>
      </c>
    </row>
    <row r="3527" spans="7:20">
      <c r="G3527" s="7" t="s">
        <v>85</v>
      </c>
      <c r="H3527" s="7" t="s">
        <v>92</v>
      </c>
      <c r="I3527" s="7">
        <v>46.821899999999999</v>
      </c>
      <c r="J3527" s="7">
        <v>-71.249899999999997</v>
      </c>
      <c r="K3527" s="7">
        <v>46.840600000000002</v>
      </c>
      <c r="L3527" s="7">
        <v>-71.281599999999997</v>
      </c>
      <c r="M3527" s="10" t="str">
        <f t="shared" si="335"/>
        <v>C69</v>
      </c>
      <c r="N3527" s="10" t="str">
        <f t="shared" si="336"/>
        <v>C76</v>
      </c>
      <c r="O3527" s="5">
        <f t="shared" si="337"/>
        <v>3.1842142537671432</v>
      </c>
      <c r="P3527" s="22">
        <f>O3527/Explications!$C$8</f>
        <v>0.10614047512557144</v>
      </c>
      <c r="Q3527" s="7" t="str">
        <f t="shared" si="338"/>
        <v>C76</v>
      </c>
      <c r="R3527" s="7" t="str">
        <f t="shared" si="339"/>
        <v>C69</v>
      </c>
      <c r="S3527" s="18">
        <f t="shared" si="340"/>
        <v>3.1842142537671432</v>
      </c>
      <c r="T3527" s="18">
        <f>S3527/Explications!$C$8</f>
        <v>0.10614047512557144</v>
      </c>
    </row>
    <row r="3528" spans="7:20">
      <c r="G3528" s="7" t="s">
        <v>85</v>
      </c>
      <c r="H3528" s="7" t="s">
        <v>93</v>
      </c>
      <c r="I3528" s="7">
        <v>46.821899999999999</v>
      </c>
      <c r="J3528" s="7">
        <v>-71.249899999999997</v>
      </c>
      <c r="K3528" s="7">
        <v>46.839399999999998</v>
      </c>
      <c r="L3528" s="7">
        <v>-71.282600000000002</v>
      </c>
      <c r="M3528" s="10" t="str">
        <f t="shared" si="335"/>
        <v>C69</v>
      </c>
      <c r="N3528" s="10" t="str">
        <f t="shared" si="336"/>
        <v>C77</v>
      </c>
      <c r="O3528" s="5">
        <f t="shared" si="337"/>
        <v>3.1583146563413917</v>
      </c>
      <c r="P3528" s="22">
        <f>O3528/Explications!$C$8</f>
        <v>0.10527715521137973</v>
      </c>
      <c r="Q3528" s="7" t="str">
        <f t="shared" si="338"/>
        <v>C77</v>
      </c>
      <c r="R3528" s="7" t="str">
        <f t="shared" si="339"/>
        <v>C69</v>
      </c>
      <c r="S3528" s="18">
        <f t="shared" si="340"/>
        <v>3.1583146563413917</v>
      </c>
      <c r="T3528" s="18">
        <f>S3528/Explications!$C$8</f>
        <v>0.10527715521137973</v>
      </c>
    </row>
    <row r="3529" spans="7:20">
      <c r="G3529" s="7" t="s">
        <v>85</v>
      </c>
      <c r="H3529" s="7" t="s">
        <v>94</v>
      </c>
      <c r="I3529" s="7">
        <v>46.821899999999999</v>
      </c>
      <c r="J3529" s="7">
        <v>-71.249899999999997</v>
      </c>
      <c r="K3529" s="7">
        <v>46.788499999999999</v>
      </c>
      <c r="L3529" s="7">
        <v>-71.282399999999996</v>
      </c>
      <c r="M3529" s="10" t="str">
        <f t="shared" si="335"/>
        <v>C69</v>
      </c>
      <c r="N3529" s="10" t="str">
        <f t="shared" si="336"/>
        <v>C78</v>
      </c>
      <c r="O3529" s="5">
        <f t="shared" si="337"/>
        <v>4.4622678064412202</v>
      </c>
      <c r="P3529" s="22">
        <f>O3529/Explications!$C$8</f>
        <v>0.14874226021470735</v>
      </c>
      <c r="Q3529" s="7" t="str">
        <f t="shared" si="338"/>
        <v>C78</v>
      </c>
      <c r="R3529" s="7" t="str">
        <f t="shared" si="339"/>
        <v>C69</v>
      </c>
      <c r="S3529" s="18">
        <f t="shared" si="340"/>
        <v>4.4622678064412202</v>
      </c>
      <c r="T3529" s="18">
        <f>S3529/Explications!$C$8</f>
        <v>0.14874226021470735</v>
      </c>
    </row>
    <row r="3530" spans="7:20">
      <c r="G3530" s="7" t="s">
        <v>85</v>
      </c>
      <c r="H3530" s="7" t="s">
        <v>95</v>
      </c>
      <c r="I3530" s="7">
        <v>46.821899999999999</v>
      </c>
      <c r="J3530" s="7">
        <v>-71.249899999999997</v>
      </c>
      <c r="K3530" s="7">
        <v>46.840699999999998</v>
      </c>
      <c r="L3530" s="7">
        <v>-71.325400000000002</v>
      </c>
      <c r="M3530" s="10" t="str">
        <f t="shared" si="335"/>
        <v>C69</v>
      </c>
      <c r="N3530" s="10" t="str">
        <f t="shared" si="336"/>
        <v>C79</v>
      </c>
      <c r="O3530" s="5">
        <f t="shared" si="337"/>
        <v>6.1121780097493845</v>
      </c>
      <c r="P3530" s="22">
        <f>O3530/Explications!$C$8</f>
        <v>0.20373926699164616</v>
      </c>
      <c r="Q3530" s="7" t="str">
        <f t="shared" si="338"/>
        <v>C79</v>
      </c>
      <c r="R3530" s="7" t="str">
        <f t="shared" si="339"/>
        <v>C69</v>
      </c>
      <c r="S3530" s="18">
        <f t="shared" si="340"/>
        <v>6.1121780097493845</v>
      </c>
      <c r="T3530" s="18">
        <f>S3530/Explications!$C$8</f>
        <v>0.20373926699164616</v>
      </c>
    </row>
    <row r="3531" spans="7:20">
      <c r="G3531" s="7" t="s">
        <v>85</v>
      </c>
      <c r="H3531" s="7" t="s">
        <v>96</v>
      </c>
      <c r="I3531" s="7">
        <v>46.821899999999999</v>
      </c>
      <c r="J3531" s="7">
        <v>-71.249899999999997</v>
      </c>
      <c r="K3531" s="7">
        <v>46.798400000000001</v>
      </c>
      <c r="L3531" s="7">
        <v>-71.183199999999999</v>
      </c>
      <c r="M3531" s="10" t="str">
        <f t="shared" si="335"/>
        <v>C69</v>
      </c>
      <c r="N3531" s="10" t="str">
        <f t="shared" si="336"/>
        <v>C80</v>
      </c>
      <c r="O3531" s="5">
        <f t="shared" si="337"/>
        <v>5.7092224086504988</v>
      </c>
      <c r="P3531" s="22">
        <f>O3531/Explications!$C$8</f>
        <v>0.1903074136216833</v>
      </c>
      <c r="Q3531" s="7" t="str">
        <f t="shared" si="338"/>
        <v>C80</v>
      </c>
      <c r="R3531" s="7" t="str">
        <f t="shared" si="339"/>
        <v>C69</v>
      </c>
      <c r="S3531" s="18">
        <f t="shared" si="340"/>
        <v>5.7092224086504988</v>
      </c>
      <c r="T3531" s="18">
        <f>S3531/Explications!$C$8</f>
        <v>0.1903074136216833</v>
      </c>
    </row>
    <row r="3532" spans="7:20">
      <c r="G3532" s="7" t="s">
        <v>85</v>
      </c>
      <c r="H3532" s="7" t="s">
        <v>97</v>
      </c>
      <c r="I3532" s="7">
        <v>46.821899999999999</v>
      </c>
      <c r="J3532" s="7">
        <v>-71.249899999999997</v>
      </c>
      <c r="K3532" s="7">
        <v>46.724800000000002</v>
      </c>
      <c r="L3532" s="7">
        <v>-71.2988</v>
      </c>
      <c r="M3532" s="10" t="str">
        <f t="shared" si="335"/>
        <v>C69</v>
      </c>
      <c r="N3532" s="10" t="str">
        <f t="shared" si="336"/>
        <v>C81</v>
      </c>
      <c r="O3532" s="5">
        <f t="shared" si="337"/>
        <v>11.42121365857208</v>
      </c>
      <c r="P3532" s="22">
        <f>O3532/Explications!$C$8</f>
        <v>0.38070712195240269</v>
      </c>
      <c r="Q3532" s="7" t="str">
        <f t="shared" si="338"/>
        <v>C81</v>
      </c>
      <c r="R3532" s="7" t="str">
        <f t="shared" si="339"/>
        <v>C69</v>
      </c>
      <c r="S3532" s="18">
        <f t="shared" si="340"/>
        <v>11.42121365857208</v>
      </c>
      <c r="T3532" s="18">
        <f>S3532/Explications!$C$8</f>
        <v>0.38070712195240269</v>
      </c>
    </row>
    <row r="3533" spans="7:20">
      <c r="G3533" s="7" t="s">
        <v>85</v>
      </c>
      <c r="H3533" s="7" t="s">
        <v>98</v>
      </c>
      <c r="I3533" s="7">
        <v>46.821899999999999</v>
      </c>
      <c r="J3533" s="7">
        <v>-71.249899999999997</v>
      </c>
      <c r="K3533" s="7">
        <v>46.795499999999997</v>
      </c>
      <c r="L3533" s="7">
        <v>-71.242900000000006</v>
      </c>
      <c r="M3533" s="10" t="str">
        <f t="shared" si="335"/>
        <v>C69</v>
      </c>
      <c r="N3533" s="10" t="str">
        <f t="shared" si="336"/>
        <v>C82</v>
      </c>
      <c r="O3533" s="5">
        <f t="shared" si="337"/>
        <v>2.9834952066420328</v>
      </c>
      <c r="P3533" s="22">
        <f>O3533/Explications!$C$8</f>
        <v>9.944984022140109E-2</v>
      </c>
      <c r="Q3533" s="7" t="str">
        <f t="shared" si="338"/>
        <v>C82</v>
      </c>
      <c r="R3533" s="7" t="str">
        <f t="shared" si="339"/>
        <v>C69</v>
      </c>
      <c r="S3533" s="18">
        <f t="shared" si="340"/>
        <v>2.9834952066420328</v>
      </c>
      <c r="T3533" s="18">
        <f>S3533/Explications!$C$8</f>
        <v>9.944984022140109E-2</v>
      </c>
    </row>
    <row r="3534" spans="7:20">
      <c r="G3534" s="7" t="s">
        <v>85</v>
      </c>
      <c r="H3534" s="7" t="s">
        <v>99</v>
      </c>
      <c r="I3534" s="7">
        <v>46.821899999999999</v>
      </c>
      <c r="J3534" s="7">
        <v>-71.249899999999997</v>
      </c>
      <c r="K3534" s="7">
        <v>46.8157</v>
      </c>
      <c r="L3534" s="7">
        <v>-71.201899999999995</v>
      </c>
      <c r="M3534" s="10" t="str">
        <f t="shared" si="335"/>
        <v>C69</v>
      </c>
      <c r="N3534" s="10" t="str">
        <f t="shared" si="336"/>
        <v>C83</v>
      </c>
      <c r="O3534" s="5">
        <f t="shared" si="337"/>
        <v>3.7168903088608758</v>
      </c>
      <c r="P3534" s="22">
        <f>O3534/Explications!$C$8</f>
        <v>0.12389634362869587</v>
      </c>
      <c r="Q3534" s="7" t="str">
        <f t="shared" si="338"/>
        <v>C83</v>
      </c>
      <c r="R3534" s="7" t="str">
        <f t="shared" si="339"/>
        <v>C69</v>
      </c>
      <c r="S3534" s="18">
        <f t="shared" si="340"/>
        <v>3.7168903088608758</v>
      </c>
      <c r="T3534" s="18">
        <f>S3534/Explications!$C$8</f>
        <v>0.12389634362869587</v>
      </c>
    </row>
    <row r="3535" spans="7:20">
      <c r="G3535" s="7" t="s">
        <v>85</v>
      </c>
      <c r="H3535" s="7" t="s">
        <v>100</v>
      </c>
      <c r="I3535" s="7">
        <v>46.821899999999999</v>
      </c>
      <c r="J3535" s="7">
        <v>-71.249899999999997</v>
      </c>
      <c r="K3535" s="7">
        <v>46.837600000000002</v>
      </c>
      <c r="L3535" s="7">
        <v>-71.196299999999994</v>
      </c>
      <c r="M3535" s="10" t="str">
        <f t="shared" si="335"/>
        <v>C69</v>
      </c>
      <c r="N3535" s="10" t="str">
        <f t="shared" si="336"/>
        <v>C84</v>
      </c>
      <c r="O3535" s="5">
        <f t="shared" si="337"/>
        <v>4.4356656037276299</v>
      </c>
      <c r="P3535" s="22">
        <f>O3535/Explications!$C$8</f>
        <v>0.14785552012425432</v>
      </c>
      <c r="Q3535" s="7" t="str">
        <f t="shared" si="338"/>
        <v>C84</v>
      </c>
      <c r="R3535" s="7" t="str">
        <f t="shared" si="339"/>
        <v>C69</v>
      </c>
      <c r="S3535" s="18">
        <f t="shared" si="340"/>
        <v>4.4356656037276299</v>
      </c>
      <c r="T3535" s="18">
        <f>S3535/Explications!$C$8</f>
        <v>0.14785552012425432</v>
      </c>
    </row>
    <row r="3536" spans="7:20">
      <c r="G3536" s="7" t="s">
        <v>85</v>
      </c>
      <c r="H3536" s="7" t="s">
        <v>101</v>
      </c>
      <c r="I3536" s="7">
        <v>46.821899999999999</v>
      </c>
      <c r="J3536" s="7">
        <v>-71.249899999999997</v>
      </c>
      <c r="K3536" s="7">
        <v>46.7988</v>
      </c>
      <c r="L3536" s="7">
        <v>-71.318200000000004</v>
      </c>
      <c r="M3536" s="10" t="str">
        <f t="shared" si="335"/>
        <v>C69</v>
      </c>
      <c r="N3536" s="10" t="str">
        <f t="shared" si="336"/>
        <v>C85</v>
      </c>
      <c r="O3536" s="5">
        <f t="shared" si="337"/>
        <v>5.7978940197847049</v>
      </c>
      <c r="P3536" s="22">
        <f>O3536/Explications!$C$8</f>
        <v>0.19326313399282349</v>
      </c>
      <c r="Q3536" s="7" t="str">
        <f t="shared" si="338"/>
        <v>C85</v>
      </c>
      <c r="R3536" s="7" t="str">
        <f t="shared" si="339"/>
        <v>C69</v>
      </c>
      <c r="S3536" s="18">
        <f t="shared" si="340"/>
        <v>5.7978940197847049</v>
      </c>
      <c r="T3536" s="18">
        <f>S3536/Explications!$C$8</f>
        <v>0.19326313399282349</v>
      </c>
    </row>
    <row r="3537" spans="7:20">
      <c r="G3537" s="7" t="s">
        <v>86</v>
      </c>
      <c r="H3537" s="7" t="s">
        <v>87</v>
      </c>
      <c r="I3537" s="7">
        <v>46.8872</v>
      </c>
      <c r="J3537" s="7">
        <v>-71.27</v>
      </c>
      <c r="K3537" s="7">
        <v>46.816299999999998</v>
      </c>
      <c r="L3537" s="7">
        <v>-71.210300000000004</v>
      </c>
      <c r="M3537" s="10" t="str">
        <f t="shared" si="335"/>
        <v>C70</v>
      </c>
      <c r="N3537" s="10" t="str">
        <f t="shared" si="336"/>
        <v>C71</v>
      </c>
      <c r="O3537" s="5">
        <f t="shared" si="337"/>
        <v>9.0974480193118623</v>
      </c>
      <c r="P3537" s="22">
        <f>O3537/Explications!$C$8</f>
        <v>0.30324826731039539</v>
      </c>
      <c r="Q3537" s="7" t="str">
        <f t="shared" si="338"/>
        <v>C71</v>
      </c>
      <c r="R3537" s="7" t="str">
        <f t="shared" si="339"/>
        <v>C70</v>
      </c>
      <c r="S3537" s="18">
        <f t="shared" si="340"/>
        <v>9.0974480193118623</v>
      </c>
      <c r="T3537" s="18">
        <f>S3537/Explications!$C$8</f>
        <v>0.30324826731039539</v>
      </c>
    </row>
    <row r="3538" spans="7:20">
      <c r="G3538" s="7" t="s">
        <v>86</v>
      </c>
      <c r="H3538" s="7" t="s">
        <v>88</v>
      </c>
      <c r="I3538" s="7">
        <v>46.8872</v>
      </c>
      <c r="J3538" s="7">
        <v>-71.27</v>
      </c>
      <c r="K3538" s="7">
        <v>46.807000000000002</v>
      </c>
      <c r="L3538" s="7">
        <v>-71.3566</v>
      </c>
      <c r="M3538" s="10" t="str">
        <f t="shared" si="335"/>
        <v>C70</v>
      </c>
      <c r="N3538" s="10" t="str">
        <f t="shared" si="336"/>
        <v>C72</v>
      </c>
      <c r="O3538" s="5">
        <f t="shared" si="337"/>
        <v>11.086203309427859</v>
      </c>
      <c r="P3538" s="22">
        <f>O3538/Explications!$C$8</f>
        <v>0.36954011031426198</v>
      </c>
      <c r="Q3538" s="7" t="str">
        <f t="shared" si="338"/>
        <v>C72</v>
      </c>
      <c r="R3538" s="7" t="str">
        <f t="shared" si="339"/>
        <v>C70</v>
      </c>
      <c r="S3538" s="18">
        <f t="shared" si="340"/>
        <v>11.086203309427859</v>
      </c>
      <c r="T3538" s="18">
        <f>S3538/Explications!$C$8</f>
        <v>0.36954011031426198</v>
      </c>
    </row>
    <row r="3539" spans="7:20">
      <c r="G3539" s="7" t="s">
        <v>86</v>
      </c>
      <c r="H3539" s="7" t="s">
        <v>89</v>
      </c>
      <c r="I3539" s="7">
        <v>46.8872</v>
      </c>
      <c r="J3539" s="7">
        <v>-71.27</v>
      </c>
      <c r="K3539" s="7">
        <v>46.822899999999997</v>
      </c>
      <c r="L3539" s="7">
        <v>-71.341899999999995</v>
      </c>
      <c r="M3539" s="10" t="str">
        <f t="shared" si="335"/>
        <v>C70</v>
      </c>
      <c r="N3539" s="10" t="str">
        <f t="shared" si="336"/>
        <v>C73</v>
      </c>
      <c r="O3539" s="5">
        <f t="shared" si="337"/>
        <v>9.0006338844910392</v>
      </c>
      <c r="P3539" s="22">
        <f>O3539/Explications!$C$8</f>
        <v>0.30002112948303467</v>
      </c>
      <c r="Q3539" s="7" t="str">
        <f t="shared" si="338"/>
        <v>C73</v>
      </c>
      <c r="R3539" s="7" t="str">
        <f t="shared" si="339"/>
        <v>C70</v>
      </c>
      <c r="S3539" s="18">
        <f t="shared" si="340"/>
        <v>9.0006338844910392</v>
      </c>
      <c r="T3539" s="18">
        <f>S3539/Explications!$C$8</f>
        <v>0.30002112948303467</v>
      </c>
    </row>
    <row r="3540" spans="7:20">
      <c r="G3540" s="7" t="s">
        <v>86</v>
      </c>
      <c r="H3540" s="7" t="s">
        <v>90</v>
      </c>
      <c r="I3540" s="7">
        <v>46.8872</v>
      </c>
      <c r="J3540" s="7">
        <v>-71.27</v>
      </c>
      <c r="K3540" s="7">
        <v>46.730699999999999</v>
      </c>
      <c r="L3540" s="7">
        <v>-71.261099999999999</v>
      </c>
      <c r="M3540" s="10" t="str">
        <f t="shared" si="335"/>
        <v>C70</v>
      </c>
      <c r="N3540" s="10" t="str">
        <f t="shared" si="336"/>
        <v>C74</v>
      </c>
      <c r="O3540" s="5">
        <f t="shared" si="337"/>
        <v>17.415183040480589</v>
      </c>
      <c r="P3540" s="22">
        <f>O3540/Explications!$C$8</f>
        <v>0.58050610134935299</v>
      </c>
      <c r="Q3540" s="7" t="str">
        <f t="shared" si="338"/>
        <v>C74</v>
      </c>
      <c r="R3540" s="7" t="str">
        <f t="shared" si="339"/>
        <v>C70</v>
      </c>
      <c r="S3540" s="18">
        <f t="shared" si="340"/>
        <v>17.415183040480589</v>
      </c>
      <c r="T3540" s="18">
        <f>S3540/Explications!$C$8</f>
        <v>0.58050610134935299</v>
      </c>
    </row>
    <row r="3541" spans="7:20">
      <c r="G3541" s="7" t="s">
        <v>86</v>
      </c>
      <c r="H3541" s="7" t="s">
        <v>91</v>
      </c>
      <c r="I3541" s="7">
        <v>46.8872</v>
      </c>
      <c r="J3541" s="7">
        <v>-71.27</v>
      </c>
      <c r="K3541" s="7">
        <v>46.840600000000002</v>
      </c>
      <c r="L3541" s="7">
        <v>-71.289100000000005</v>
      </c>
      <c r="M3541" s="10" t="str">
        <f t="shared" si="335"/>
        <v>C70</v>
      </c>
      <c r="N3541" s="10" t="str">
        <f t="shared" si="336"/>
        <v>C75</v>
      </c>
      <c r="O3541" s="5">
        <f t="shared" si="337"/>
        <v>5.3813124793369189</v>
      </c>
      <c r="P3541" s="22">
        <f>O3541/Explications!$C$8</f>
        <v>0.17937708264456395</v>
      </c>
      <c r="Q3541" s="7" t="str">
        <f t="shared" si="338"/>
        <v>C75</v>
      </c>
      <c r="R3541" s="7" t="str">
        <f t="shared" si="339"/>
        <v>C70</v>
      </c>
      <c r="S3541" s="18">
        <f t="shared" si="340"/>
        <v>5.3813124793369189</v>
      </c>
      <c r="T3541" s="18">
        <f>S3541/Explications!$C$8</f>
        <v>0.17937708264456395</v>
      </c>
    </row>
    <row r="3542" spans="7:20">
      <c r="G3542" s="7" t="s">
        <v>86</v>
      </c>
      <c r="H3542" s="7" t="s">
        <v>92</v>
      </c>
      <c r="I3542" s="7">
        <v>46.8872</v>
      </c>
      <c r="J3542" s="7">
        <v>-71.27</v>
      </c>
      <c r="K3542" s="7">
        <v>46.840600000000002</v>
      </c>
      <c r="L3542" s="7">
        <v>-71.281599999999997</v>
      </c>
      <c r="M3542" s="10" t="str">
        <f t="shared" si="335"/>
        <v>C70</v>
      </c>
      <c r="N3542" s="10" t="str">
        <f t="shared" si="336"/>
        <v>C76</v>
      </c>
      <c r="O3542" s="5">
        <f t="shared" si="337"/>
        <v>5.2561992074627266</v>
      </c>
      <c r="P3542" s="22">
        <f>O3542/Explications!$C$8</f>
        <v>0.17520664024875757</v>
      </c>
      <c r="Q3542" s="7" t="str">
        <f t="shared" si="338"/>
        <v>C76</v>
      </c>
      <c r="R3542" s="7" t="str">
        <f t="shared" si="339"/>
        <v>C70</v>
      </c>
      <c r="S3542" s="18">
        <f t="shared" si="340"/>
        <v>5.2561992074627266</v>
      </c>
      <c r="T3542" s="18">
        <f>S3542/Explications!$C$8</f>
        <v>0.17520664024875757</v>
      </c>
    </row>
    <row r="3543" spans="7:20">
      <c r="G3543" s="7" t="s">
        <v>86</v>
      </c>
      <c r="H3543" s="7" t="s">
        <v>93</v>
      </c>
      <c r="I3543" s="7">
        <v>46.8872</v>
      </c>
      <c r="J3543" s="7">
        <v>-71.27</v>
      </c>
      <c r="K3543" s="7">
        <v>46.839399999999998</v>
      </c>
      <c r="L3543" s="7">
        <v>-71.282600000000002</v>
      </c>
      <c r="M3543" s="10" t="str">
        <f t="shared" si="335"/>
        <v>C70</v>
      </c>
      <c r="N3543" s="10" t="str">
        <f t="shared" si="336"/>
        <v>C77</v>
      </c>
      <c r="O3543" s="5">
        <f t="shared" si="337"/>
        <v>5.4007555930926392</v>
      </c>
      <c r="P3543" s="22">
        <f>O3543/Explications!$C$8</f>
        <v>0.18002518643642132</v>
      </c>
      <c r="Q3543" s="7" t="str">
        <f t="shared" si="338"/>
        <v>C77</v>
      </c>
      <c r="R3543" s="7" t="str">
        <f t="shared" si="339"/>
        <v>C70</v>
      </c>
      <c r="S3543" s="18">
        <f t="shared" si="340"/>
        <v>5.4007555930926392</v>
      </c>
      <c r="T3543" s="18">
        <f>S3543/Explications!$C$8</f>
        <v>0.18002518643642132</v>
      </c>
    </row>
    <row r="3544" spans="7:20">
      <c r="G3544" s="7" t="s">
        <v>86</v>
      </c>
      <c r="H3544" s="7" t="s">
        <v>94</v>
      </c>
      <c r="I3544" s="7">
        <v>46.8872</v>
      </c>
      <c r="J3544" s="7">
        <v>-71.27</v>
      </c>
      <c r="K3544" s="7">
        <v>46.788499999999999</v>
      </c>
      <c r="L3544" s="7">
        <v>-71.282399999999996</v>
      </c>
      <c r="M3544" s="10" t="str">
        <f t="shared" si="335"/>
        <v>C70</v>
      </c>
      <c r="N3544" s="10" t="str">
        <f t="shared" si="336"/>
        <v>C78</v>
      </c>
      <c r="O3544" s="5">
        <f t="shared" si="337"/>
        <v>11.015394637189857</v>
      </c>
      <c r="P3544" s="22">
        <f>O3544/Explications!$C$8</f>
        <v>0.36717982123966192</v>
      </c>
      <c r="Q3544" s="7" t="str">
        <f t="shared" si="338"/>
        <v>C78</v>
      </c>
      <c r="R3544" s="7" t="str">
        <f t="shared" si="339"/>
        <v>C70</v>
      </c>
      <c r="S3544" s="18">
        <f t="shared" si="340"/>
        <v>11.015394637189857</v>
      </c>
      <c r="T3544" s="18">
        <f>S3544/Explications!$C$8</f>
        <v>0.36717982123966192</v>
      </c>
    </row>
    <row r="3545" spans="7:20">
      <c r="G3545" s="7" t="s">
        <v>86</v>
      </c>
      <c r="H3545" s="7" t="s">
        <v>95</v>
      </c>
      <c r="I3545" s="7">
        <v>46.8872</v>
      </c>
      <c r="J3545" s="7">
        <v>-71.27</v>
      </c>
      <c r="K3545" s="7">
        <v>46.840699999999998</v>
      </c>
      <c r="L3545" s="7">
        <v>-71.325400000000002</v>
      </c>
      <c r="M3545" s="10" t="str">
        <f t="shared" si="335"/>
        <v>C70</v>
      </c>
      <c r="N3545" s="10" t="str">
        <f t="shared" si="336"/>
        <v>C79</v>
      </c>
      <c r="O3545" s="5">
        <f t="shared" si="337"/>
        <v>6.6689651236800884</v>
      </c>
      <c r="P3545" s="22">
        <f>O3545/Explications!$C$8</f>
        <v>0.22229883745600296</v>
      </c>
      <c r="Q3545" s="7" t="str">
        <f t="shared" si="338"/>
        <v>C79</v>
      </c>
      <c r="R3545" s="7" t="str">
        <f t="shared" si="339"/>
        <v>C70</v>
      </c>
      <c r="S3545" s="18">
        <f t="shared" si="340"/>
        <v>6.6689651236800884</v>
      </c>
      <c r="T3545" s="18">
        <f>S3545/Explications!$C$8</f>
        <v>0.22229883745600296</v>
      </c>
    </row>
    <row r="3546" spans="7:20">
      <c r="G3546" s="7" t="s">
        <v>86</v>
      </c>
      <c r="H3546" s="7" t="s">
        <v>96</v>
      </c>
      <c r="I3546" s="7">
        <v>46.8872</v>
      </c>
      <c r="J3546" s="7">
        <v>-71.27</v>
      </c>
      <c r="K3546" s="7">
        <v>46.798400000000001</v>
      </c>
      <c r="L3546" s="7">
        <v>-71.183199999999999</v>
      </c>
      <c r="M3546" s="10" t="str">
        <f t="shared" si="335"/>
        <v>C70</v>
      </c>
      <c r="N3546" s="10" t="str">
        <f t="shared" si="336"/>
        <v>C80</v>
      </c>
      <c r="O3546" s="5">
        <f t="shared" si="337"/>
        <v>11.877783766860425</v>
      </c>
      <c r="P3546" s="22">
        <f>O3546/Explications!$C$8</f>
        <v>0.39592612556201418</v>
      </c>
      <c r="Q3546" s="7" t="str">
        <f t="shared" si="338"/>
        <v>C80</v>
      </c>
      <c r="R3546" s="7" t="str">
        <f t="shared" si="339"/>
        <v>C70</v>
      </c>
      <c r="S3546" s="18">
        <f t="shared" si="340"/>
        <v>11.877783766860425</v>
      </c>
      <c r="T3546" s="18">
        <f>S3546/Explications!$C$8</f>
        <v>0.39592612556201418</v>
      </c>
    </row>
    <row r="3547" spans="7:20">
      <c r="G3547" s="7" t="s">
        <v>86</v>
      </c>
      <c r="H3547" s="7" t="s">
        <v>97</v>
      </c>
      <c r="I3547" s="7">
        <v>46.8872</v>
      </c>
      <c r="J3547" s="7">
        <v>-71.27</v>
      </c>
      <c r="K3547" s="7">
        <v>46.724800000000002</v>
      </c>
      <c r="L3547" s="7">
        <v>-71.2988</v>
      </c>
      <c r="M3547" s="10" t="str">
        <f t="shared" si="335"/>
        <v>C70</v>
      </c>
      <c r="N3547" s="10" t="str">
        <f t="shared" si="336"/>
        <v>C81</v>
      </c>
      <c r="O3547" s="5">
        <f t="shared" si="337"/>
        <v>18.190603571382617</v>
      </c>
      <c r="P3547" s="22">
        <f>O3547/Explications!$C$8</f>
        <v>0.60635345237942062</v>
      </c>
      <c r="Q3547" s="7" t="str">
        <f t="shared" si="338"/>
        <v>C81</v>
      </c>
      <c r="R3547" s="7" t="str">
        <f t="shared" si="339"/>
        <v>C70</v>
      </c>
      <c r="S3547" s="18">
        <f t="shared" si="340"/>
        <v>18.190603571382617</v>
      </c>
      <c r="T3547" s="18">
        <f>S3547/Explications!$C$8</f>
        <v>0.60635345237942062</v>
      </c>
    </row>
    <row r="3548" spans="7:20">
      <c r="G3548" s="7" t="s">
        <v>86</v>
      </c>
      <c r="H3548" s="7" t="s">
        <v>98</v>
      </c>
      <c r="I3548" s="7">
        <v>46.8872</v>
      </c>
      <c r="J3548" s="7">
        <v>-71.27</v>
      </c>
      <c r="K3548" s="7">
        <v>46.795499999999997</v>
      </c>
      <c r="L3548" s="7">
        <v>-71.242900000000006</v>
      </c>
      <c r="M3548" s="10" t="str">
        <f t="shared" si="335"/>
        <v>C70</v>
      </c>
      <c r="N3548" s="10" t="str">
        <f t="shared" si="336"/>
        <v>C82</v>
      </c>
      <c r="O3548" s="5">
        <f t="shared" si="337"/>
        <v>10.402823953112634</v>
      </c>
      <c r="P3548" s="22">
        <f>O3548/Explications!$C$8</f>
        <v>0.34676079843708779</v>
      </c>
      <c r="Q3548" s="7" t="str">
        <f t="shared" si="338"/>
        <v>C82</v>
      </c>
      <c r="R3548" s="7" t="str">
        <f t="shared" si="339"/>
        <v>C70</v>
      </c>
      <c r="S3548" s="18">
        <f t="shared" si="340"/>
        <v>10.402823953112634</v>
      </c>
      <c r="T3548" s="18">
        <f>S3548/Explications!$C$8</f>
        <v>0.34676079843708779</v>
      </c>
    </row>
    <row r="3549" spans="7:20">
      <c r="G3549" s="7" t="s">
        <v>86</v>
      </c>
      <c r="H3549" s="7" t="s">
        <v>99</v>
      </c>
      <c r="I3549" s="7">
        <v>46.8872</v>
      </c>
      <c r="J3549" s="7">
        <v>-71.27</v>
      </c>
      <c r="K3549" s="7">
        <v>46.8157</v>
      </c>
      <c r="L3549" s="7">
        <v>-71.201899999999995</v>
      </c>
      <c r="M3549" s="10" t="str">
        <f t="shared" si="335"/>
        <v>C70</v>
      </c>
      <c r="N3549" s="10" t="str">
        <f t="shared" si="336"/>
        <v>C83</v>
      </c>
      <c r="O3549" s="5">
        <f t="shared" si="337"/>
        <v>9.488321575717336</v>
      </c>
      <c r="P3549" s="22">
        <f>O3549/Explications!$C$8</f>
        <v>0.31627738585724452</v>
      </c>
      <c r="Q3549" s="7" t="str">
        <f t="shared" si="338"/>
        <v>C83</v>
      </c>
      <c r="R3549" s="7" t="str">
        <f t="shared" si="339"/>
        <v>C70</v>
      </c>
      <c r="S3549" s="18">
        <f t="shared" si="340"/>
        <v>9.488321575717336</v>
      </c>
      <c r="T3549" s="18">
        <f>S3549/Explications!$C$8</f>
        <v>0.31627738585724452</v>
      </c>
    </row>
    <row r="3550" spans="7:20">
      <c r="G3550" s="7" t="s">
        <v>86</v>
      </c>
      <c r="H3550" s="7" t="s">
        <v>100</v>
      </c>
      <c r="I3550" s="7">
        <v>46.8872</v>
      </c>
      <c r="J3550" s="7">
        <v>-71.27</v>
      </c>
      <c r="K3550" s="7">
        <v>46.837600000000002</v>
      </c>
      <c r="L3550" s="7">
        <v>-71.196299999999994</v>
      </c>
      <c r="M3550" s="10" t="str">
        <f t="shared" si="335"/>
        <v>C70</v>
      </c>
      <c r="N3550" s="10" t="str">
        <f t="shared" si="336"/>
        <v>C84</v>
      </c>
      <c r="O3550" s="5">
        <f t="shared" si="337"/>
        <v>7.8623315882945741</v>
      </c>
      <c r="P3550" s="22">
        <f>O3550/Explications!$C$8</f>
        <v>0.26207771960981913</v>
      </c>
      <c r="Q3550" s="7" t="str">
        <f t="shared" si="338"/>
        <v>C84</v>
      </c>
      <c r="R3550" s="7" t="str">
        <f t="shared" si="339"/>
        <v>C70</v>
      </c>
      <c r="S3550" s="18">
        <f t="shared" si="340"/>
        <v>7.8623315882945741</v>
      </c>
      <c r="T3550" s="18">
        <f>S3550/Explications!$C$8</f>
        <v>0.26207771960981913</v>
      </c>
    </row>
    <row r="3551" spans="7:20">
      <c r="G3551" s="7" t="s">
        <v>86</v>
      </c>
      <c r="H3551" s="7" t="s">
        <v>101</v>
      </c>
      <c r="I3551" s="7">
        <v>46.8872</v>
      </c>
      <c r="J3551" s="7">
        <v>-71.27</v>
      </c>
      <c r="K3551" s="7">
        <v>46.7988</v>
      </c>
      <c r="L3551" s="7">
        <v>-71.318200000000004</v>
      </c>
      <c r="M3551" s="10" t="str">
        <f t="shared" si="335"/>
        <v>C70</v>
      </c>
      <c r="N3551" s="10" t="str">
        <f t="shared" si="336"/>
        <v>C85</v>
      </c>
      <c r="O3551" s="5">
        <f t="shared" si="337"/>
        <v>10.490992503014427</v>
      </c>
      <c r="P3551" s="22">
        <f>O3551/Explications!$C$8</f>
        <v>0.34969975010048088</v>
      </c>
      <c r="Q3551" s="7" t="str">
        <f t="shared" si="338"/>
        <v>C85</v>
      </c>
      <c r="R3551" s="7" t="str">
        <f t="shared" si="339"/>
        <v>C70</v>
      </c>
      <c r="S3551" s="18">
        <f t="shared" si="340"/>
        <v>10.490992503014427</v>
      </c>
      <c r="T3551" s="18">
        <f>S3551/Explications!$C$8</f>
        <v>0.34969975010048088</v>
      </c>
    </row>
    <row r="3552" spans="7:20">
      <c r="G3552" s="7" t="s">
        <v>87</v>
      </c>
      <c r="H3552" s="7" t="s">
        <v>88</v>
      </c>
      <c r="I3552" s="7">
        <v>46.816299999999998</v>
      </c>
      <c r="J3552" s="7">
        <v>-71.210300000000004</v>
      </c>
      <c r="K3552" s="7">
        <v>46.807000000000002</v>
      </c>
      <c r="L3552" s="7">
        <v>-71.3566</v>
      </c>
      <c r="M3552" s="10" t="str">
        <f t="shared" si="335"/>
        <v>C71</v>
      </c>
      <c r="N3552" s="10" t="str">
        <f t="shared" si="336"/>
        <v>C72</v>
      </c>
      <c r="O3552" s="5">
        <f t="shared" si="337"/>
        <v>11.181596297289122</v>
      </c>
      <c r="P3552" s="22">
        <f>O3552/Explications!$C$8</f>
        <v>0.37271987657630407</v>
      </c>
      <c r="Q3552" s="7" t="str">
        <f t="shared" si="338"/>
        <v>C72</v>
      </c>
      <c r="R3552" s="7" t="str">
        <f t="shared" si="339"/>
        <v>C71</v>
      </c>
      <c r="S3552" s="18">
        <f t="shared" si="340"/>
        <v>11.181596297289122</v>
      </c>
      <c r="T3552" s="18">
        <f>S3552/Explications!$C$8</f>
        <v>0.37271987657630407</v>
      </c>
    </row>
    <row r="3553" spans="7:20">
      <c r="G3553" s="7" t="s">
        <v>87</v>
      </c>
      <c r="H3553" s="7" t="s">
        <v>89</v>
      </c>
      <c r="I3553" s="7">
        <v>46.816299999999998</v>
      </c>
      <c r="J3553" s="7">
        <v>-71.210300000000004</v>
      </c>
      <c r="K3553" s="7">
        <v>46.822899999999997</v>
      </c>
      <c r="L3553" s="7">
        <v>-71.341899999999995</v>
      </c>
      <c r="M3553" s="10" t="str">
        <f t="shared" si="335"/>
        <v>C71</v>
      </c>
      <c r="N3553" s="10" t="str">
        <f t="shared" si="336"/>
        <v>C73</v>
      </c>
      <c r="O3553" s="5">
        <f t="shared" si="337"/>
        <v>10.040356835046598</v>
      </c>
      <c r="P3553" s="22">
        <f>O3553/Explications!$C$8</f>
        <v>0.33467856116821992</v>
      </c>
      <c r="Q3553" s="7" t="str">
        <f t="shared" si="338"/>
        <v>C73</v>
      </c>
      <c r="R3553" s="7" t="str">
        <f t="shared" si="339"/>
        <v>C71</v>
      </c>
      <c r="S3553" s="18">
        <f t="shared" si="340"/>
        <v>10.040356835046598</v>
      </c>
      <c r="T3553" s="18">
        <f>S3553/Explications!$C$8</f>
        <v>0.33467856116821992</v>
      </c>
    </row>
    <row r="3554" spans="7:20">
      <c r="G3554" s="7" t="s">
        <v>87</v>
      </c>
      <c r="H3554" s="7" t="s">
        <v>90</v>
      </c>
      <c r="I3554" s="7">
        <v>46.816299999999998</v>
      </c>
      <c r="J3554" s="7">
        <v>-71.210300000000004</v>
      </c>
      <c r="K3554" s="7">
        <v>46.730699999999999</v>
      </c>
      <c r="L3554" s="7">
        <v>-71.261099999999999</v>
      </c>
      <c r="M3554" s="10" t="str">
        <f t="shared" si="335"/>
        <v>C71</v>
      </c>
      <c r="N3554" s="10" t="str">
        <f t="shared" si="336"/>
        <v>C74</v>
      </c>
      <c r="O3554" s="5">
        <f t="shared" si="337"/>
        <v>10.274465592991099</v>
      </c>
      <c r="P3554" s="22">
        <f>O3554/Explications!$C$8</f>
        <v>0.34248218643303663</v>
      </c>
      <c r="Q3554" s="7" t="str">
        <f t="shared" si="338"/>
        <v>C74</v>
      </c>
      <c r="R3554" s="7" t="str">
        <f t="shared" si="339"/>
        <v>C71</v>
      </c>
      <c r="S3554" s="18">
        <f t="shared" si="340"/>
        <v>10.274465592991099</v>
      </c>
      <c r="T3554" s="18">
        <f>S3554/Explications!$C$8</f>
        <v>0.34248218643303663</v>
      </c>
    </row>
    <row r="3555" spans="7:20">
      <c r="G3555" s="7" t="s">
        <v>87</v>
      </c>
      <c r="H3555" s="7" t="s">
        <v>91</v>
      </c>
      <c r="I3555" s="7">
        <v>46.816299999999998</v>
      </c>
      <c r="J3555" s="7">
        <v>-71.210300000000004</v>
      </c>
      <c r="K3555" s="7">
        <v>46.840600000000002</v>
      </c>
      <c r="L3555" s="7">
        <v>-71.289100000000005</v>
      </c>
      <c r="M3555" s="10" t="str">
        <f t="shared" si="335"/>
        <v>C71</v>
      </c>
      <c r="N3555" s="10" t="str">
        <f t="shared" si="336"/>
        <v>C75</v>
      </c>
      <c r="O3555" s="5">
        <f t="shared" si="337"/>
        <v>6.5757350539277697</v>
      </c>
      <c r="P3555" s="22">
        <f>O3555/Explications!$C$8</f>
        <v>0.21919116846425898</v>
      </c>
      <c r="Q3555" s="7" t="str">
        <f t="shared" si="338"/>
        <v>C75</v>
      </c>
      <c r="R3555" s="7" t="str">
        <f t="shared" si="339"/>
        <v>C71</v>
      </c>
      <c r="S3555" s="18">
        <f t="shared" si="340"/>
        <v>6.5757350539277697</v>
      </c>
      <c r="T3555" s="18">
        <f>S3555/Explications!$C$8</f>
        <v>0.21919116846425898</v>
      </c>
    </row>
    <row r="3556" spans="7:20">
      <c r="G3556" s="7" t="s">
        <v>87</v>
      </c>
      <c r="H3556" s="7" t="s">
        <v>92</v>
      </c>
      <c r="I3556" s="7">
        <v>46.816299999999998</v>
      </c>
      <c r="J3556" s="7">
        <v>-71.210300000000004</v>
      </c>
      <c r="K3556" s="7">
        <v>46.840600000000002</v>
      </c>
      <c r="L3556" s="7">
        <v>-71.281599999999997</v>
      </c>
      <c r="M3556" s="10" t="str">
        <f t="shared" si="335"/>
        <v>C71</v>
      </c>
      <c r="N3556" s="10" t="str">
        <f t="shared" si="336"/>
        <v>C76</v>
      </c>
      <c r="O3556" s="5">
        <f t="shared" si="337"/>
        <v>6.0600844140516958</v>
      </c>
      <c r="P3556" s="22">
        <f>O3556/Explications!$C$8</f>
        <v>0.20200281380172319</v>
      </c>
      <c r="Q3556" s="7" t="str">
        <f t="shared" si="338"/>
        <v>C76</v>
      </c>
      <c r="R3556" s="7" t="str">
        <f t="shared" si="339"/>
        <v>C71</v>
      </c>
      <c r="S3556" s="18">
        <f t="shared" si="340"/>
        <v>6.0600844140516958</v>
      </c>
      <c r="T3556" s="18">
        <f>S3556/Explications!$C$8</f>
        <v>0.20200281380172319</v>
      </c>
    </row>
    <row r="3557" spans="7:20">
      <c r="G3557" s="7" t="s">
        <v>87</v>
      </c>
      <c r="H3557" s="7" t="s">
        <v>93</v>
      </c>
      <c r="I3557" s="7">
        <v>46.816299999999998</v>
      </c>
      <c r="J3557" s="7">
        <v>-71.210300000000004</v>
      </c>
      <c r="K3557" s="7">
        <v>46.839399999999998</v>
      </c>
      <c r="L3557" s="7">
        <v>-71.282600000000002</v>
      </c>
      <c r="M3557" s="10" t="str">
        <f t="shared" si="335"/>
        <v>C71</v>
      </c>
      <c r="N3557" s="10" t="str">
        <f t="shared" si="336"/>
        <v>C77</v>
      </c>
      <c r="O3557" s="5">
        <f t="shared" si="337"/>
        <v>6.0706796572458384</v>
      </c>
      <c r="P3557" s="22">
        <f>O3557/Explications!$C$8</f>
        <v>0.20235598857486128</v>
      </c>
      <c r="Q3557" s="7" t="str">
        <f t="shared" si="338"/>
        <v>C77</v>
      </c>
      <c r="R3557" s="7" t="str">
        <f t="shared" si="339"/>
        <v>C71</v>
      </c>
      <c r="S3557" s="18">
        <f t="shared" si="340"/>
        <v>6.0706796572458384</v>
      </c>
      <c r="T3557" s="18">
        <f>S3557/Explications!$C$8</f>
        <v>0.20235598857486128</v>
      </c>
    </row>
    <row r="3558" spans="7:20">
      <c r="G3558" s="7" t="s">
        <v>87</v>
      </c>
      <c r="H3558" s="7" t="s">
        <v>94</v>
      </c>
      <c r="I3558" s="7">
        <v>46.816299999999998</v>
      </c>
      <c r="J3558" s="7">
        <v>-71.210300000000004</v>
      </c>
      <c r="K3558" s="7">
        <v>46.788499999999999</v>
      </c>
      <c r="L3558" s="7">
        <v>-71.282399999999996</v>
      </c>
      <c r="M3558" s="10" t="str">
        <f t="shared" si="335"/>
        <v>C71</v>
      </c>
      <c r="N3558" s="10" t="str">
        <f t="shared" si="336"/>
        <v>C78</v>
      </c>
      <c r="O3558" s="5">
        <f t="shared" si="337"/>
        <v>6.2986030928335239</v>
      </c>
      <c r="P3558" s="22">
        <f>O3558/Explications!$C$8</f>
        <v>0.20995343642778413</v>
      </c>
      <c r="Q3558" s="7" t="str">
        <f t="shared" si="338"/>
        <v>C78</v>
      </c>
      <c r="R3558" s="7" t="str">
        <f t="shared" si="339"/>
        <v>C71</v>
      </c>
      <c r="S3558" s="18">
        <f t="shared" si="340"/>
        <v>6.2986030928335239</v>
      </c>
      <c r="T3558" s="18">
        <f>S3558/Explications!$C$8</f>
        <v>0.20995343642778413</v>
      </c>
    </row>
    <row r="3559" spans="7:20">
      <c r="G3559" s="7" t="s">
        <v>87</v>
      </c>
      <c r="H3559" s="7" t="s">
        <v>95</v>
      </c>
      <c r="I3559" s="7">
        <v>46.816299999999998</v>
      </c>
      <c r="J3559" s="7">
        <v>-71.210300000000004</v>
      </c>
      <c r="K3559" s="7">
        <v>46.840699999999998</v>
      </c>
      <c r="L3559" s="7">
        <v>-71.325400000000002</v>
      </c>
      <c r="M3559" s="10" t="str">
        <f t="shared" si="335"/>
        <v>C71</v>
      </c>
      <c r="N3559" s="10" t="str">
        <f t="shared" si="336"/>
        <v>C79</v>
      </c>
      <c r="O3559" s="5">
        <f t="shared" si="337"/>
        <v>9.1672527203940639</v>
      </c>
      <c r="P3559" s="22">
        <f>O3559/Explications!$C$8</f>
        <v>0.30557509067980215</v>
      </c>
      <c r="Q3559" s="7" t="str">
        <f t="shared" si="338"/>
        <v>C79</v>
      </c>
      <c r="R3559" s="7" t="str">
        <f t="shared" si="339"/>
        <v>C71</v>
      </c>
      <c r="S3559" s="18">
        <f t="shared" si="340"/>
        <v>9.1672527203940639</v>
      </c>
      <c r="T3559" s="18">
        <f>S3559/Explications!$C$8</f>
        <v>0.30557509067980215</v>
      </c>
    </row>
    <row r="3560" spans="7:20">
      <c r="G3560" s="7" t="s">
        <v>87</v>
      </c>
      <c r="H3560" s="7" t="s">
        <v>96</v>
      </c>
      <c r="I3560" s="7">
        <v>46.816299999999998</v>
      </c>
      <c r="J3560" s="7">
        <v>-71.210300000000004</v>
      </c>
      <c r="K3560" s="7">
        <v>46.798400000000001</v>
      </c>
      <c r="L3560" s="7">
        <v>-71.183199999999999</v>
      </c>
      <c r="M3560" s="10" t="str">
        <f t="shared" si="335"/>
        <v>C71</v>
      </c>
      <c r="N3560" s="10" t="str">
        <f t="shared" si="336"/>
        <v>C80</v>
      </c>
      <c r="O3560" s="5">
        <f t="shared" si="337"/>
        <v>2.8662937064088747</v>
      </c>
      <c r="P3560" s="22">
        <f>O3560/Explications!$C$8</f>
        <v>9.5543123546962497E-2</v>
      </c>
      <c r="Q3560" s="7" t="str">
        <f t="shared" si="338"/>
        <v>C80</v>
      </c>
      <c r="R3560" s="7" t="str">
        <f t="shared" si="339"/>
        <v>C71</v>
      </c>
      <c r="S3560" s="18">
        <f t="shared" si="340"/>
        <v>2.8662937064088747</v>
      </c>
      <c r="T3560" s="18">
        <f>S3560/Explications!$C$8</f>
        <v>9.5543123546962497E-2</v>
      </c>
    </row>
    <row r="3561" spans="7:20">
      <c r="G3561" s="7" t="s">
        <v>87</v>
      </c>
      <c r="H3561" s="7" t="s">
        <v>97</v>
      </c>
      <c r="I3561" s="7">
        <v>46.816299999999998</v>
      </c>
      <c r="J3561" s="7">
        <v>-71.210300000000004</v>
      </c>
      <c r="K3561" s="7">
        <v>46.724800000000002</v>
      </c>
      <c r="L3561" s="7">
        <v>-71.2988</v>
      </c>
      <c r="M3561" s="10" t="str">
        <f t="shared" si="335"/>
        <v>C71</v>
      </c>
      <c r="N3561" s="10" t="str">
        <f t="shared" si="336"/>
        <v>C81</v>
      </c>
      <c r="O3561" s="5">
        <f t="shared" si="337"/>
        <v>12.204368155759193</v>
      </c>
      <c r="P3561" s="22">
        <f>O3561/Explications!$C$8</f>
        <v>0.40681227185863977</v>
      </c>
      <c r="Q3561" s="7" t="str">
        <f t="shared" si="338"/>
        <v>C81</v>
      </c>
      <c r="R3561" s="7" t="str">
        <f t="shared" si="339"/>
        <v>C71</v>
      </c>
      <c r="S3561" s="18">
        <f t="shared" si="340"/>
        <v>12.204368155759193</v>
      </c>
      <c r="T3561" s="18">
        <f>S3561/Explications!$C$8</f>
        <v>0.40681227185863977</v>
      </c>
    </row>
    <row r="3562" spans="7:20">
      <c r="G3562" s="7" t="s">
        <v>87</v>
      </c>
      <c r="H3562" s="7" t="s">
        <v>98</v>
      </c>
      <c r="I3562" s="7">
        <v>46.816299999999998</v>
      </c>
      <c r="J3562" s="7">
        <v>-71.210300000000004</v>
      </c>
      <c r="K3562" s="7">
        <v>46.795499999999997</v>
      </c>
      <c r="L3562" s="7">
        <v>-71.242900000000006</v>
      </c>
      <c r="M3562" s="10" t="str">
        <f t="shared" si="335"/>
        <v>C71</v>
      </c>
      <c r="N3562" s="10" t="str">
        <f t="shared" si="336"/>
        <v>C82</v>
      </c>
      <c r="O3562" s="5">
        <f t="shared" si="337"/>
        <v>3.3919831891440975</v>
      </c>
      <c r="P3562" s="22">
        <f>O3562/Explications!$C$8</f>
        <v>0.11306610630480325</v>
      </c>
      <c r="Q3562" s="7" t="str">
        <f t="shared" si="338"/>
        <v>C82</v>
      </c>
      <c r="R3562" s="7" t="str">
        <f t="shared" si="339"/>
        <v>C71</v>
      </c>
      <c r="S3562" s="18">
        <f t="shared" si="340"/>
        <v>3.3919831891440975</v>
      </c>
      <c r="T3562" s="18">
        <f>S3562/Explications!$C$8</f>
        <v>0.11306610630480325</v>
      </c>
    </row>
    <row r="3563" spans="7:20">
      <c r="G3563" s="7" t="s">
        <v>87</v>
      </c>
      <c r="H3563" s="7" t="s">
        <v>99</v>
      </c>
      <c r="I3563" s="7">
        <v>46.816299999999998</v>
      </c>
      <c r="J3563" s="7">
        <v>-71.210300000000004</v>
      </c>
      <c r="K3563" s="7">
        <v>46.8157</v>
      </c>
      <c r="L3563" s="7">
        <v>-71.201899999999995</v>
      </c>
      <c r="M3563" s="10" t="str">
        <f t="shared" si="335"/>
        <v>C71</v>
      </c>
      <c r="N3563" s="10" t="str">
        <f t="shared" si="336"/>
        <v>C83</v>
      </c>
      <c r="O3563" s="5">
        <f t="shared" si="337"/>
        <v>0.64267479161561392</v>
      </c>
      <c r="P3563" s="22">
        <f>O3563/Explications!$C$8</f>
        <v>2.1422493053853797E-2</v>
      </c>
      <c r="Q3563" s="7" t="str">
        <f t="shared" si="338"/>
        <v>C83</v>
      </c>
      <c r="R3563" s="7" t="str">
        <f t="shared" si="339"/>
        <v>C71</v>
      </c>
      <c r="S3563" s="18">
        <f t="shared" si="340"/>
        <v>0.64267479161561392</v>
      </c>
      <c r="T3563" s="18">
        <f>S3563/Explications!$C$8</f>
        <v>2.1422493053853797E-2</v>
      </c>
    </row>
    <row r="3564" spans="7:20">
      <c r="G3564" s="7" t="s">
        <v>87</v>
      </c>
      <c r="H3564" s="7" t="s">
        <v>100</v>
      </c>
      <c r="I3564" s="7">
        <v>46.816299999999998</v>
      </c>
      <c r="J3564" s="7">
        <v>-71.210300000000004</v>
      </c>
      <c r="K3564" s="7">
        <v>46.837600000000002</v>
      </c>
      <c r="L3564" s="7">
        <v>-71.196299999999994</v>
      </c>
      <c r="M3564" s="10" t="str">
        <f t="shared" si="335"/>
        <v>C71</v>
      </c>
      <c r="N3564" s="10" t="str">
        <f t="shared" si="336"/>
        <v>C84</v>
      </c>
      <c r="O3564" s="5">
        <f t="shared" si="337"/>
        <v>2.5969301148540218</v>
      </c>
      <c r="P3564" s="22">
        <f>O3564/Explications!$C$8</f>
        <v>8.6564337161800731E-2</v>
      </c>
      <c r="Q3564" s="7" t="str">
        <f t="shared" si="338"/>
        <v>C84</v>
      </c>
      <c r="R3564" s="7" t="str">
        <f t="shared" si="339"/>
        <v>C71</v>
      </c>
      <c r="S3564" s="18">
        <f t="shared" si="340"/>
        <v>2.5969301148540218</v>
      </c>
      <c r="T3564" s="18">
        <f>S3564/Explications!$C$8</f>
        <v>8.6564337161800731E-2</v>
      </c>
    </row>
    <row r="3565" spans="7:20">
      <c r="G3565" s="7" t="s">
        <v>87</v>
      </c>
      <c r="H3565" s="7" t="s">
        <v>101</v>
      </c>
      <c r="I3565" s="7">
        <v>46.816299999999998</v>
      </c>
      <c r="J3565" s="7">
        <v>-71.210300000000004</v>
      </c>
      <c r="K3565" s="7">
        <v>46.7988</v>
      </c>
      <c r="L3565" s="7">
        <v>-71.318200000000004</v>
      </c>
      <c r="M3565" s="10" t="str">
        <f t="shared" si="335"/>
        <v>C71</v>
      </c>
      <c r="N3565" s="10" t="str">
        <f t="shared" si="336"/>
        <v>C85</v>
      </c>
      <c r="O3565" s="5">
        <f t="shared" si="337"/>
        <v>8.4393992584404636</v>
      </c>
      <c r="P3565" s="22">
        <f>O3565/Explications!$C$8</f>
        <v>0.28131330861468212</v>
      </c>
      <c r="Q3565" s="7" t="str">
        <f t="shared" si="338"/>
        <v>C85</v>
      </c>
      <c r="R3565" s="7" t="str">
        <f t="shared" si="339"/>
        <v>C71</v>
      </c>
      <c r="S3565" s="18">
        <f t="shared" si="340"/>
        <v>8.4393992584404636</v>
      </c>
      <c r="T3565" s="18">
        <f>S3565/Explications!$C$8</f>
        <v>0.28131330861468212</v>
      </c>
    </row>
    <row r="3566" spans="7:20">
      <c r="G3566" s="7" t="s">
        <v>88</v>
      </c>
      <c r="H3566" s="7" t="s">
        <v>89</v>
      </c>
      <c r="I3566" s="7">
        <v>46.807000000000002</v>
      </c>
      <c r="J3566" s="7">
        <v>-71.3566</v>
      </c>
      <c r="K3566" s="7">
        <v>46.822899999999997</v>
      </c>
      <c r="L3566" s="7">
        <v>-71.341899999999995</v>
      </c>
      <c r="M3566" s="10" t="str">
        <f t="shared" si="335"/>
        <v>C72</v>
      </c>
      <c r="N3566" s="10" t="str">
        <f t="shared" si="336"/>
        <v>C73</v>
      </c>
      <c r="O3566" s="5">
        <f t="shared" si="337"/>
        <v>2.0921629804172381</v>
      </c>
      <c r="P3566" s="22">
        <f>O3566/Explications!$C$8</f>
        <v>6.9738766013907938E-2</v>
      </c>
      <c r="Q3566" s="7" t="str">
        <f t="shared" si="338"/>
        <v>C73</v>
      </c>
      <c r="R3566" s="7" t="str">
        <f t="shared" si="339"/>
        <v>C72</v>
      </c>
      <c r="S3566" s="18">
        <f t="shared" si="340"/>
        <v>2.0921629804172381</v>
      </c>
      <c r="T3566" s="18">
        <f>S3566/Explications!$C$8</f>
        <v>6.9738766013907938E-2</v>
      </c>
    </row>
    <row r="3567" spans="7:20">
      <c r="G3567" s="7" t="s">
        <v>88</v>
      </c>
      <c r="H3567" s="7" t="s">
        <v>90</v>
      </c>
      <c r="I3567" s="7">
        <v>46.807000000000002</v>
      </c>
      <c r="J3567" s="7">
        <v>-71.3566</v>
      </c>
      <c r="K3567" s="7">
        <v>46.730699999999999</v>
      </c>
      <c r="L3567" s="7">
        <v>-71.261099999999999</v>
      </c>
      <c r="M3567" s="10" t="str">
        <f t="shared" si="335"/>
        <v>C72</v>
      </c>
      <c r="N3567" s="10" t="str">
        <f t="shared" si="336"/>
        <v>C74</v>
      </c>
      <c r="O3567" s="5">
        <f t="shared" si="337"/>
        <v>11.175188525917637</v>
      </c>
      <c r="P3567" s="22">
        <f>O3567/Explications!$C$8</f>
        <v>0.37250628419725457</v>
      </c>
      <c r="Q3567" s="7" t="str">
        <f t="shared" si="338"/>
        <v>C74</v>
      </c>
      <c r="R3567" s="7" t="str">
        <f t="shared" si="339"/>
        <v>C72</v>
      </c>
      <c r="S3567" s="18">
        <f t="shared" si="340"/>
        <v>11.175188525917637</v>
      </c>
      <c r="T3567" s="18">
        <f>S3567/Explications!$C$8</f>
        <v>0.37250628419725457</v>
      </c>
    </row>
    <row r="3568" spans="7:20">
      <c r="G3568" s="7" t="s">
        <v>88</v>
      </c>
      <c r="H3568" s="7" t="s">
        <v>91</v>
      </c>
      <c r="I3568" s="7">
        <v>46.807000000000002</v>
      </c>
      <c r="J3568" s="7">
        <v>-71.3566</v>
      </c>
      <c r="K3568" s="7">
        <v>46.840600000000002</v>
      </c>
      <c r="L3568" s="7">
        <v>-71.289100000000005</v>
      </c>
      <c r="M3568" s="10" t="str">
        <f t="shared" si="335"/>
        <v>C72</v>
      </c>
      <c r="N3568" s="10" t="str">
        <f t="shared" si="336"/>
        <v>C75</v>
      </c>
      <c r="O3568" s="5">
        <f t="shared" si="337"/>
        <v>6.3509253868033761</v>
      </c>
      <c r="P3568" s="22">
        <f>O3568/Explications!$C$8</f>
        <v>0.21169751289344588</v>
      </c>
      <c r="Q3568" s="7" t="str">
        <f t="shared" si="338"/>
        <v>C75</v>
      </c>
      <c r="R3568" s="7" t="str">
        <f t="shared" si="339"/>
        <v>C72</v>
      </c>
      <c r="S3568" s="18">
        <f t="shared" si="340"/>
        <v>6.3509253868033761</v>
      </c>
      <c r="T3568" s="18">
        <f>S3568/Explications!$C$8</f>
        <v>0.21169751289344588</v>
      </c>
    </row>
    <row r="3569" spans="7:20">
      <c r="G3569" s="7" t="s">
        <v>88</v>
      </c>
      <c r="H3569" s="7" t="s">
        <v>92</v>
      </c>
      <c r="I3569" s="7">
        <v>46.807000000000002</v>
      </c>
      <c r="J3569" s="7">
        <v>-71.3566</v>
      </c>
      <c r="K3569" s="7">
        <v>46.840600000000002</v>
      </c>
      <c r="L3569" s="7">
        <v>-71.281599999999997</v>
      </c>
      <c r="M3569" s="10" t="str">
        <f t="shared" si="335"/>
        <v>C72</v>
      </c>
      <c r="N3569" s="10" t="str">
        <f t="shared" si="336"/>
        <v>C76</v>
      </c>
      <c r="O3569" s="5">
        <f t="shared" si="337"/>
        <v>6.8206366557459921</v>
      </c>
      <c r="P3569" s="22">
        <f>O3569/Explications!$C$8</f>
        <v>0.22735455519153308</v>
      </c>
      <c r="Q3569" s="7" t="str">
        <f t="shared" si="338"/>
        <v>C76</v>
      </c>
      <c r="R3569" s="7" t="str">
        <f t="shared" si="339"/>
        <v>C72</v>
      </c>
      <c r="S3569" s="18">
        <f t="shared" si="340"/>
        <v>6.8206366557459921</v>
      </c>
      <c r="T3569" s="18">
        <f>S3569/Explications!$C$8</f>
        <v>0.22735455519153308</v>
      </c>
    </row>
    <row r="3570" spans="7:20">
      <c r="G3570" s="7" t="s">
        <v>88</v>
      </c>
      <c r="H3570" s="7" t="s">
        <v>93</v>
      </c>
      <c r="I3570" s="7">
        <v>46.807000000000002</v>
      </c>
      <c r="J3570" s="7">
        <v>-71.3566</v>
      </c>
      <c r="K3570" s="7">
        <v>46.839399999999998</v>
      </c>
      <c r="L3570" s="7">
        <v>-71.282600000000002</v>
      </c>
      <c r="M3570" s="10" t="str">
        <f t="shared" si="335"/>
        <v>C72</v>
      </c>
      <c r="N3570" s="10" t="str">
        <f t="shared" si="336"/>
        <v>C77</v>
      </c>
      <c r="O3570" s="5">
        <f t="shared" si="337"/>
        <v>6.684310020583295</v>
      </c>
      <c r="P3570" s="22">
        <f>O3570/Explications!$C$8</f>
        <v>0.22281033401944317</v>
      </c>
      <c r="Q3570" s="7" t="str">
        <f t="shared" si="338"/>
        <v>C77</v>
      </c>
      <c r="R3570" s="7" t="str">
        <f t="shared" si="339"/>
        <v>C72</v>
      </c>
      <c r="S3570" s="18">
        <f t="shared" si="340"/>
        <v>6.684310020583295</v>
      </c>
      <c r="T3570" s="18">
        <f>S3570/Explications!$C$8</f>
        <v>0.22281033401944317</v>
      </c>
    </row>
    <row r="3571" spans="7:20">
      <c r="G3571" s="7" t="s">
        <v>88</v>
      </c>
      <c r="H3571" s="7" t="s">
        <v>94</v>
      </c>
      <c r="I3571" s="7">
        <v>46.807000000000002</v>
      </c>
      <c r="J3571" s="7">
        <v>-71.3566</v>
      </c>
      <c r="K3571" s="7">
        <v>46.788499999999999</v>
      </c>
      <c r="L3571" s="7">
        <v>-71.282399999999996</v>
      </c>
      <c r="M3571" s="10" t="str">
        <f t="shared" si="335"/>
        <v>C72</v>
      </c>
      <c r="N3571" s="10" t="str">
        <f t="shared" si="336"/>
        <v>C78</v>
      </c>
      <c r="O3571" s="5">
        <f t="shared" si="337"/>
        <v>6.0111472296344175</v>
      </c>
      <c r="P3571" s="22">
        <f>O3571/Explications!$C$8</f>
        <v>0.20037157432114724</v>
      </c>
      <c r="Q3571" s="7" t="str">
        <f t="shared" si="338"/>
        <v>C78</v>
      </c>
      <c r="R3571" s="7" t="str">
        <f t="shared" si="339"/>
        <v>C72</v>
      </c>
      <c r="S3571" s="18">
        <f t="shared" si="340"/>
        <v>6.0111472296344175</v>
      </c>
      <c r="T3571" s="18">
        <f>S3571/Explications!$C$8</f>
        <v>0.20037157432114724</v>
      </c>
    </row>
    <row r="3572" spans="7:20">
      <c r="G3572" s="7" t="s">
        <v>88</v>
      </c>
      <c r="H3572" s="7" t="s">
        <v>95</v>
      </c>
      <c r="I3572" s="7">
        <v>46.807000000000002</v>
      </c>
      <c r="J3572" s="7">
        <v>-71.3566</v>
      </c>
      <c r="K3572" s="7">
        <v>46.840699999999998</v>
      </c>
      <c r="L3572" s="7">
        <v>-71.325400000000002</v>
      </c>
      <c r="M3572" s="10" t="str">
        <f t="shared" si="335"/>
        <v>C72</v>
      </c>
      <c r="N3572" s="10" t="str">
        <f t="shared" si="336"/>
        <v>C79</v>
      </c>
      <c r="O3572" s="5">
        <f t="shared" si="337"/>
        <v>4.4358890208822919</v>
      </c>
      <c r="P3572" s="22">
        <f>O3572/Explications!$C$8</f>
        <v>0.14786296736274307</v>
      </c>
      <c r="Q3572" s="7" t="str">
        <f t="shared" si="338"/>
        <v>C79</v>
      </c>
      <c r="R3572" s="7" t="str">
        <f t="shared" si="339"/>
        <v>C72</v>
      </c>
      <c r="S3572" s="18">
        <f t="shared" si="340"/>
        <v>4.4358890208822919</v>
      </c>
      <c r="T3572" s="18">
        <f>S3572/Explications!$C$8</f>
        <v>0.14786296736274307</v>
      </c>
    </row>
    <row r="3573" spans="7:20">
      <c r="G3573" s="7" t="s">
        <v>88</v>
      </c>
      <c r="H3573" s="7" t="s">
        <v>96</v>
      </c>
      <c r="I3573" s="7">
        <v>46.807000000000002</v>
      </c>
      <c r="J3573" s="7">
        <v>-71.3566</v>
      </c>
      <c r="K3573" s="7">
        <v>46.798400000000001</v>
      </c>
      <c r="L3573" s="7">
        <v>-71.183199999999999</v>
      </c>
      <c r="M3573" s="10" t="str">
        <f t="shared" ref="M3573:M3586" si="341">G3573</f>
        <v>C72</v>
      </c>
      <c r="N3573" s="10" t="str">
        <f t="shared" ref="N3573:N3586" si="342">H3573</f>
        <v>C80</v>
      </c>
      <c r="O3573" s="5">
        <f t="shared" ref="O3573:O3586" si="343">ACOS(SIN(RADIANS(I3573))*SIN(RADIANS(K3573))+COS(RADIANS(I3573))*COS(RADIANS(K3573))*COS(RADIANS(J3573-L3573)))*6371</f>
        <v>13.232822877855714</v>
      </c>
      <c r="P3573" s="22">
        <f>O3573/Explications!$C$8</f>
        <v>0.44109409592852378</v>
      </c>
      <c r="Q3573" s="7" t="str">
        <f t="shared" si="338"/>
        <v>C80</v>
      </c>
      <c r="R3573" s="7" t="str">
        <f t="shared" si="339"/>
        <v>C72</v>
      </c>
      <c r="S3573" s="18">
        <f t="shared" si="340"/>
        <v>13.232822877855714</v>
      </c>
      <c r="T3573" s="18">
        <f>S3573/Explications!$C$8</f>
        <v>0.44109409592852378</v>
      </c>
    </row>
    <row r="3574" spans="7:20">
      <c r="G3574" s="7" t="s">
        <v>88</v>
      </c>
      <c r="H3574" s="7" t="s">
        <v>97</v>
      </c>
      <c r="I3574" s="7">
        <v>46.807000000000002</v>
      </c>
      <c r="J3574" s="7">
        <v>-71.3566</v>
      </c>
      <c r="K3574" s="7">
        <v>46.724800000000002</v>
      </c>
      <c r="L3574" s="7">
        <v>-71.2988</v>
      </c>
      <c r="M3574" s="10" t="str">
        <f t="shared" si="341"/>
        <v>C72</v>
      </c>
      <c r="N3574" s="10" t="str">
        <f t="shared" si="342"/>
        <v>C81</v>
      </c>
      <c r="O3574" s="5">
        <f t="shared" si="343"/>
        <v>10.145192991857897</v>
      </c>
      <c r="P3574" s="22">
        <f>O3574/Explications!$C$8</f>
        <v>0.33817309972859655</v>
      </c>
      <c r="Q3574" s="7" t="str">
        <f t="shared" si="338"/>
        <v>C81</v>
      </c>
      <c r="R3574" s="7" t="str">
        <f t="shared" si="339"/>
        <v>C72</v>
      </c>
      <c r="S3574" s="18">
        <f t="shared" si="340"/>
        <v>10.145192991857897</v>
      </c>
      <c r="T3574" s="18">
        <f>S3574/Explications!$C$8</f>
        <v>0.33817309972859655</v>
      </c>
    </row>
    <row r="3575" spans="7:20">
      <c r="G3575" s="7" t="s">
        <v>88</v>
      </c>
      <c r="H3575" s="7" t="s">
        <v>98</v>
      </c>
      <c r="I3575" s="7">
        <v>46.807000000000002</v>
      </c>
      <c r="J3575" s="7">
        <v>-71.3566</v>
      </c>
      <c r="K3575" s="7">
        <v>46.795499999999997</v>
      </c>
      <c r="L3575" s="7">
        <v>-71.242900000000006</v>
      </c>
      <c r="M3575" s="10" t="str">
        <f t="shared" si="341"/>
        <v>C72</v>
      </c>
      <c r="N3575" s="10" t="str">
        <f t="shared" si="342"/>
        <v>C82</v>
      </c>
      <c r="O3575" s="5">
        <f t="shared" si="343"/>
        <v>8.7483941046765175</v>
      </c>
      <c r="P3575" s="22">
        <f>O3575/Explications!$C$8</f>
        <v>0.29161313682255058</v>
      </c>
      <c r="Q3575" s="7" t="str">
        <f t="shared" si="338"/>
        <v>C82</v>
      </c>
      <c r="R3575" s="7" t="str">
        <f t="shared" si="339"/>
        <v>C72</v>
      </c>
      <c r="S3575" s="18">
        <f t="shared" si="340"/>
        <v>8.7483941046765175</v>
      </c>
      <c r="T3575" s="18">
        <f>S3575/Explications!$C$8</f>
        <v>0.29161313682255058</v>
      </c>
    </row>
    <row r="3576" spans="7:20">
      <c r="G3576" s="7" t="s">
        <v>88</v>
      </c>
      <c r="H3576" s="7" t="s">
        <v>99</v>
      </c>
      <c r="I3576" s="7">
        <v>46.807000000000002</v>
      </c>
      <c r="J3576" s="7">
        <v>-71.3566</v>
      </c>
      <c r="K3576" s="7">
        <v>46.8157</v>
      </c>
      <c r="L3576" s="7">
        <v>-71.201899999999995</v>
      </c>
      <c r="M3576" s="10" t="str">
        <f t="shared" si="341"/>
        <v>C72</v>
      </c>
      <c r="N3576" s="10" t="str">
        <f t="shared" si="342"/>
        <v>C83</v>
      </c>
      <c r="O3576" s="5">
        <f t="shared" si="343"/>
        <v>11.812672907174358</v>
      </c>
      <c r="P3576" s="22">
        <f>O3576/Explications!$C$8</f>
        <v>0.3937557635724786</v>
      </c>
      <c r="Q3576" s="7" t="str">
        <f t="shared" si="338"/>
        <v>C83</v>
      </c>
      <c r="R3576" s="7" t="str">
        <f t="shared" si="339"/>
        <v>C72</v>
      </c>
      <c r="S3576" s="18">
        <f t="shared" si="340"/>
        <v>11.812672907174358</v>
      </c>
      <c r="T3576" s="18">
        <f>S3576/Explications!$C$8</f>
        <v>0.3937557635724786</v>
      </c>
    </row>
    <row r="3577" spans="7:20">
      <c r="G3577" s="7" t="s">
        <v>88</v>
      </c>
      <c r="H3577" s="7" t="s">
        <v>100</v>
      </c>
      <c r="I3577" s="7">
        <v>46.807000000000002</v>
      </c>
      <c r="J3577" s="7">
        <v>-71.3566</v>
      </c>
      <c r="K3577" s="7">
        <v>46.837600000000002</v>
      </c>
      <c r="L3577" s="7">
        <v>-71.196299999999994</v>
      </c>
      <c r="M3577" s="10" t="str">
        <f t="shared" si="341"/>
        <v>C72</v>
      </c>
      <c r="N3577" s="10" t="str">
        <f t="shared" si="342"/>
        <v>C84</v>
      </c>
      <c r="O3577" s="5">
        <f t="shared" si="343"/>
        <v>12.662403985045419</v>
      </c>
      <c r="P3577" s="22">
        <f>O3577/Explications!$C$8</f>
        <v>0.4220801328348473</v>
      </c>
      <c r="Q3577" s="7" t="str">
        <f t="shared" si="338"/>
        <v>C84</v>
      </c>
      <c r="R3577" s="7" t="str">
        <f t="shared" si="339"/>
        <v>C72</v>
      </c>
      <c r="S3577" s="18">
        <f t="shared" si="340"/>
        <v>12.662403985045419</v>
      </c>
      <c r="T3577" s="18">
        <f>S3577/Explications!$C$8</f>
        <v>0.4220801328348473</v>
      </c>
    </row>
    <row r="3578" spans="7:20">
      <c r="G3578" s="7" t="s">
        <v>88</v>
      </c>
      <c r="H3578" s="7" t="s">
        <v>101</v>
      </c>
      <c r="I3578" s="7">
        <v>46.807000000000002</v>
      </c>
      <c r="J3578" s="7">
        <v>-71.3566</v>
      </c>
      <c r="K3578" s="7">
        <v>46.7988</v>
      </c>
      <c r="L3578" s="7">
        <v>-71.318200000000004</v>
      </c>
      <c r="M3578" s="10" t="str">
        <f t="shared" si="341"/>
        <v>C72</v>
      </c>
      <c r="N3578" s="10" t="str">
        <f t="shared" si="342"/>
        <v>C85</v>
      </c>
      <c r="O3578" s="5">
        <f t="shared" si="343"/>
        <v>3.0617019779809898</v>
      </c>
      <c r="P3578" s="22">
        <f>O3578/Explications!$C$8</f>
        <v>0.10205673259936633</v>
      </c>
      <c r="Q3578" s="7" t="str">
        <f t="shared" si="338"/>
        <v>C85</v>
      </c>
      <c r="R3578" s="7" t="str">
        <f t="shared" si="339"/>
        <v>C72</v>
      </c>
      <c r="S3578" s="18">
        <f t="shared" si="340"/>
        <v>3.0617019779809898</v>
      </c>
      <c r="T3578" s="18">
        <f>S3578/Explications!$C$8</f>
        <v>0.10205673259936633</v>
      </c>
    </row>
    <row r="3579" spans="7:20">
      <c r="G3579" s="7" t="s">
        <v>89</v>
      </c>
      <c r="H3579" s="7" t="s">
        <v>90</v>
      </c>
      <c r="I3579" s="7">
        <v>46.822899999999997</v>
      </c>
      <c r="J3579" s="7">
        <v>-71.341899999999995</v>
      </c>
      <c r="K3579" s="7">
        <v>46.730699999999999</v>
      </c>
      <c r="L3579" s="7">
        <v>-71.261099999999999</v>
      </c>
      <c r="M3579" s="10" t="str">
        <f t="shared" si="341"/>
        <v>C73</v>
      </c>
      <c r="N3579" s="10" t="str">
        <f t="shared" si="342"/>
        <v>C74</v>
      </c>
      <c r="O3579" s="5">
        <f t="shared" si="343"/>
        <v>11.956855599031011</v>
      </c>
      <c r="P3579" s="22">
        <f>O3579/Explications!$C$8</f>
        <v>0.39856185330103366</v>
      </c>
      <c r="Q3579" s="7" t="str">
        <f t="shared" si="338"/>
        <v>C74</v>
      </c>
      <c r="R3579" s="7" t="str">
        <f t="shared" si="339"/>
        <v>C73</v>
      </c>
      <c r="S3579" s="18">
        <f t="shared" si="340"/>
        <v>11.956855599031011</v>
      </c>
      <c r="T3579" s="18">
        <f>S3579/Explications!$C$8</f>
        <v>0.39856185330103366</v>
      </c>
    </row>
    <row r="3580" spans="7:20">
      <c r="G3580" s="7" t="s">
        <v>89</v>
      </c>
      <c r="H3580" s="7" t="s">
        <v>91</v>
      </c>
      <c r="I3580" s="7">
        <v>46.822899999999997</v>
      </c>
      <c r="J3580" s="7">
        <v>-71.341899999999995</v>
      </c>
      <c r="K3580" s="7">
        <v>46.840600000000002</v>
      </c>
      <c r="L3580" s="7">
        <v>-71.289100000000005</v>
      </c>
      <c r="M3580" s="10" t="str">
        <f t="shared" si="341"/>
        <v>C73</v>
      </c>
      <c r="N3580" s="10" t="str">
        <f t="shared" si="342"/>
        <v>C75</v>
      </c>
      <c r="O3580" s="5">
        <f t="shared" si="343"/>
        <v>4.4729438593064579</v>
      </c>
      <c r="P3580" s="22">
        <f>O3580/Explications!$C$8</f>
        <v>0.1490981286435486</v>
      </c>
      <c r="Q3580" s="7" t="str">
        <f t="shared" si="338"/>
        <v>C75</v>
      </c>
      <c r="R3580" s="7" t="str">
        <f t="shared" si="339"/>
        <v>C73</v>
      </c>
      <c r="S3580" s="18">
        <f t="shared" si="340"/>
        <v>4.4729438593064579</v>
      </c>
      <c r="T3580" s="18">
        <f>S3580/Explications!$C$8</f>
        <v>0.1490981286435486</v>
      </c>
    </row>
    <row r="3581" spans="7:20">
      <c r="G3581" s="7" t="s">
        <v>89</v>
      </c>
      <c r="H3581" s="7" t="s">
        <v>92</v>
      </c>
      <c r="I3581" s="7">
        <v>46.822899999999997</v>
      </c>
      <c r="J3581" s="7">
        <v>-71.341899999999995</v>
      </c>
      <c r="K3581" s="7">
        <v>46.840600000000002</v>
      </c>
      <c r="L3581" s="7">
        <v>-71.281599999999997</v>
      </c>
      <c r="M3581" s="10" t="str">
        <f t="shared" si="341"/>
        <v>C73</v>
      </c>
      <c r="N3581" s="10" t="str">
        <f t="shared" si="342"/>
        <v>C76</v>
      </c>
      <c r="O3581" s="5">
        <f t="shared" si="343"/>
        <v>4.9916094942797997</v>
      </c>
      <c r="P3581" s="22">
        <f>O3581/Explications!$C$8</f>
        <v>0.16638698314265998</v>
      </c>
      <c r="Q3581" s="7" t="str">
        <f t="shared" si="338"/>
        <v>C76</v>
      </c>
      <c r="R3581" s="7" t="str">
        <f t="shared" si="339"/>
        <v>C73</v>
      </c>
      <c r="S3581" s="18">
        <f t="shared" si="340"/>
        <v>4.9916094942797997</v>
      </c>
      <c r="T3581" s="18">
        <f>S3581/Explications!$C$8</f>
        <v>0.16638698314265998</v>
      </c>
    </row>
    <row r="3582" spans="7:20">
      <c r="G3582" s="7" t="s">
        <v>89</v>
      </c>
      <c r="H3582" s="7" t="s">
        <v>93</v>
      </c>
      <c r="I3582" s="7">
        <v>46.822899999999997</v>
      </c>
      <c r="J3582" s="7">
        <v>-71.341899999999995</v>
      </c>
      <c r="K3582" s="7">
        <v>46.839399999999998</v>
      </c>
      <c r="L3582" s="7">
        <v>-71.282600000000002</v>
      </c>
      <c r="M3582" s="10" t="str">
        <f t="shared" si="341"/>
        <v>C73</v>
      </c>
      <c r="N3582" s="10" t="str">
        <f t="shared" si="342"/>
        <v>C77</v>
      </c>
      <c r="O3582" s="5">
        <f t="shared" si="343"/>
        <v>4.8700150866312333</v>
      </c>
      <c r="P3582" s="22">
        <f>O3582/Explications!$C$8</f>
        <v>0.16233383622104111</v>
      </c>
      <c r="Q3582" s="7" t="str">
        <f t="shared" si="338"/>
        <v>C77</v>
      </c>
      <c r="R3582" s="7" t="str">
        <f t="shared" si="339"/>
        <v>C73</v>
      </c>
      <c r="S3582" s="18">
        <f t="shared" si="340"/>
        <v>4.8700150866312333</v>
      </c>
      <c r="T3582" s="18">
        <f>S3582/Explications!$C$8</f>
        <v>0.16233383622104111</v>
      </c>
    </row>
    <row r="3583" spans="7:20">
      <c r="G3583" s="7" t="s">
        <v>89</v>
      </c>
      <c r="H3583" s="7" t="s">
        <v>94</v>
      </c>
      <c r="I3583" s="7">
        <v>46.822899999999997</v>
      </c>
      <c r="J3583" s="7">
        <v>-71.341899999999995</v>
      </c>
      <c r="K3583" s="7">
        <v>46.788499999999999</v>
      </c>
      <c r="L3583" s="7">
        <v>-71.282399999999996</v>
      </c>
      <c r="M3583" s="10" t="str">
        <f t="shared" si="341"/>
        <v>C73</v>
      </c>
      <c r="N3583" s="10" t="str">
        <f t="shared" si="342"/>
        <v>C78</v>
      </c>
      <c r="O3583" s="5">
        <f t="shared" si="343"/>
        <v>5.927832861213485</v>
      </c>
      <c r="P3583" s="22">
        <f>O3583/Explications!$C$8</f>
        <v>0.19759442870711616</v>
      </c>
      <c r="Q3583" s="7" t="str">
        <f t="shared" si="338"/>
        <v>C78</v>
      </c>
      <c r="R3583" s="7" t="str">
        <f t="shared" si="339"/>
        <v>C73</v>
      </c>
      <c r="S3583" s="18">
        <f t="shared" si="340"/>
        <v>5.927832861213485</v>
      </c>
      <c r="T3583" s="18">
        <f>S3583/Explications!$C$8</f>
        <v>0.19759442870711616</v>
      </c>
    </row>
    <row r="3584" spans="7:20">
      <c r="G3584" s="7" t="s">
        <v>89</v>
      </c>
      <c r="H3584" s="7" t="s">
        <v>95</v>
      </c>
      <c r="I3584" s="7">
        <v>46.822899999999997</v>
      </c>
      <c r="J3584" s="7">
        <v>-71.341899999999995</v>
      </c>
      <c r="K3584" s="7">
        <v>46.840699999999998</v>
      </c>
      <c r="L3584" s="7">
        <v>-71.325400000000002</v>
      </c>
      <c r="M3584" s="10" t="str">
        <f t="shared" si="341"/>
        <v>C73</v>
      </c>
      <c r="N3584" s="10" t="str">
        <f t="shared" si="342"/>
        <v>C79</v>
      </c>
      <c r="O3584" s="5">
        <f t="shared" si="343"/>
        <v>2.3437264446549304</v>
      </c>
      <c r="P3584" s="22">
        <f>O3584/Explications!$C$8</f>
        <v>7.8124214821831017E-2</v>
      </c>
      <c r="Q3584" s="7" t="str">
        <f t="shared" si="338"/>
        <v>C79</v>
      </c>
      <c r="R3584" s="7" t="str">
        <f t="shared" si="339"/>
        <v>C73</v>
      </c>
      <c r="S3584" s="18">
        <f t="shared" si="340"/>
        <v>2.3437264446549304</v>
      </c>
      <c r="T3584" s="18">
        <f>S3584/Explications!$C$8</f>
        <v>7.8124214821831017E-2</v>
      </c>
    </row>
    <row r="3585" spans="7:20">
      <c r="G3585" s="7" t="s">
        <v>89</v>
      </c>
      <c r="H3585" s="7" t="s">
        <v>96</v>
      </c>
      <c r="I3585" s="7">
        <v>46.822899999999997</v>
      </c>
      <c r="J3585" s="7">
        <v>-71.341899999999995</v>
      </c>
      <c r="K3585" s="7">
        <v>46.798400000000001</v>
      </c>
      <c r="L3585" s="7">
        <v>-71.183199999999999</v>
      </c>
      <c r="M3585" s="10" t="str">
        <f t="shared" si="341"/>
        <v>C73</v>
      </c>
      <c r="N3585" s="10" t="str">
        <f t="shared" si="342"/>
        <v>C80</v>
      </c>
      <c r="O3585" s="5">
        <f t="shared" si="343"/>
        <v>12.380997974394658</v>
      </c>
      <c r="P3585" s="22">
        <f>O3585/Explications!$C$8</f>
        <v>0.41269993247982195</v>
      </c>
      <c r="Q3585" s="7" t="str">
        <f t="shared" si="338"/>
        <v>C80</v>
      </c>
      <c r="R3585" s="7" t="str">
        <f t="shared" si="339"/>
        <v>C73</v>
      </c>
      <c r="S3585" s="18">
        <f t="shared" si="340"/>
        <v>12.380997974394658</v>
      </c>
      <c r="T3585" s="18">
        <f>S3585/Explications!$C$8</f>
        <v>0.41269993247982195</v>
      </c>
    </row>
    <row r="3586" spans="7:20">
      <c r="G3586" s="7" t="s">
        <v>89</v>
      </c>
      <c r="H3586" s="7" t="s">
        <v>97</v>
      </c>
      <c r="I3586" s="7">
        <v>46.822899999999997</v>
      </c>
      <c r="J3586" s="7">
        <v>-71.341899999999995</v>
      </c>
      <c r="K3586" s="7">
        <v>46.724800000000002</v>
      </c>
      <c r="L3586" s="7">
        <v>-71.2988</v>
      </c>
      <c r="M3586" s="10" t="str">
        <f t="shared" si="341"/>
        <v>C73</v>
      </c>
      <c r="N3586" s="10" t="str">
        <f t="shared" si="342"/>
        <v>C81</v>
      </c>
      <c r="O3586" s="5">
        <f t="shared" si="343"/>
        <v>11.391343658983569</v>
      </c>
      <c r="P3586" s="22">
        <f>O3586/Explications!$C$8</f>
        <v>0.37971145529945233</v>
      </c>
      <c r="Q3586" s="7" t="str">
        <f t="shared" si="338"/>
        <v>C81</v>
      </c>
      <c r="R3586" s="7" t="str">
        <f t="shared" si="339"/>
        <v>C73</v>
      </c>
      <c r="S3586" s="18">
        <f t="shared" si="340"/>
        <v>11.391343658983569</v>
      </c>
      <c r="T3586" s="18">
        <f>S3586/Explications!$C$8</f>
        <v>0.37971145529945233</v>
      </c>
    </row>
    <row r="3587" spans="7:20">
      <c r="G3587" s="7" t="s">
        <v>89</v>
      </c>
      <c r="H3587" s="7" t="s">
        <v>98</v>
      </c>
      <c r="I3587" s="7">
        <v>46.822899999999997</v>
      </c>
      <c r="J3587" s="7">
        <v>-71.341899999999995</v>
      </c>
      <c r="K3587" s="7">
        <v>46.795499999999997</v>
      </c>
      <c r="L3587" s="7">
        <v>-71.242900000000006</v>
      </c>
      <c r="M3587" s="10" t="str">
        <f t="shared" ref="M3587:M3650" si="344">G3587</f>
        <v>C73</v>
      </c>
      <c r="N3587" s="10" t="str">
        <f t="shared" ref="N3587:N3650" si="345">H3587</f>
        <v>C82</v>
      </c>
      <c r="O3587" s="5">
        <f t="shared" ref="O3587:O3650" si="346">ACOS(SIN(RADIANS(I3587))*SIN(RADIANS(K3587))+COS(RADIANS(I3587))*COS(RADIANS(K3587))*COS(RADIANS(J3587-L3587)))*6371</f>
        <v>8.1271119340372309</v>
      </c>
      <c r="P3587" s="22">
        <f>O3587/Explications!$C$8</f>
        <v>0.27090373113457439</v>
      </c>
      <c r="Q3587" s="7" t="str">
        <f t="shared" si="338"/>
        <v>C82</v>
      </c>
      <c r="R3587" s="7" t="str">
        <f t="shared" si="339"/>
        <v>C73</v>
      </c>
      <c r="S3587" s="18">
        <f t="shared" si="340"/>
        <v>8.1271119340372309</v>
      </c>
      <c r="T3587" s="18">
        <f>S3587/Explications!$C$8</f>
        <v>0.27090373113457439</v>
      </c>
    </row>
    <row r="3588" spans="7:20">
      <c r="G3588" s="7" t="s">
        <v>89</v>
      </c>
      <c r="H3588" s="7" t="s">
        <v>99</v>
      </c>
      <c r="I3588" s="7">
        <v>46.822899999999997</v>
      </c>
      <c r="J3588" s="7">
        <v>-71.341899999999995</v>
      </c>
      <c r="K3588" s="7">
        <v>46.8157</v>
      </c>
      <c r="L3588" s="7">
        <v>-71.201899999999995</v>
      </c>
      <c r="M3588" s="10" t="str">
        <f t="shared" si="344"/>
        <v>C73</v>
      </c>
      <c r="N3588" s="10" t="str">
        <f t="shared" si="345"/>
        <v>C83</v>
      </c>
      <c r="O3588" s="5">
        <f t="shared" si="346"/>
        <v>10.682760763628556</v>
      </c>
      <c r="P3588" s="22">
        <f>O3588/Explications!$C$8</f>
        <v>0.3560920254542852</v>
      </c>
      <c r="Q3588" s="7" t="str">
        <f t="shared" ref="Q3588:Q3651" si="347">N3588</f>
        <v>C83</v>
      </c>
      <c r="R3588" s="7" t="str">
        <f t="shared" ref="R3588:R3651" si="348">M3588</f>
        <v>C73</v>
      </c>
      <c r="S3588" s="18">
        <f t="shared" ref="S3588:S3651" si="349">O3588</f>
        <v>10.682760763628556</v>
      </c>
      <c r="T3588" s="18">
        <f>S3588/Explications!$C$8</f>
        <v>0.3560920254542852</v>
      </c>
    </row>
    <row r="3589" spans="7:20">
      <c r="G3589" s="7" t="s">
        <v>89</v>
      </c>
      <c r="H3589" s="7" t="s">
        <v>100</v>
      </c>
      <c r="I3589" s="7">
        <v>46.822899999999997</v>
      </c>
      <c r="J3589" s="7">
        <v>-71.341899999999995</v>
      </c>
      <c r="K3589" s="7">
        <v>46.837600000000002</v>
      </c>
      <c r="L3589" s="7">
        <v>-71.196299999999994</v>
      </c>
      <c r="M3589" s="10" t="str">
        <f t="shared" si="344"/>
        <v>C73</v>
      </c>
      <c r="N3589" s="10" t="str">
        <f t="shared" si="345"/>
        <v>C84</v>
      </c>
      <c r="O3589" s="5">
        <f t="shared" si="346"/>
        <v>11.196527148191384</v>
      </c>
      <c r="P3589" s="22">
        <f>O3589/Explications!$C$8</f>
        <v>0.37321757160637947</v>
      </c>
      <c r="Q3589" s="7" t="str">
        <f t="shared" si="347"/>
        <v>C84</v>
      </c>
      <c r="R3589" s="7" t="str">
        <f t="shared" si="348"/>
        <v>C73</v>
      </c>
      <c r="S3589" s="18">
        <f t="shared" si="349"/>
        <v>11.196527148191384</v>
      </c>
      <c r="T3589" s="18">
        <f>S3589/Explications!$C$8</f>
        <v>0.37321757160637947</v>
      </c>
    </row>
    <row r="3590" spans="7:20">
      <c r="G3590" s="7" t="s">
        <v>89</v>
      </c>
      <c r="H3590" s="7" t="s">
        <v>101</v>
      </c>
      <c r="I3590" s="7">
        <v>46.822899999999997</v>
      </c>
      <c r="J3590" s="7">
        <v>-71.341899999999995</v>
      </c>
      <c r="K3590" s="7">
        <v>46.7988</v>
      </c>
      <c r="L3590" s="7">
        <v>-71.318200000000004</v>
      </c>
      <c r="M3590" s="10" t="str">
        <f t="shared" si="344"/>
        <v>C73</v>
      </c>
      <c r="N3590" s="10" t="str">
        <f t="shared" si="345"/>
        <v>C85</v>
      </c>
      <c r="O3590" s="5">
        <f t="shared" si="346"/>
        <v>3.2302354373020794</v>
      </c>
      <c r="P3590" s="22">
        <f>O3590/Explications!$C$8</f>
        <v>0.10767451457673598</v>
      </c>
      <c r="Q3590" s="7" t="str">
        <f t="shared" si="347"/>
        <v>C85</v>
      </c>
      <c r="R3590" s="7" t="str">
        <f t="shared" si="348"/>
        <v>C73</v>
      </c>
      <c r="S3590" s="18">
        <f t="shared" si="349"/>
        <v>3.2302354373020794</v>
      </c>
      <c r="T3590" s="18">
        <f>S3590/Explications!$C$8</f>
        <v>0.10767451457673598</v>
      </c>
    </row>
    <row r="3591" spans="7:20">
      <c r="G3591" s="7" t="s">
        <v>90</v>
      </c>
      <c r="H3591" s="7" t="s">
        <v>91</v>
      </c>
      <c r="I3591" s="7">
        <v>46.730699999999999</v>
      </c>
      <c r="J3591" s="7">
        <v>-71.261099999999999</v>
      </c>
      <c r="K3591" s="7">
        <v>46.840600000000002</v>
      </c>
      <c r="L3591" s="7">
        <v>-71.289100000000005</v>
      </c>
      <c r="M3591" s="10" t="str">
        <f t="shared" si="344"/>
        <v>C74</v>
      </c>
      <c r="N3591" s="10" t="str">
        <f t="shared" si="345"/>
        <v>C75</v>
      </c>
      <c r="O3591" s="5">
        <f t="shared" si="346"/>
        <v>12.404885079463476</v>
      </c>
      <c r="P3591" s="22">
        <f>O3591/Explications!$C$8</f>
        <v>0.41349616931544919</v>
      </c>
      <c r="Q3591" s="7" t="str">
        <f t="shared" si="347"/>
        <v>C75</v>
      </c>
      <c r="R3591" s="7" t="str">
        <f t="shared" si="348"/>
        <v>C74</v>
      </c>
      <c r="S3591" s="18">
        <f t="shared" si="349"/>
        <v>12.404885079463476</v>
      </c>
      <c r="T3591" s="18">
        <f>S3591/Explications!$C$8</f>
        <v>0.41349616931544919</v>
      </c>
    </row>
    <row r="3592" spans="7:20">
      <c r="G3592" s="7" t="s">
        <v>90</v>
      </c>
      <c r="H3592" s="7" t="s">
        <v>92</v>
      </c>
      <c r="I3592" s="7">
        <v>46.730699999999999</v>
      </c>
      <c r="J3592" s="7">
        <v>-71.261099999999999</v>
      </c>
      <c r="K3592" s="7">
        <v>46.840600000000002</v>
      </c>
      <c r="L3592" s="7">
        <v>-71.281599999999997</v>
      </c>
      <c r="M3592" s="10" t="str">
        <f t="shared" si="344"/>
        <v>C74</v>
      </c>
      <c r="N3592" s="10" t="str">
        <f t="shared" si="345"/>
        <v>C76</v>
      </c>
      <c r="O3592" s="5">
        <f t="shared" si="346"/>
        <v>12.319597966757524</v>
      </c>
      <c r="P3592" s="22">
        <f>O3592/Explications!$C$8</f>
        <v>0.41065326555858411</v>
      </c>
      <c r="Q3592" s="7" t="str">
        <f t="shared" si="347"/>
        <v>C76</v>
      </c>
      <c r="R3592" s="7" t="str">
        <f t="shared" si="348"/>
        <v>C74</v>
      </c>
      <c r="S3592" s="18">
        <f t="shared" si="349"/>
        <v>12.319597966757524</v>
      </c>
      <c r="T3592" s="18">
        <f>S3592/Explications!$C$8</f>
        <v>0.41065326555858411</v>
      </c>
    </row>
    <row r="3593" spans="7:20">
      <c r="G3593" s="7" t="s">
        <v>90</v>
      </c>
      <c r="H3593" s="7" t="s">
        <v>93</v>
      </c>
      <c r="I3593" s="7">
        <v>46.730699999999999</v>
      </c>
      <c r="J3593" s="7">
        <v>-71.261099999999999</v>
      </c>
      <c r="K3593" s="7">
        <v>46.839399999999998</v>
      </c>
      <c r="L3593" s="7">
        <v>-71.282600000000002</v>
      </c>
      <c r="M3593" s="10" t="str">
        <f t="shared" si="344"/>
        <v>C74</v>
      </c>
      <c r="N3593" s="10" t="str">
        <f t="shared" si="345"/>
        <v>C77</v>
      </c>
      <c r="O3593" s="5">
        <f t="shared" si="346"/>
        <v>12.19723837795042</v>
      </c>
      <c r="P3593" s="22">
        <f>O3593/Explications!$C$8</f>
        <v>0.40657461259834732</v>
      </c>
      <c r="Q3593" s="7" t="str">
        <f t="shared" si="347"/>
        <v>C77</v>
      </c>
      <c r="R3593" s="7" t="str">
        <f t="shared" si="348"/>
        <v>C74</v>
      </c>
      <c r="S3593" s="18">
        <f t="shared" si="349"/>
        <v>12.19723837795042</v>
      </c>
      <c r="T3593" s="18">
        <f>S3593/Explications!$C$8</f>
        <v>0.40657461259834732</v>
      </c>
    </row>
    <row r="3594" spans="7:20">
      <c r="G3594" s="7" t="s">
        <v>90</v>
      </c>
      <c r="H3594" s="7" t="s">
        <v>94</v>
      </c>
      <c r="I3594" s="7">
        <v>46.730699999999999</v>
      </c>
      <c r="J3594" s="7">
        <v>-71.261099999999999</v>
      </c>
      <c r="K3594" s="7">
        <v>46.788499999999999</v>
      </c>
      <c r="L3594" s="7">
        <v>-71.282399999999996</v>
      </c>
      <c r="M3594" s="10" t="str">
        <f t="shared" si="344"/>
        <v>C74</v>
      </c>
      <c r="N3594" s="10" t="str">
        <f t="shared" si="345"/>
        <v>C78</v>
      </c>
      <c r="O3594" s="5">
        <f t="shared" si="346"/>
        <v>6.6287104657881288</v>
      </c>
      <c r="P3594" s="22">
        <f>O3594/Explications!$C$8</f>
        <v>0.22095701552627095</v>
      </c>
      <c r="Q3594" s="7" t="str">
        <f t="shared" si="347"/>
        <v>C78</v>
      </c>
      <c r="R3594" s="7" t="str">
        <f t="shared" si="348"/>
        <v>C74</v>
      </c>
      <c r="S3594" s="18">
        <f t="shared" si="349"/>
        <v>6.6287104657881288</v>
      </c>
      <c r="T3594" s="18">
        <f>S3594/Explications!$C$8</f>
        <v>0.22095701552627095</v>
      </c>
    </row>
    <row r="3595" spans="7:20">
      <c r="G3595" s="7" t="s">
        <v>90</v>
      </c>
      <c r="H3595" s="7" t="s">
        <v>95</v>
      </c>
      <c r="I3595" s="7">
        <v>46.730699999999999</v>
      </c>
      <c r="J3595" s="7">
        <v>-71.261099999999999</v>
      </c>
      <c r="K3595" s="7">
        <v>46.840699999999998</v>
      </c>
      <c r="L3595" s="7">
        <v>-71.325400000000002</v>
      </c>
      <c r="M3595" s="10" t="str">
        <f t="shared" si="344"/>
        <v>C74</v>
      </c>
      <c r="N3595" s="10" t="str">
        <f t="shared" si="345"/>
        <v>C79</v>
      </c>
      <c r="O3595" s="5">
        <f t="shared" si="346"/>
        <v>13.174824617320168</v>
      </c>
      <c r="P3595" s="22">
        <f>O3595/Explications!$C$8</f>
        <v>0.43916082057733891</v>
      </c>
      <c r="Q3595" s="7" t="str">
        <f t="shared" si="347"/>
        <v>C79</v>
      </c>
      <c r="R3595" s="7" t="str">
        <f t="shared" si="348"/>
        <v>C74</v>
      </c>
      <c r="S3595" s="18">
        <f t="shared" si="349"/>
        <v>13.174824617320168</v>
      </c>
      <c r="T3595" s="18">
        <f>S3595/Explications!$C$8</f>
        <v>0.43916082057733891</v>
      </c>
    </row>
    <row r="3596" spans="7:20">
      <c r="G3596" s="7" t="s">
        <v>90</v>
      </c>
      <c r="H3596" s="7" t="s">
        <v>96</v>
      </c>
      <c r="I3596" s="7">
        <v>46.730699999999999</v>
      </c>
      <c r="J3596" s="7">
        <v>-71.261099999999999</v>
      </c>
      <c r="K3596" s="7">
        <v>46.798400000000001</v>
      </c>
      <c r="L3596" s="7">
        <v>-71.183199999999999</v>
      </c>
      <c r="M3596" s="10" t="str">
        <f t="shared" si="344"/>
        <v>C74</v>
      </c>
      <c r="N3596" s="10" t="str">
        <f t="shared" si="345"/>
        <v>C80</v>
      </c>
      <c r="O3596" s="5">
        <f t="shared" si="346"/>
        <v>9.5851841609814521</v>
      </c>
      <c r="P3596" s="22">
        <f>O3596/Explications!$C$8</f>
        <v>0.31950613869938171</v>
      </c>
      <c r="Q3596" s="7" t="str">
        <f t="shared" si="347"/>
        <v>C80</v>
      </c>
      <c r="R3596" s="7" t="str">
        <f t="shared" si="348"/>
        <v>C74</v>
      </c>
      <c r="S3596" s="18">
        <f t="shared" si="349"/>
        <v>9.5851841609814521</v>
      </c>
      <c r="T3596" s="18">
        <f>S3596/Explications!$C$8</f>
        <v>0.31950613869938171</v>
      </c>
    </row>
    <row r="3597" spans="7:20">
      <c r="G3597" s="7" t="s">
        <v>90</v>
      </c>
      <c r="H3597" s="7" t="s">
        <v>97</v>
      </c>
      <c r="I3597" s="7">
        <v>46.730699999999999</v>
      </c>
      <c r="J3597" s="7">
        <v>-71.261099999999999</v>
      </c>
      <c r="K3597" s="7">
        <v>46.724800000000002</v>
      </c>
      <c r="L3597" s="7">
        <v>-71.2988</v>
      </c>
      <c r="M3597" s="10" t="str">
        <f t="shared" si="344"/>
        <v>C74</v>
      </c>
      <c r="N3597" s="10" t="str">
        <f t="shared" si="345"/>
        <v>C81</v>
      </c>
      <c r="O3597" s="5">
        <f t="shared" si="346"/>
        <v>2.947446055056552</v>
      </c>
      <c r="P3597" s="22">
        <f>O3597/Explications!$C$8</f>
        <v>9.8248201835218402E-2</v>
      </c>
      <c r="Q3597" s="7" t="str">
        <f t="shared" si="347"/>
        <v>C81</v>
      </c>
      <c r="R3597" s="7" t="str">
        <f t="shared" si="348"/>
        <v>C74</v>
      </c>
      <c r="S3597" s="18">
        <f t="shared" si="349"/>
        <v>2.947446055056552</v>
      </c>
      <c r="T3597" s="18">
        <f>S3597/Explications!$C$8</f>
        <v>9.8248201835218402E-2</v>
      </c>
    </row>
    <row r="3598" spans="7:20">
      <c r="G3598" s="7" t="s">
        <v>90</v>
      </c>
      <c r="H3598" s="7" t="s">
        <v>98</v>
      </c>
      <c r="I3598" s="7">
        <v>46.730699999999999</v>
      </c>
      <c r="J3598" s="7">
        <v>-71.261099999999999</v>
      </c>
      <c r="K3598" s="7">
        <v>46.795499999999997</v>
      </c>
      <c r="L3598" s="7">
        <v>-71.242900000000006</v>
      </c>
      <c r="M3598" s="10" t="str">
        <f t="shared" si="344"/>
        <v>C74</v>
      </c>
      <c r="N3598" s="10" t="str">
        <f t="shared" si="345"/>
        <v>C82</v>
      </c>
      <c r="O3598" s="5">
        <f t="shared" si="346"/>
        <v>7.3375791234269787</v>
      </c>
      <c r="P3598" s="22">
        <f>O3598/Explications!$C$8</f>
        <v>0.2445859707808993</v>
      </c>
      <c r="Q3598" s="7" t="str">
        <f t="shared" si="347"/>
        <v>C82</v>
      </c>
      <c r="R3598" s="7" t="str">
        <f t="shared" si="348"/>
        <v>C74</v>
      </c>
      <c r="S3598" s="18">
        <f t="shared" si="349"/>
        <v>7.3375791234269787</v>
      </c>
      <c r="T3598" s="18">
        <f>S3598/Explications!$C$8</f>
        <v>0.2445859707808993</v>
      </c>
    </row>
    <row r="3599" spans="7:20">
      <c r="G3599" s="7" t="s">
        <v>90</v>
      </c>
      <c r="H3599" s="7" t="s">
        <v>99</v>
      </c>
      <c r="I3599" s="7">
        <v>46.730699999999999</v>
      </c>
      <c r="J3599" s="7">
        <v>-71.261099999999999</v>
      </c>
      <c r="K3599" s="7">
        <v>46.8157</v>
      </c>
      <c r="L3599" s="7">
        <v>-71.201899999999995</v>
      </c>
      <c r="M3599" s="10" t="str">
        <f t="shared" si="344"/>
        <v>C74</v>
      </c>
      <c r="N3599" s="10" t="str">
        <f t="shared" si="345"/>
        <v>C83</v>
      </c>
      <c r="O3599" s="5">
        <f t="shared" si="346"/>
        <v>10.471779259739231</v>
      </c>
      <c r="P3599" s="22">
        <f>O3599/Explications!$C$8</f>
        <v>0.34905930865797435</v>
      </c>
      <c r="Q3599" s="7" t="str">
        <f t="shared" si="347"/>
        <v>C83</v>
      </c>
      <c r="R3599" s="7" t="str">
        <f t="shared" si="348"/>
        <v>C74</v>
      </c>
      <c r="S3599" s="18">
        <f t="shared" si="349"/>
        <v>10.471779259739231</v>
      </c>
      <c r="T3599" s="18">
        <f>S3599/Explications!$C$8</f>
        <v>0.34905930865797435</v>
      </c>
    </row>
    <row r="3600" spans="7:20">
      <c r="G3600" s="7" t="s">
        <v>90</v>
      </c>
      <c r="H3600" s="7" t="s">
        <v>100</v>
      </c>
      <c r="I3600" s="7">
        <v>46.730699999999999</v>
      </c>
      <c r="J3600" s="7">
        <v>-71.261099999999999</v>
      </c>
      <c r="K3600" s="7">
        <v>46.837600000000002</v>
      </c>
      <c r="L3600" s="7">
        <v>-71.196299999999994</v>
      </c>
      <c r="M3600" s="10" t="str">
        <f t="shared" si="344"/>
        <v>C74</v>
      </c>
      <c r="N3600" s="10" t="str">
        <f t="shared" si="345"/>
        <v>C84</v>
      </c>
      <c r="O3600" s="5">
        <f t="shared" si="346"/>
        <v>12.870041457725106</v>
      </c>
      <c r="P3600" s="22">
        <f>O3600/Explications!$C$8</f>
        <v>0.4290013819241702</v>
      </c>
      <c r="Q3600" s="7" t="str">
        <f t="shared" si="347"/>
        <v>C84</v>
      </c>
      <c r="R3600" s="7" t="str">
        <f t="shared" si="348"/>
        <v>C74</v>
      </c>
      <c r="S3600" s="18">
        <f t="shared" si="349"/>
        <v>12.870041457725106</v>
      </c>
      <c r="T3600" s="18">
        <f>S3600/Explications!$C$8</f>
        <v>0.4290013819241702</v>
      </c>
    </row>
    <row r="3601" spans="7:20">
      <c r="G3601" s="7" t="s">
        <v>90</v>
      </c>
      <c r="H3601" s="7" t="s">
        <v>101</v>
      </c>
      <c r="I3601" s="7">
        <v>46.730699999999999</v>
      </c>
      <c r="J3601" s="7">
        <v>-71.261099999999999</v>
      </c>
      <c r="K3601" s="7">
        <v>46.7988</v>
      </c>
      <c r="L3601" s="7">
        <v>-71.318200000000004</v>
      </c>
      <c r="M3601" s="10" t="str">
        <f t="shared" si="344"/>
        <v>C74</v>
      </c>
      <c r="N3601" s="10" t="str">
        <f t="shared" si="345"/>
        <v>C85</v>
      </c>
      <c r="O3601" s="5">
        <f t="shared" si="346"/>
        <v>8.7324872093240717</v>
      </c>
      <c r="P3601" s="22">
        <f>O3601/Explications!$C$8</f>
        <v>0.29108290697746908</v>
      </c>
      <c r="Q3601" s="7" t="str">
        <f t="shared" si="347"/>
        <v>C85</v>
      </c>
      <c r="R3601" s="7" t="str">
        <f t="shared" si="348"/>
        <v>C74</v>
      </c>
      <c r="S3601" s="18">
        <f t="shared" si="349"/>
        <v>8.7324872093240717</v>
      </c>
      <c r="T3601" s="18">
        <f>S3601/Explications!$C$8</f>
        <v>0.29108290697746908</v>
      </c>
    </row>
    <row r="3602" spans="7:20">
      <c r="G3602" s="7" t="s">
        <v>91</v>
      </c>
      <c r="H3602" s="7" t="s">
        <v>92</v>
      </c>
      <c r="I3602" s="7">
        <v>46.840600000000002</v>
      </c>
      <c r="J3602" s="7">
        <v>-71.289100000000005</v>
      </c>
      <c r="K3602" s="7">
        <v>46.840600000000002</v>
      </c>
      <c r="L3602" s="7">
        <v>-71.281599999999997</v>
      </c>
      <c r="M3602" s="10" t="str">
        <f t="shared" si="344"/>
        <v>C75</v>
      </c>
      <c r="N3602" s="10" t="str">
        <f t="shared" si="345"/>
        <v>C76</v>
      </c>
      <c r="O3602" s="5">
        <f t="shared" si="346"/>
        <v>0.57045531225653057</v>
      </c>
      <c r="P3602" s="22">
        <f>O3602/Explications!$C$8</f>
        <v>1.9015177075217684E-2</v>
      </c>
      <c r="Q3602" s="7" t="str">
        <f t="shared" si="347"/>
        <v>C76</v>
      </c>
      <c r="R3602" s="7" t="str">
        <f t="shared" si="348"/>
        <v>C75</v>
      </c>
      <c r="S3602" s="18">
        <f t="shared" si="349"/>
        <v>0.57045531225653057</v>
      </c>
      <c r="T3602" s="18">
        <f>S3602/Explications!$C$8</f>
        <v>1.9015177075217684E-2</v>
      </c>
    </row>
    <row r="3603" spans="7:20">
      <c r="G3603" s="7" t="s">
        <v>91</v>
      </c>
      <c r="H3603" s="7" t="s">
        <v>93</v>
      </c>
      <c r="I3603" s="7">
        <v>46.840600000000002</v>
      </c>
      <c r="J3603" s="7">
        <v>-71.289100000000005</v>
      </c>
      <c r="K3603" s="7">
        <v>46.839399999999998</v>
      </c>
      <c r="L3603" s="7">
        <v>-71.282600000000002</v>
      </c>
      <c r="M3603" s="10" t="str">
        <f t="shared" si="344"/>
        <v>C75</v>
      </c>
      <c r="N3603" s="10" t="str">
        <f t="shared" si="345"/>
        <v>C77</v>
      </c>
      <c r="O3603" s="5">
        <f t="shared" si="346"/>
        <v>0.51208992057339398</v>
      </c>
      <c r="P3603" s="22">
        <f>O3603/Explications!$C$8</f>
        <v>1.7069664019113133E-2</v>
      </c>
      <c r="Q3603" s="7" t="str">
        <f t="shared" si="347"/>
        <v>C77</v>
      </c>
      <c r="R3603" s="7" t="str">
        <f t="shared" si="348"/>
        <v>C75</v>
      </c>
      <c r="S3603" s="18">
        <f t="shared" si="349"/>
        <v>0.51208992057339398</v>
      </c>
      <c r="T3603" s="18">
        <f>S3603/Explications!$C$8</f>
        <v>1.7069664019113133E-2</v>
      </c>
    </row>
    <row r="3604" spans="7:20">
      <c r="G3604" s="7" t="s">
        <v>91</v>
      </c>
      <c r="H3604" s="7" t="s">
        <v>94</v>
      </c>
      <c r="I3604" s="7">
        <v>46.840600000000002</v>
      </c>
      <c r="J3604" s="7">
        <v>-71.289100000000005</v>
      </c>
      <c r="K3604" s="7">
        <v>46.788499999999999</v>
      </c>
      <c r="L3604" s="7">
        <v>-71.282399999999996</v>
      </c>
      <c r="M3604" s="10" t="str">
        <f t="shared" si="344"/>
        <v>C75</v>
      </c>
      <c r="N3604" s="10" t="str">
        <f t="shared" si="345"/>
        <v>C78</v>
      </c>
      <c r="O3604" s="5">
        <f t="shared" si="346"/>
        <v>5.8156480413426612</v>
      </c>
      <c r="P3604" s="22">
        <f>O3604/Explications!$C$8</f>
        <v>0.19385493471142204</v>
      </c>
      <c r="Q3604" s="7" t="str">
        <f t="shared" si="347"/>
        <v>C78</v>
      </c>
      <c r="R3604" s="7" t="str">
        <f t="shared" si="348"/>
        <v>C75</v>
      </c>
      <c r="S3604" s="18">
        <f t="shared" si="349"/>
        <v>5.8156480413426612</v>
      </c>
      <c r="T3604" s="18">
        <f>S3604/Explications!$C$8</f>
        <v>0.19385493471142204</v>
      </c>
    </row>
    <row r="3605" spans="7:20">
      <c r="G3605" s="7" t="s">
        <v>91</v>
      </c>
      <c r="H3605" s="7" t="s">
        <v>95</v>
      </c>
      <c r="I3605" s="7">
        <v>46.840600000000002</v>
      </c>
      <c r="J3605" s="7">
        <v>-71.289100000000005</v>
      </c>
      <c r="K3605" s="7">
        <v>46.840699999999998</v>
      </c>
      <c r="L3605" s="7">
        <v>-71.325400000000002</v>
      </c>
      <c r="M3605" s="10" t="str">
        <f t="shared" si="344"/>
        <v>C75</v>
      </c>
      <c r="N3605" s="10" t="str">
        <f t="shared" si="345"/>
        <v>C79</v>
      </c>
      <c r="O3605" s="5">
        <f t="shared" si="346"/>
        <v>2.7610235129117795</v>
      </c>
      <c r="P3605" s="22">
        <f>O3605/Explications!$C$8</f>
        <v>9.2034117097059318E-2</v>
      </c>
      <c r="Q3605" s="7" t="str">
        <f t="shared" si="347"/>
        <v>C79</v>
      </c>
      <c r="R3605" s="7" t="str">
        <f t="shared" si="348"/>
        <v>C75</v>
      </c>
      <c r="S3605" s="18">
        <f t="shared" si="349"/>
        <v>2.7610235129117795</v>
      </c>
      <c r="T3605" s="18">
        <f>S3605/Explications!$C$8</f>
        <v>9.2034117097059318E-2</v>
      </c>
    </row>
    <row r="3606" spans="7:20">
      <c r="G3606" s="7" t="s">
        <v>91</v>
      </c>
      <c r="H3606" s="7" t="s">
        <v>96</v>
      </c>
      <c r="I3606" s="7">
        <v>46.840600000000002</v>
      </c>
      <c r="J3606" s="7">
        <v>-71.289100000000005</v>
      </c>
      <c r="K3606" s="7">
        <v>46.798400000000001</v>
      </c>
      <c r="L3606" s="7">
        <v>-71.183199999999999</v>
      </c>
      <c r="M3606" s="10" t="str">
        <f t="shared" si="344"/>
        <v>C75</v>
      </c>
      <c r="N3606" s="10" t="str">
        <f t="shared" si="345"/>
        <v>C80</v>
      </c>
      <c r="O3606" s="5">
        <f t="shared" si="346"/>
        <v>9.324702102154621</v>
      </c>
      <c r="P3606" s="22">
        <f>O3606/Explications!$C$8</f>
        <v>0.31082340340515402</v>
      </c>
      <c r="Q3606" s="7" t="str">
        <f t="shared" si="347"/>
        <v>C80</v>
      </c>
      <c r="R3606" s="7" t="str">
        <f t="shared" si="348"/>
        <v>C75</v>
      </c>
      <c r="S3606" s="18">
        <f t="shared" si="349"/>
        <v>9.324702102154621</v>
      </c>
      <c r="T3606" s="18">
        <f>S3606/Explications!$C$8</f>
        <v>0.31082340340515402</v>
      </c>
    </row>
    <row r="3607" spans="7:20">
      <c r="G3607" s="7" t="s">
        <v>91</v>
      </c>
      <c r="H3607" s="7" t="s">
        <v>97</v>
      </c>
      <c r="I3607" s="7">
        <v>46.840600000000002</v>
      </c>
      <c r="J3607" s="7">
        <v>-71.289100000000005</v>
      </c>
      <c r="K3607" s="7">
        <v>46.724800000000002</v>
      </c>
      <c r="L3607" s="7">
        <v>-71.2988</v>
      </c>
      <c r="M3607" s="10" t="str">
        <f t="shared" si="344"/>
        <v>C75</v>
      </c>
      <c r="N3607" s="10" t="str">
        <f t="shared" si="345"/>
        <v>C81</v>
      </c>
      <c r="O3607" s="5">
        <f t="shared" si="346"/>
        <v>12.897537508120427</v>
      </c>
      <c r="P3607" s="22">
        <f>O3607/Explications!$C$8</f>
        <v>0.4299179169373476</v>
      </c>
      <c r="Q3607" s="7" t="str">
        <f t="shared" si="347"/>
        <v>C81</v>
      </c>
      <c r="R3607" s="7" t="str">
        <f t="shared" si="348"/>
        <v>C75</v>
      </c>
      <c r="S3607" s="18">
        <f t="shared" si="349"/>
        <v>12.897537508120427</v>
      </c>
      <c r="T3607" s="18">
        <f>S3607/Explications!$C$8</f>
        <v>0.4299179169373476</v>
      </c>
    </row>
    <row r="3608" spans="7:20">
      <c r="G3608" s="7" t="s">
        <v>91</v>
      </c>
      <c r="H3608" s="7" t="s">
        <v>98</v>
      </c>
      <c r="I3608" s="7">
        <v>46.840600000000002</v>
      </c>
      <c r="J3608" s="7">
        <v>-71.289100000000005</v>
      </c>
      <c r="K3608" s="7">
        <v>46.795499999999997</v>
      </c>
      <c r="L3608" s="7">
        <v>-71.242900000000006</v>
      </c>
      <c r="M3608" s="10" t="str">
        <f t="shared" si="344"/>
        <v>C75</v>
      </c>
      <c r="N3608" s="10" t="str">
        <f t="shared" si="345"/>
        <v>C82</v>
      </c>
      <c r="O3608" s="5">
        <f t="shared" si="346"/>
        <v>6.1243550896968344</v>
      </c>
      <c r="P3608" s="22">
        <f>O3608/Explications!$C$8</f>
        <v>0.20414516965656115</v>
      </c>
      <c r="Q3608" s="7" t="str">
        <f t="shared" si="347"/>
        <v>C82</v>
      </c>
      <c r="R3608" s="7" t="str">
        <f t="shared" si="348"/>
        <v>C75</v>
      </c>
      <c r="S3608" s="18">
        <f t="shared" si="349"/>
        <v>6.1243550896968344</v>
      </c>
      <c r="T3608" s="18">
        <f>S3608/Explications!$C$8</f>
        <v>0.20414516965656115</v>
      </c>
    </row>
    <row r="3609" spans="7:20">
      <c r="G3609" s="7" t="s">
        <v>91</v>
      </c>
      <c r="H3609" s="7" t="s">
        <v>99</v>
      </c>
      <c r="I3609" s="7">
        <v>46.840600000000002</v>
      </c>
      <c r="J3609" s="7">
        <v>-71.289100000000005</v>
      </c>
      <c r="K3609" s="7">
        <v>46.8157</v>
      </c>
      <c r="L3609" s="7">
        <v>-71.201899999999995</v>
      </c>
      <c r="M3609" s="10" t="str">
        <f t="shared" si="344"/>
        <v>C75</v>
      </c>
      <c r="N3609" s="10" t="str">
        <f t="shared" si="345"/>
        <v>C83</v>
      </c>
      <c r="O3609" s="5">
        <f t="shared" si="346"/>
        <v>7.1886264494282202</v>
      </c>
      <c r="P3609" s="22">
        <f>O3609/Explications!$C$8</f>
        <v>0.23962088164760734</v>
      </c>
      <c r="Q3609" s="7" t="str">
        <f t="shared" si="347"/>
        <v>C83</v>
      </c>
      <c r="R3609" s="7" t="str">
        <f t="shared" si="348"/>
        <v>C75</v>
      </c>
      <c r="S3609" s="18">
        <f t="shared" si="349"/>
        <v>7.1886264494282202</v>
      </c>
      <c r="T3609" s="18">
        <f>S3609/Explications!$C$8</f>
        <v>0.23962088164760734</v>
      </c>
    </row>
    <row r="3610" spans="7:20">
      <c r="G3610" s="7" t="s">
        <v>91</v>
      </c>
      <c r="H3610" s="7" t="s">
        <v>100</v>
      </c>
      <c r="I3610" s="7">
        <v>46.840600000000002</v>
      </c>
      <c r="J3610" s="7">
        <v>-71.289100000000005</v>
      </c>
      <c r="K3610" s="7">
        <v>46.837600000000002</v>
      </c>
      <c r="L3610" s="7">
        <v>-71.196299999999994</v>
      </c>
      <c r="M3610" s="10" t="str">
        <f t="shared" si="344"/>
        <v>C75</v>
      </c>
      <c r="N3610" s="10" t="str">
        <f t="shared" si="345"/>
        <v>C84</v>
      </c>
      <c r="O3610" s="5">
        <f t="shared" si="346"/>
        <v>7.0665084507067792</v>
      </c>
      <c r="P3610" s="22">
        <f>O3610/Explications!$C$8</f>
        <v>0.23555028169022599</v>
      </c>
      <c r="Q3610" s="7" t="str">
        <f t="shared" si="347"/>
        <v>C84</v>
      </c>
      <c r="R3610" s="7" t="str">
        <f t="shared" si="348"/>
        <v>C75</v>
      </c>
      <c r="S3610" s="18">
        <f t="shared" si="349"/>
        <v>7.0665084507067792</v>
      </c>
      <c r="T3610" s="18">
        <f>S3610/Explications!$C$8</f>
        <v>0.23555028169022599</v>
      </c>
    </row>
    <row r="3611" spans="7:20">
      <c r="G3611" s="7" t="s">
        <v>91</v>
      </c>
      <c r="H3611" s="7" t="s">
        <v>101</v>
      </c>
      <c r="I3611" s="7">
        <v>46.840600000000002</v>
      </c>
      <c r="J3611" s="7">
        <v>-71.289100000000005</v>
      </c>
      <c r="K3611" s="7">
        <v>46.7988</v>
      </c>
      <c r="L3611" s="7">
        <v>-71.318200000000004</v>
      </c>
      <c r="M3611" s="10" t="str">
        <f t="shared" si="344"/>
        <v>C75</v>
      </c>
      <c r="N3611" s="10" t="str">
        <f t="shared" si="345"/>
        <v>C85</v>
      </c>
      <c r="O3611" s="5">
        <f t="shared" si="346"/>
        <v>5.1484193910271632</v>
      </c>
      <c r="P3611" s="22">
        <f>O3611/Explications!$C$8</f>
        <v>0.17161397970090544</v>
      </c>
      <c r="Q3611" s="7" t="str">
        <f t="shared" si="347"/>
        <v>C85</v>
      </c>
      <c r="R3611" s="7" t="str">
        <f t="shared" si="348"/>
        <v>C75</v>
      </c>
      <c r="S3611" s="18">
        <f t="shared" si="349"/>
        <v>5.1484193910271632</v>
      </c>
      <c r="T3611" s="18">
        <f>S3611/Explications!$C$8</f>
        <v>0.17161397970090544</v>
      </c>
    </row>
    <row r="3612" spans="7:20">
      <c r="G3612" s="7" t="s">
        <v>92</v>
      </c>
      <c r="H3612" s="7" t="s">
        <v>93</v>
      </c>
      <c r="I3612" s="7">
        <v>46.840600000000002</v>
      </c>
      <c r="J3612" s="7">
        <v>-71.281599999999997</v>
      </c>
      <c r="K3612" s="7">
        <v>46.839399999999998</v>
      </c>
      <c r="L3612" s="7">
        <v>-71.282600000000002</v>
      </c>
      <c r="M3612" s="10" t="str">
        <f t="shared" si="344"/>
        <v>C76</v>
      </c>
      <c r="N3612" s="10" t="str">
        <f t="shared" si="345"/>
        <v>C77</v>
      </c>
      <c r="O3612" s="5">
        <f t="shared" si="346"/>
        <v>0.15359029071260166</v>
      </c>
      <c r="P3612" s="22">
        <f>O3612/Explications!$C$8</f>
        <v>5.1196763570867223E-3</v>
      </c>
      <c r="Q3612" s="7" t="str">
        <f t="shared" si="347"/>
        <v>C77</v>
      </c>
      <c r="R3612" s="7" t="str">
        <f t="shared" si="348"/>
        <v>C76</v>
      </c>
      <c r="S3612" s="18">
        <f t="shared" si="349"/>
        <v>0.15359029071260166</v>
      </c>
      <c r="T3612" s="18">
        <f>S3612/Explications!$C$8</f>
        <v>5.1196763570867223E-3</v>
      </c>
    </row>
    <row r="3613" spans="7:20">
      <c r="G3613" s="7" t="s">
        <v>92</v>
      </c>
      <c r="H3613" s="7" t="s">
        <v>94</v>
      </c>
      <c r="I3613" s="7">
        <v>46.840600000000002</v>
      </c>
      <c r="J3613" s="7">
        <v>-71.281599999999997</v>
      </c>
      <c r="K3613" s="7">
        <v>46.788499999999999</v>
      </c>
      <c r="L3613" s="7">
        <v>-71.282399999999996</v>
      </c>
      <c r="M3613" s="10" t="str">
        <f t="shared" si="344"/>
        <v>C76</v>
      </c>
      <c r="N3613" s="10" t="str">
        <f t="shared" si="345"/>
        <v>C78</v>
      </c>
      <c r="O3613" s="5">
        <f t="shared" si="346"/>
        <v>5.793575535763102</v>
      </c>
      <c r="P3613" s="22">
        <f>O3613/Explications!$C$8</f>
        <v>0.19311918452543672</v>
      </c>
      <c r="Q3613" s="7" t="str">
        <f t="shared" si="347"/>
        <v>C78</v>
      </c>
      <c r="R3613" s="7" t="str">
        <f t="shared" si="348"/>
        <v>C76</v>
      </c>
      <c r="S3613" s="18">
        <f t="shared" si="349"/>
        <v>5.793575535763102</v>
      </c>
      <c r="T3613" s="18">
        <f>S3613/Explications!$C$8</f>
        <v>0.19311918452543672</v>
      </c>
    </row>
    <row r="3614" spans="7:20">
      <c r="G3614" s="7" t="s">
        <v>92</v>
      </c>
      <c r="H3614" s="7" t="s">
        <v>95</v>
      </c>
      <c r="I3614" s="7">
        <v>46.840600000000002</v>
      </c>
      <c r="J3614" s="7">
        <v>-71.281599999999997</v>
      </c>
      <c r="K3614" s="7">
        <v>46.840699999999998</v>
      </c>
      <c r="L3614" s="7">
        <v>-71.325400000000002</v>
      </c>
      <c r="M3614" s="10" t="str">
        <f t="shared" si="344"/>
        <v>C76</v>
      </c>
      <c r="N3614" s="10" t="str">
        <f t="shared" si="345"/>
        <v>C79</v>
      </c>
      <c r="O3614" s="5">
        <f t="shared" si="346"/>
        <v>3.3314744419267379</v>
      </c>
      <c r="P3614" s="22">
        <f>O3614/Explications!$C$8</f>
        <v>0.1110491480642246</v>
      </c>
      <c r="Q3614" s="7" t="str">
        <f t="shared" si="347"/>
        <v>C79</v>
      </c>
      <c r="R3614" s="7" t="str">
        <f t="shared" si="348"/>
        <v>C76</v>
      </c>
      <c r="S3614" s="18">
        <f t="shared" si="349"/>
        <v>3.3314744419267379</v>
      </c>
      <c r="T3614" s="18">
        <f>S3614/Explications!$C$8</f>
        <v>0.1110491480642246</v>
      </c>
    </row>
    <row r="3615" spans="7:20">
      <c r="G3615" s="7" t="s">
        <v>92</v>
      </c>
      <c r="H3615" s="7" t="s">
        <v>96</v>
      </c>
      <c r="I3615" s="7">
        <v>46.840600000000002</v>
      </c>
      <c r="J3615" s="7">
        <v>-71.281599999999997</v>
      </c>
      <c r="K3615" s="7">
        <v>46.798400000000001</v>
      </c>
      <c r="L3615" s="7">
        <v>-71.183199999999999</v>
      </c>
      <c r="M3615" s="10" t="str">
        <f t="shared" si="344"/>
        <v>C76</v>
      </c>
      <c r="N3615" s="10" t="str">
        <f t="shared" si="345"/>
        <v>C80</v>
      </c>
      <c r="O3615" s="5">
        <f t="shared" si="346"/>
        <v>8.8362146978958478</v>
      </c>
      <c r="P3615" s="22">
        <f>O3615/Explications!$C$8</f>
        <v>0.29454048992986159</v>
      </c>
      <c r="Q3615" s="7" t="str">
        <f t="shared" si="347"/>
        <v>C80</v>
      </c>
      <c r="R3615" s="7" t="str">
        <f t="shared" si="348"/>
        <v>C76</v>
      </c>
      <c r="S3615" s="18">
        <f t="shared" si="349"/>
        <v>8.8362146978958478</v>
      </c>
      <c r="T3615" s="18">
        <f>S3615/Explications!$C$8</f>
        <v>0.29454048992986159</v>
      </c>
    </row>
    <row r="3616" spans="7:20">
      <c r="G3616" s="7" t="s">
        <v>92</v>
      </c>
      <c r="H3616" s="7" t="s">
        <v>97</v>
      </c>
      <c r="I3616" s="7">
        <v>46.840600000000002</v>
      </c>
      <c r="J3616" s="7">
        <v>-71.281599999999997</v>
      </c>
      <c r="K3616" s="7">
        <v>46.724800000000002</v>
      </c>
      <c r="L3616" s="7">
        <v>-71.2988</v>
      </c>
      <c r="M3616" s="10" t="str">
        <f t="shared" si="344"/>
        <v>C76</v>
      </c>
      <c r="N3616" s="10" t="str">
        <f t="shared" si="345"/>
        <v>C81</v>
      </c>
      <c r="O3616" s="5">
        <f t="shared" si="346"/>
        <v>12.942803336469323</v>
      </c>
      <c r="P3616" s="22">
        <f>O3616/Explications!$C$8</f>
        <v>0.43142677788231076</v>
      </c>
      <c r="Q3616" s="7" t="str">
        <f t="shared" si="347"/>
        <v>C81</v>
      </c>
      <c r="R3616" s="7" t="str">
        <f t="shared" si="348"/>
        <v>C76</v>
      </c>
      <c r="S3616" s="18">
        <f t="shared" si="349"/>
        <v>12.942803336469323</v>
      </c>
      <c r="T3616" s="18">
        <f>S3616/Explications!$C$8</f>
        <v>0.43142677788231076</v>
      </c>
    </row>
    <row r="3617" spans="7:20">
      <c r="G3617" s="7" t="s">
        <v>92</v>
      </c>
      <c r="H3617" s="7" t="s">
        <v>98</v>
      </c>
      <c r="I3617" s="7">
        <v>46.840600000000002</v>
      </c>
      <c r="J3617" s="7">
        <v>-71.281599999999997</v>
      </c>
      <c r="K3617" s="7">
        <v>46.795499999999997</v>
      </c>
      <c r="L3617" s="7">
        <v>-71.242900000000006</v>
      </c>
      <c r="M3617" s="10" t="str">
        <f t="shared" si="344"/>
        <v>C76</v>
      </c>
      <c r="N3617" s="10" t="str">
        <f t="shared" si="345"/>
        <v>C82</v>
      </c>
      <c r="O3617" s="5">
        <f t="shared" si="346"/>
        <v>5.8155728818193282</v>
      </c>
      <c r="P3617" s="22">
        <f>O3617/Explications!$C$8</f>
        <v>0.19385242939397759</v>
      </c>
      <c r="Q3617" s="7" t="str">
        <f t="shared" si="347"/>
        <v>C82</v>
      </c>
      <c r="R3617" s="7" t="str">
        <f t="shared" si="348"/>
        <v>C76</v>
      </c>
      <c r="S3617" s="18">
        <f t="shared" si="349"/>
        <v>5.8155728818193282</v>
      </c>
      <c r="T3617" s="18">
        <f>S3617/Explications!$C$8</f>
        <v>0.19385242939397759</v>
      </c>
    </row>
    <row r="3618" spans="7:20">
      <c r="G3618" s="7" t="s">
        <v>92</v>
      </c>
      <c r="H3618" s="7" t="s">
        <v>99</v>
      </c>
      <c r="I3618" s="7">
        <v>46.840600000000002</v>
      </c>
      <c r="J3618" s="7">
        <v>-71.281599999999997</v>
      </c>
      <c r="K3618" s="7">
        <v>46.8157</v>
      </c>
      <c r="L3618" s="7">
        <v>-71.201899999999995</v>
      </c>
      <c r="M3618" s="10" t="str">
        <f t="shared" si="344"/>
        <v>C76</v>
      </c>
      <c r="N3618" s="10" t="str">
        <f t="shared" si="345"/>
        <v>C83</v>
      </c>
      <c r="O3618" s="5">
        <f t="shared" si="346"/>
        <v>6.665683204048614</v>
      </c>
      <c r="P3618" s="22">
        <f>O3618/Explications!$C$8</f>
        <v>0.22218944013495381</v>
      </c>
      <c r="Q3618" s="7" t="str">
        <f t="shared" si="347"/>
        <v>C83</v>
      </c>
      <c r="R3618" s="7" t="str">
        <f t="shared" si="348"/>
        <v>C76</v>
      </c>
      <c r="S3618" s="18">
        <f t="shared" si="349"/>
        <v>6.665683204048614</v>
      </c>
      <c r="T3618" s="18">
        <f>S3618/Explications!$C$8</f>
        <v>0.22218944013495381</v>
      </c>
    </row>
    <row r="3619" spans="7:20">
      <c r="G3619" s="7" t="s">
        <v>92</v>
      </c>
      <c r="H3619" s="7" t="s">
        <v>100</v>
      </c>
      <c r="I3619" s="7">
        <v>46.840600000000002</v>
      </c>
      <c r="J3619" s="7">
        <v>-71.281599999999997</v>
      </c>
      <c r="K3619" s="7">
        <v>46.837600000000002</v>
      </c>
      <c r="L3619" s="7">
        <v>-71.196299999999994</v>
      </c>
      <c r="M3619" s="10" t="str">
        <f t="shared" si="344"/>
        <v>C76</v>
      </c>
      <c r="N3619" s="10" t="str">
        <f t="shared" si="345"/>
        <v>C84</v>
      </c>
      <c r="O3619" s="5">
        <f t="shared" si="346"/>
        <v>6.4967291061995338</v>
      </c>
      <c r="P3619" s="22">
        <f>O3619/Explications!$C$8</f>
        <v>0.2165576368733178</v>
      </c>
      <c r="Q3619" s="7" t="str">
        <f t="shared" si="347"/>
        <v>C84</v>
      </c>
      <c r="R3619" s="7" t="str">
        <f t="shared" si="348"/>
        <v>C76</v>
      </c>
      <c r="S3619" s="18">
        <f t="shared" si="349"/>
        <v>6.4967291061995338</v>
      </c>
      <c r="T3619" s="18">
        <f>S3619/Explications!$C$8</f>
        <v>0.2165576368733178</v>
      </c>
    </row>
    <row r="3620" spans="7:20">
      <c r="G3620" s="7" t="s">
        <v>92</v>
      </c>
      <c r="H3620" s="7" t="s">
        <v>101</v>
      </c>
      <c r="I3620" s="7">
        <v>46.840600000000002</v>
      </c>
      <c r="J3620" s="7">
        <v>-71.281599999999997</v>
      </c>
      <c r="K3620" s="7">
        <v>46.7988</v>
      </c>
      <c r="L3620" s="7">
        <v>-71.318200000000004</v>
      </c>
      <c r="M3620" s="10" t="str">
        <f t="shared" si="344"/>
        <v>C76</v>
      </c>
      <c r="N3620" s="10" t="str">
        <f t="shared" si="345"/>
        <v>C85</v>
      </c>
      <c r="O3620" s="5">
        <f t="shared" si="346"/>
        <v>5.4184049484514283</v>
      </c>
      <c r="P3620" s="22">
        <f>O3620/Explications!$C$8</f>
        <v>0.18061349828171427</v>
      </c>
      <c r="Q3620" s="7" t="str">
        <f t="shared" si="347"/>
        <v>C85</v>
      </c>
      <c r="R3620" s="7" t="str">
        <f t="shared" si="348"/>
        <v>C76</v>
      </c>
      <c r="S3620" s="18">
        <f t="shared" si="349"/>
        <v>5.4184049484514283</v>
      </c>
      <c r="T3620" s="18">
        <f>S3620/Explications!$C$8</f>
        <v>0.18061349828171427</v>
      </c>
    </row>
    <row r="3621" spans="7:20">
      <c r="G3621" s="7" t="s">
        <v>93</v>
      </c>
      <c r="H3621" s="7" t="s">
        <v>94</v>
      </c>
      <c r="I3621" s="7">
        <v>46.839399999999998</v>
      </c>
      <c r="J3621" s="7">
        <v>-71.282600000000002</v>
      </c>
      <c r="K3621" s="7">
        <v>46.788499999999999</v>
      </c>
      <c r="L3621" s="7">
        <v>-71.282399999999996</v>
      </c>
      <c r="M3621" s="10" t="str">
        <f t="shared" si="344"/>
        <v>C77</v>
      </c>
      <c r="N3621" s="10" t="str">
        <f t="shared" si="345"/>
        <v>C78</v>
      </c>
      <c r="O3621" s="5">
        <f t="shared" si="346"/>
        <v>5.6598422290472801</v>
      </c>
      <c r="P3621" s="22">
        <f>O3621/Explications!$C$8</f>
        <v>0.18866140763490932</v>
      </c>
      <c r="Q3621" s="7" t="str">
        <f t="shared" si="347"/>
        <v>C78</v>
      </c>
      <c r="R3621" s="7" t="str">
        <f t="shared" si="348"/>
        <v>C77</v>
      </c>
      <c r="S3621" s="18">
        <f t="shared" si="349"/>
        <v>5.6598422290472801</v>
      </c>
      <c r="T3621" s="18">
        <f>S3621/Explications!$C$8</f>
        <v>0.18866140763490932</v>
      </c>
    </row>
    <row r="3622" spans="7:20">
      <c r="G3622" s="7" t="s">
        <v>93</v>
      </c>
      <c r="H3622" s="7" t="s">
        <v>95</v>
      </c>
      <c r="I3622" s="7">
        <v>46.839399999999998</v>
      </c>
      <c r="J3622" s="7">
        <v>-71.282600000000002</v>
      </c>
      <c r="K3622" s="7">
        <v>46.840699999999998</v>
      </c>
      <c r="L3622" s="7">
        <v>-71.325400000000002</v>
      </c>
      <c r="M3622" s="10" t="str">
        <f t="shared" si="344"/>
        <v>C77</v>
      </c>
      <c r="N3622" s="10" t="str">
        <f t="shared" si="345"/>
        <v>C79</v>
      </c>
      <c r="O3622" s="5">
        <f t="shared" si="346"/>
        <v>3.2586393813670815</v>
      </c>
      <c r="P3622" s="22">
        <f>O3622/Explications!$C$8</f>
        <v>0.10862131271223605</v>
      </c>
      <c r="Q3622" s="7" t="str">
        <f t="shared" si="347"/>
        <v>C79</v>
      </c>
      <c r="R3622" s="7" t="str">
        <f t="shared" si="348"/>
        <v>C77</v>
      </c>
      <c r="S3622" s="18">
        <f t="shared" si="349"/>
        <v>3.2586393813670815</v>
      </c>
      <c r="T3622" s="18">
        <f>S3622/Explications!$C$8</f>
        <v>0.10862131271223605</v>
      </c>
    </row>
    <row r="3623" spans="7:20">
      <c r="G3623" s="7" t="s">
        <v>93</v>
      </c>
      <c r="H3623" s="7" t="s">
        <v>96</v>
      </c>
      <c r="I3623" s="7">
        <v>46.839399999999998</v>
      </c>
      <c r="J3623" s="7">
        <v>-71.282600000000002</v>
      </c>
      <c r="K3623" s="7">
        <v>46.798400000000001</v>
      </c>
      <c r="L3623" s="7">
        <v>-71.183199999999999</v>
      </c>
      <c r="M3623" s="10" t="str">
        <f t="shared" si="344"/>
        <v>C77</v>
      </c>
      <c r="N3623" s="10" t="str">
        <f t="shared" si="345"/>
        <v>C80</v>
      </c>
      <c r="O3623" s="5">
        <f t="shared" si="346"/>
        <v>8.8312361370095758</v>
      </c>
      <c r="P3623" s="22">
        <f>O3623/Explications!$C$8</f>
        <v>0.2943745379003192</v>
      </c>
      <c r="Q3623" s="7" t="str">
        <f t="shared" si="347"/>
        <v>C80</v>
      </c>
      <c r="R3623" s="7" t="str">
        <f t="shared" si="348"/>
        <v>C77</v>
      </c>
      <c r="S3623" s="18">
        <f t="shared" si="349"/>
        <v>8.8312361370095758</v>
      </c>
      <c r="T3623" s="18">
        <f>S3623/Explications!$C$8</f>
        <v>0.2943745379003192</v>
      </c>
    </row>
    <row r="3624" spans="7:20">
      <c r="G3624" s="7" t="s">
        <v>93</v>
      </c>
      <c r="H3624" s="7" t="s">
        <v>97</v>
      </c>
      <c r="I3624" s="7">
        <v>46.839399999999998</v>
      </c>
      <c r="J3624" s="7">
        <v>-71.282600000000002</v>
      </c>
      <c r="K3624" s="7">
        <v>46.724800000000002</v>
      </c>
      <c r="L3624" s="7">
        <v>-71.2988</v>
      </c>
      <c r="M3624" s="10" t="str">
        <f t="shared" si="344"/>
        <v>C77</v>
      </c>
      <c r="N3624" s="10" t="str">
        <f t="shared" si="345"/>
        <v>C81</v>
      </c>
      <c r="O3624" s="5">
        <f t="shared" si="346"/>
        <v>12.802502268836712</v>
      </c>
      <c r="P3624" s="22">
        <f>O3624/Explications!$C$8</f>
        <v>0.42675007562789041</v>
      </c>
      <c r="Q3624" s="7" t="str">
        <f t="shared" si="347"/>
        <v>C81</v>
      </c>
      <c r="R3624" s="7" t="str">
        <f t="shared" si="348"/>
        <v>C77</v>
      </c>
      <c r="S3624" s="18">
        <f t="shared" si="349"/>
        <v>12.802502268836712</v>
      </c>
      <c r="T3624" s="18">
        <f>S3624/Explications!$C$8</f>
        <v>0.42675007562789041</v>
      </c>
    </row>
    <row r="3625" spans="7:20">
      <c r="G3625" s="7" t="s">
        <v>93</v>
      </c>
      <c r="H3625" s="7" t="s">
        <v>98</v>
      </c>
      <c r="I3625" s="7">
        <v>46.839399999999998</v>
      </c>
      <c r="J3625" s="7">
        <v>-71.282600000000002</v>
      </c>
      <c r="K3625" s="7">
        <v>46.795499999999997</v>
      </c>
      <c r="L3625" s="7">
        <v>-71.242900000000006</v>
      </c>
      <c r="M3625" s="10" t="str">
        <f t="shared" si="344"/>
        <v>C77</v>
      </c>
      <c r="N3625" s="10" t="str">
        <f t="shared" si="345"/>
        <v>C82</v>
      </c>
      <c r="O3625" s="5">
        <f t="shared" si="346"/>
        <v>5.7406032762380406</v>
      </c>
      <c r="P3625" s="22">
        <f>O3625/Explications!$C$8</f>
        <v>0.19135344254126802</v>
      </c>
      <c r="Q3625" s="7" t="str">
        <f t="shared" si="347"/>
        <v>C82</v>
      </c>
      <c r="R3625" s="7" t="str">
        <f t="shared" si="348"/>
        <v>C77</v>
      </c>
      <c r="S3625" s="18">
        <f t="shared" si="349"/>
        <v>5.7406032762380406</v>
      </c>
      <c r="T3625" s="18">
        <f>S3625/Explications!$C$8</f>
        <v>0.19135344254126802</v>
      </c>
    </row>
    <row r="3626" spans="7:20">
      <c r="G3626" s="7" t="s">
        <v>93</v>
      </c>
      <c r="H3626" s="7" t="s">
        <v>99</v>
      </c>
      <c r="I3626" s="7">
        <v>46.839399999999998</v>
      </c>
      <c r="J3626" s="7">
        <v>-71.282600000000002</v>
      </c>
      <c r="K3626" s="7">
        <v>46.8157</v>
      </c>
      <c r="L3626" s="7">
        <v>-71.201899999999995</v>
      </c>
      <c r="M3626" s="10" t="str">
        <f t="shared" si="344"/>
        <v>C77</v>
      </c>
      <c r="N3626" s="10" t="str">
        <f t="shared" si="345"/>
        <v>C83</v>
      </c>
      <c r="O3626" s="5">
        <f t="shared" si="346"/>
        <v>6.6812774695430548</v>
      </c>
      <c r="P3626" s="22">
        <f>O3626/Explications!$C$8</f>
        <v>0.22270924898476849</v>
      </c>
      <c r="Q3626" s="7" t="str">
        <f t="shared" si="347"/>
        <v>C83</v>
      </c>
      <c r="R3626" s="7" t="str">
        <f t="shared" si="348"/>
        <v>C77</v>
      </c>
      <c r="S3626" s="18">
        <f t="shared" si="349"/>
        <v>6.6812774695430548</v>
      </c>
      <c r="T3626" s="18">
        <f>S3626/Explications!$C$8</f>
        <v>0.22270924898476849</v>
      </c>
    </row>
    <row r="3627" spans="7:20">
      <c r="G3627" s="7" t="s">
        <v>93</v>
      </c>
      <c r="H3627" s="7" t="s">
        <v>100</v>
      </c>
      <c r="I3627" s="7">
        <v>46.839399999999998</v>
      </c>
      <c r="J3627" s="7">
        <v>-71.282600000000002</v>
      </c>
      <c r="K3627" s="7">
        <v>46.837600000000002</v>
      </c>
      <c r="L3627" s="7">
        <v>-71.196299999999994</v>
      </c>
      <c r="M3627" s="10" t="str">
        <f t="shared" si="344"/>
        <v>C77</v>
      </c>
      <c r="N3627" s="10" t="str">
        <f t="shared" si="345"/>
        <v>C84</v>
      </c>
      <c r="O3627" s="5">
        <f t="shared" si="346"/>
        <v>6.5673460341710337</v>
      </c>
      <c r="P3627" s="22">
        <f>O3627/Explications!$C$8</f>
        <v>0.2189115344723678</v>
      </c>
      <c r="Q3627" s="7" t="str">
        <f t="shared" si="347"/>
        <v>C84</v>
      </c>
      <c r="R3627" s="7" t="str">
        <f t="shared" si="348"/>
        <v>C77</v>
      </c>
      <c r="S3627" s="18">
        <f t="shared" si="349"/>
        <v>6.5673460341710337</v>
      </c>
      <c r="T3627" s="18">
        <f>S3627/Explications!$C$8</f>
        <v>0.2189115344723678</v>
      </c>
    </row>
    <row r="3628" spans="7:20">
      <c r="G3628" s="7" t="s">
        <v>93</v>
      </c>
      <c r="H3628" s="7" t="s">
        <v>101</v>
      </c>
      <c r="I3628" s="7">
        <v>46.839399999999998</v>
      </c>
      <c r="J3628" s="7">
        <v>-71.282600000000002</v>
      </c>
      <c r="K3628" s="7">
        <v>46.7988</v>
      </c>
      <c r="L3628" s="7">
        <v>-71.318200000000004</v>
      </c>
      <c r="M3628" s="10" t="str">
        <f t="shared" si="344"/>
        <v>C77</v>
      </c>
      <c r="N3628" s="10" t="str">
        <f t="shared" si="345"/>
        <v>C85</v>
      </c>
      <c r="O3628" s="5">
        <f t="shared" si="346"/>
        <v>5.264852734433159</v>
      </c>
      <c r="P3628" s="22">
        <f>O3628/Explications!$C$8</f>
        <v>0.17549509114777198</v>
      </c>
      <c r="Q3628" s="7" t="str">
        <f t="shared" si="347"/>
        <v>C85</v>
      </c>
      <c r="R3628" s="7" t="str">
        <f t="shared" si="348"/>
        <v>C77</v>
      </c>
      <c r="S3628" s="18">
        <f t="shared" si="349"/>
        <v>5.264852734433159</v>
      </c>
      <c r="T3628" s="18">
        <f>S3628/Explications!$C$8</f>
        <v>0.17549509114777198</v>
      </c>
    </row>
    <row r="3629" spans="7:20">
      <c r="G3629" s="7" t="s">
        <v>94</v>
      </c>
      <c r="H3629" s="7" t="s">
        <v>95</v>
      </c>
      <c r="I3629" s="7">
        <v>46.788499999999999</v>
      </c>
      <c r="J3629" s="7">
        <v>-71.282399999999996</v>
      </c>
      <c r="K3629" s="7">
        <v>46.840699999999998</v>
      </c>
      <c r="L3629" s="7">
        <v>-71.325400000000002</v>
      </c>
      <c r="M3629" s="10" t="str">
        <f t="shared" si="344"/>
        <v>C78</v>
      </c>
      <c r="N3629" s="10" t="str">
        <f t="shared" si="345"/>
        <v>C79</v>
      </c>
      <c r="O3629" s="5">
        <f t="shared" si="346"/>
        <v>6.6631834397836052</v>
      </c>
      <c r="P3629" s="22">
        <f>O3629/Explications!$C$8</f>
        <v>0.22210611465945351</v>
      </c>
      <c r="Q3629" s="7" t="str">
        <f t="shared" si="347"/>
        <v>C79</v>
      </c>
      <c r="R3629" s="7" t="str">
        <f t="shared" si="348"/>
        <v>C78</v>
      </c>
      <c r="S3629" s="18">
        <f t="shared" si="349"/>
        <v>6.6631834397836052</v>
      </c>
      <c r="T3629" s="18">
        <f>S3629/Explications!$C$8</f>
        <v>0.22210611465945351</v>
      </c>
    </row>
    <row r="3630" spans="7:20">
      <c r="G3630" s="7" t="s">
        <v>94</v>
      </c>
      <c r="H3630" s="7" t="s">
        <v>96</v>
      </c>
      <c r="I3630" s="7">
        <v>46.788499999999999</v>
      </c>
      <c r="J3630" s="7">
        <v>-71.282399999999996</v>
      </c>
      <c r="K3630" s="7">
        <v>46.798400000000001</v>
      </c>
      <c r="L3630" s="7">
        <v>-71.183199999999999</v>
      </c>
      <c r="M3630" s="10" t="str">
        <f t="shared" si="344"/>
        <v>C78</v>
      </c>
      <c r="N3630" s="10" t="str">
        <f t="shared" si="345"/>
        <v>C80</v>
      </c>
      <c r="O3630" s="5">
        <f t="shared" si="346"/>
        <v>7.631652709218729</v>
      </c>
      <c r="P3630" s="22">
        <f>O3630/Explications!$C$8</f>
        <v>0.25438842364062431</v>
      </c>
      <c r="Q3630" s="7" t="str">
        <f t="shared" si="347"/>
        <v>C80</v>
      </c>
      <c r="R3630" s="7" t="str">
        <f t="shared" si="348"/>
        <v>C78</v>
      </c>
      <c r="S3630" s="18">
        <f t="shared" si="349"/>
        <v>7.631652709218729</v>
      </c>
      <c r="T3630" s="18">
        <f>S3630/Explications!$C$8</f>
        <v>0.25438842364062431</v>
      </c>
    </row>
    <row r="3631" spans="7:20">
      <c r="G3631" s="7" t="s">
        <v>94</v>
      </c>
      <c r="H3631" s="7" t="s">
        <v>97</v>
      </c>
      <c r="I3631" s="7">
        <v>46.788499999999999</v>
      </c>
      <c r="J3631" s="7">
        <v>-71.282399999999996</v>
      </c>
      <c r="K3631" s="7">
        <v>46.724800000000002</v>
      </c>
      <c r="L3631" s="7">
        <v>-71.2988</v>
      </c>
      <c r="M3631" s="10" t="str">
        <f t="shared" si="344"/>
        <v>C78</v>
      </c>
      <c r="N3631" s="10" t="str">
        <f t="shared" si="345"/>
        <v>C81</v>
      </c>
      <c r="O3631" s="5">
        <f t="shared" si="346"/>
        <v>7.1924545213526008</v>
      </c>
      <c r="P3631" s="22">
        <f>O3631/Explications!$C$8</f>
        <v>0.2397484840450867</v>
      </c>
      <c r="Q3631" s="7" t="str">
        <f t="shared" si="347"/>
        <v>C81</v>
      </c>
      <c r="R3631" s="7" t="str">
        <f t="shared" si="348"/>
        <v>C78</v>
      </c>
      <c r="S3631" s="18">
        <f t="shared" si="349"/>
        <v>7.1924545213526008</v>
      </c>
      <c r="T3631" s="18">
        <f>S3631/Explications!$C$8</f>
        <v>0.2397484840450867</v>
      </c>
    </row>
    <row r="3632" spans="7:20">
      <c r="G3632" s="7" t="s">
        <v>94</v>
      </c>
      <c r="H3632" s="7" t="s">
        <v>98</v>
      </c>
      <c r="I3632" s="7">
        <v>46.788499999999999</v>
      </c>
      <c r="J3632" s="7">
        <v>-71.282399999999996</v>
      </c>
      <c r="K3632" s="7">
        <v>46.795499999999997</v>
      </c>
      <c r="L3632" s="7">
        <v>-71.242900000000006</v>
      </c>
      <c r="M3632" s="10" t="str">
        <f t="shared" si="344"/>
        <v>C78</v>
      </c>
      <c r="N3632" s="10" t="str">
        <f t="shared" si="345"/>
        <v>C82</v>
      </c>
      <c r="O3632" s="5">
        <f t="shared" si="346"/>
        <v>3.1062177884001656</v>
      </c>
      <c r="P3632" s="22">
        <f>O3632/Explications!$C$8</f>
        <v>0.10354059294667219</v>
      </c>
      <c r="Q3632" s="7" t="str">
        <f t="shared" si="347"/>
        <v>C82</v>
      </c>
      <c r="R3632" s="7" t="str">
        <f t="shared" si="348"/>
        <v>C78</v>
      </c>
      <c r="S3632" s="18">
        <f t="shared" si="349"/>
        <v>3.1062177884001656</v>
      </c>
      <c r="T3632" s="18">
        <f>S3632/Explications!$C$8</f>
        <v>0.10354059294667219</v>
      </c>
    </row>
    <row r="3633" spans="7:20">
      <c r="G3633" s="7" t="s">
        <v>94</v>
      </c>
      <c r="H3633" s="7" t="s">
        <v>99</v>
      </c>
      <c r="I3633" s="7">
        <v>46.788499999999999</v>
      </c>
      <c r="J3633" s="7">
        <v>-71.282399999999996</v>
      </c>
      <c r="K3633" s="7">
        <v>46.8157</v>
      </c>
      <c r="L3633" s="7">
        <v>-71.201899999999995</v>
      </c>
      <c r="M3633" s="10" t="str">
        <f t="shared" si="344"/>
        <v>C78</v>
      </c>
      <c r="N3633" s="10" t="str">
        <f t="shared" si="345"/>
        <v>C83</v>
      </c>
      <c r="O3633" s="5">
        <f t="shared" si="346"/>
        <v>6.833087303790883</v>
      </c>
      <c r="P3633" s="22">
        <f>O3633/Explications!$C$8</f>
        <v>0.22776957679302942</v>
      </c>
      <c r="Q3633" s="7" t="str">
        <f t="shared" si="347"/>
        <v>C83</v>
      </c>
      <c r="R3633" s="7" t="str">
        <f t="shared" si="348"/>
        <v>C78</v>
      </c>
      <c r="S3633" s="18">
        <f t="shared" si="349"/>
        <v>6.833087303790883</v>
      </c>
      <c r="T3633" s="18">
        <f>S3633/Explications!$C$8</f>
        <v>0.22776957679302942</v>
      </c>
    </row>
    <row r="3634" spans="7:20">
      <c r="G3634" s="7" t="s">
        <v>94</v>
      </c>
      <c r="H3634" s="7" t="s">
        <v>100</v>
      </c>
      <c r="I3634" s="7">
        <v>46.788499999999999</v>
      </c>
      <c r="J3634" s="7">
        <v>-71.282399999999996</v>
      </c>
      <c r="K3634" s="7">
        <v>46.837600000000002</v>
      </c>
      <c r="L3634" s="7">
        <v>-71.196299999999994</v>
      </c>
      <c r="M3634" s="10" t="str">
        <f t="shared" si="344"/>
        <v>C78</v>
      </c>
      <c r="N3634" s="10" t="str">
        <f t="shared" si="345"/>
        <v>C84</v>
      </c>
      <c r="O3634" s="5">
        <f t="shared" si="346"/>
        <v>8.5287225960347577</v>
      </c>
      <c r="P3634" s="22">
        <f>O3634/Explications!$C$8</f>
        <v>0.2842907532011586</v>
      </c>
      <c r="Q3634" s="7" t="str">
        <f t="shared" si="347"/>
        <v>C84</v>
      </c>
      <c r="R3634" s="7" t="str">
        <f t="shared" si="348"/>
        <v>C78</v>
      </c>
      <c r="S3634" s="18">
        <f t="shared" si="349"/>
        <v>8.5287225960347577</v>
      </c>
      <c r="T3634" s="18">
        <f>S3634/Explications!$C$8</f>
        <v>0.2842907532011586</v>
      </c>
    </row>
    <row r="3635" spans="7:20">
      <c r="G3635" s="7" t="s">
        <v>94</v>
      </c>
      <c r="H3635" s="7" t="s">
        <v>101</v>
      </c>
      <c r="I3635" s="7">
        <v>46.788499999999999</v>
      </c>
      <c r="J3635" s="7">
        <v>-71.282399999999996</v>
      </c>
      <c r="K3635" s="7">
        <v>46.7988</v>
      </c>
      <c r="L3635" s="7">
        <v>-71.318200000000004</v>
      </c>
      <c r="M3635" s="10" t="str">
        <f t="shared" si="344"/>
        <v>C78</v>
      </c>
      <c r="N3635" s="10" t="str">
        <f t="shared" si="345"/>
        <v>C85</v>
      </c>
      <c r="O3635" s="5">
        <f t="shared" si="346"/>
        <v>2.9562260788620653</v>
      </c>
      <c r="P3635" s="22">
        <f>O3635/Explications!$C$8</f>
        <v>9.8540869295402178E-2</v>
      </c>
      <c r="Q3635" s="7" t="str">
        <f t="shared" si="347"/>
        <v>C85</v>
      </c>
      <c r="R3635" s="7" t="str">
        <f t="shared" si="348"/>
        <v>C78</v>
      </c>
      <c r="S3635" s="18">
        <f t="shared" si="349"/>
        <v>2.9562260788620653</v>
      </c>
      <c r="T3635" s="18">
        <f>S3635/Explications!$C$8</f>
        <v>9.8540869295402178E-2</v>
      </c>
    </row>
    <row r="3636" spans="7:20">
      <c r="G3636" s="7" t="s">
        <v>95</v>
      </c>
      <c r="H3636" s="7" t="s">
        <v>96</v>
      </c>
      <c r="I3636" s="7">
        <v>46.840699999999998</v>
      </c>
      <c r="J3636" s="7">
        <v>-71.325400000000002</v>
      </c>
      <c r="K3636" s="7">
        <v>46.798400000000001</v>
      </c>
      <c r="L3636" s="7">
        <v>-71.183199999999999</v>
      </c>
      <c r="M3636" s="10" t="str">
        <f t="shared" si="344"/>
        <v>C79</v>
      </c>
      <c r="N3636" s="10" t="str">
        <f t="shared" si="345"/>
        <v>C80</v>
      </c>
      <c r="O3636" s="5">
        <f t="shared" si="346"/>
        <v>11.798185810019609</v>
      </c>
      <c r="P3636" s="22">
        <f>O3636/Explications!$C$8</f>
        <v>0.39327286033398695</v>
      </c>
      <c r="Q3636" s="7" t="str">
        <f t="shared" si="347"/>
        <v>C80</v>
      </c>
      <c r="R3636" s="7" t="str">
        <f t="shared" si="348"/>
        <v>C79</v>
      </c>
      <c r="S3636" s="18">
        <f t="shared" si="349"/>
        <v>11.798185810019609</v>
      </c>
      <c r="T3636" s="18">
        <f>S3636/Explications!$C$8</f>
        <v>0.39327286033398695</v>
      </c>
    </row>
    <row r="3637" spans="7:20">
      <c r="G3637" s="7" t="s">
        <v>95</v>
      </c>
      <c r="H3637" s="7" t="s">
        <v>97</v>
      </c>
      <c r="I3637" s="7">
        <v>46.840699999999998</v>
      </c>
      <c r="J3637" s="7">
        <v>-71.325400000000002</v>
      </c>
      <c r="K3637" s="7">
        <v>46.724800000000002</v>
      </c>
      <c r="L3637" s="7">
        <v>-71.2988</v>
      </c>
      <c r="M3637" s="10" t="str">
        <f t="shared" si="344"/>
        <v>C79</v>
      </c>
      <c r="N3637" s="10" t="str">
        <f t="shared" si="345"/>
        <v>C81</v>
      </c>
      <c r="O3637" s="5">
        <f t="shared" si="346"/>
        <v>13.045675818801522</v>
      </c>
      <c r="P3637" s="22">
        <f>O3637/Explications!$C$8</f>
        <v>0.43485586062671738</v>
      </c>
      <c r="Q3637" s="7" t="str">
        <f t="shared" si="347"/>
        <v>C81</v>
      </c>
      <c r="R3637" s="7" t="str">
        <f t="shared" si="348"/>
        <v>C79</v>
      </c>
      <c r="S3637" s="18">
        <f t="shared" si="349"/>
        <v>13.045675818801522</v>
      </c>
      <c r="T3637" s="18">
        <f>S3637/Explications!$C$8</f>
        <v>0.43485586062671738</v>
      </c>
    </row>
    <row r="3638" spans="7:20">
      <c r="G3638" s="7" t="s">
        <v>95</v>
      </c>
      <c r="H3638" s="7" t="s">
        <v>98</v>
      </c>
      <c r="I3638" s="7">
        <v>46.840699999999998</v>
      </c>
      <c r="J3638" s="7">
        <v>-71.325400000000002</v>
      </c>
      <c r="K3638" s="7">
        <v>46.795499999999997</v>
      </c>
      <c r="L3638" s="7">
        <v>-71.242900000000006</v>
      </c>
      <c r="M3638" s="10" t="str">
        <f t="shared" si="344"/>
        <v>C79</v>
      </c>
      <c r="N3638" s="10" t="str">
        <f t="shared" si="345"/>
        <v>C82</v>
      </c>
      <c r="O3638" s="5">
        <f t="shared" si="346"/>
        <v>8.04173375658306</v>
      </c>
      <c r="P3638" s="22">
        <f>O3638/Explications!$C$8</f>
        <v>0.26805779188610201</v>
      </c>
      <c r="Q3638" s="7" t="str">
        <f t="shared" si="347"/>
        <v>C82</v>
      </c>
      <c r="R3638" s="7" t="str">
        <f t="shared" si="348"/>
        <v>C79</v>
      </c>
      <c r="S3638" s="18">
        <f t="shared" si="349"/>
        <v>8.04173375658306</v>
      </c>
      <c r="T3638" s="18">
        <f>S3638/Explications!$C$8</f>
        <v>0.26805779188610201</v>
      </c>
    </row>
    <row r="3639" spans="7:20">
      <c r="G3639" s="7" t="s">
        <v>95</v>
      </c>
      <c r="H3639" s="7" t="s">
        <v>99</v>
      </c>
      <c r="I3639" s="7">
        <v>46.840699999999998</v>
      </c>
      <c r="J3639" s="7">
        <v>-71.325400000000002</v>
      </c>
      <c r="K3639" s="7">
        <v>46.8157</v>
      </c>
      <c r="L3639" s="7">
        <v>-71.201899999999995</v>
      </c>
      <c r="M3639" s="10" t="str">
        <f t="shared" si="344"/>
        <v>C79</v>
      </c>
      <c r="N3639" s="10" t="str">
        <f t="shared" si="345"/>
        <v>C83</v>
      </c>
      <c r="O3639" s="5">
        <f t="shared" si="346"/>
        <v>9.7982751176397791</v>
      </c>
      <c r="P3639" s="22">
        <f>O3639/Explications!$C$8</f>
        <v>0.32660917058799266</v>
      </c>
      <c r="Q3639" s="7" t="str">
        <f t="shared" si="347"/>
        <v>C83</v>
      </c>
      <c r="R3639" s="7" t="str">
        <f t="shared" si="348"/>
        <v>C79</v>
      </c>
      <c r="S3639" s="18">
        <f t="shared" si="349"/>
        <v>9.7982751176397791</v>
      </c>
      <c r="T3639" s="18">
        <f>S3639/Explications!$C$8</f>
        <v>0.32660917058799266</v>
      </c>
    </row>
    <row r="3640" spans="7:20">
      <c r="G3640" s="7" t="s">
        <v>95</v>
      </c>
      <c r="H3640" s="7" t="s">
        <v>100</v>
      </c>
      <c r="I3640" s="7">
        <v>46.840699999999998</v>
      </c>
      <c r="J3640" s="7">
        <v>-71.325400000000002</v>
      </c>
      <c r="K3640" s="7">
        <v>46.837600000000002</v>
      </c>
      <c r="L3640" s="7">
        <v>-71.196299999999994</v>
      </c>
      <c r="M3640" s="10" t="str">
        <f t="shared" si="344"/>
        <v>C79</v>
      </c>
      <c r="N3640" s="10" t="str">
        <f t="shared" si="345"/>
        <v>C84</v>
      </c>
      <c r="O3640" s="5">
        <f t="shared" si="346"/>
        <v>9.8257496184752338</v>
      </c>
      <c r="P3640" s="22">
        <f>O3640/Explications!$C$8</f>
        <v>0.32752498728250778</v>
      </c>
      <c r="Q3640" s="7" t="str">
        <f t="shared" si="347"/>
        <v>C84</v>
      </c>
      <c r="R3640" s="7" t="str">
        <f t="shared" si="348"/>
        <v>C79</v>
      </c>
      <c r="S3640" s="18">
        <f t="shared" si="349"/>
        <v>9.8257496184752338</v>
      </c>
      <c r="T3640" s="18">
        <f>S3640/Explications!$C$8</f>
        <v>0.32752498728250778</v>
      </c>
    </row>
    <row r="3641" spans="7:20">
      <c r="G3641" s="7" t="s">
        <v>95</v>
      </c>
      <c r="H3641" s="7" t="s">
        <v>101</v>
      </c>
      <c r="I3641" s="7">
        <v>46.840699999999998</v>
      </c>
      <c r="J3641" s="7">
        <v>-71.325400000000002</v>
      </c>
      <c r="K3641" s="7">
        <v>46.7988</v>
      </c>
      <c r="L3641" s="7">
        <v>-71.318200000000004</v>
      </c>
      <c r="M3641" s="10" t="str">
        <f t="shared" si="344"/>
        <v>C79</v>
      </c>
      <c r="N3641" s="10" t="str">
        <f t="shared" si="345"/>
        <v>C85</v>
      </c>
      <c r="O3641" s="5">
        <f t="shared" si="346"/>
        <v>4.6911670615942018</v>
      </c>
      <c r="P3641" s="22">
        <f>O3641/Explications!$C$8</f>
        <v>0.15637223538647341</v>
      </c>
      <c r="Q3641" s="7" t="str">
        <f t="shared" si="347"/>
        <v>C85</v>
      </c>
      <c r="R3641" s="7" t="str">
        <f t="shared" si="348"/>
        <v>C79</v>
      </c>
      <c r="S3641" s="18">
        <f t="shared" si="349"/>
        <v>4.6911670615942018</v>
      </c>
      <c r="T3641" s="18">
        <f>S3641/Explications!$C$8</f>
        <v>0.15637223538647341</v>
      </c>
    </row>
    <row r="3642" spans="7:20">
      <c r="G3642" s="7" t="s">
        <v>96</v>
      </c>
      <c r="H3642" s="7" t="s">
        <v>97</v>
      </c>
      <c r="I3642" s="7">
        <v>46.798400000000001</v>
      </c>
      <c r="J3642" s="7">
        <v>-71.183199999999999</v>
      </c>
      <c r="K3642" s="7">
        <v>46.724800000000002</v>
      </c>
      <c r="L3642" s="7">
        <v>-71.2988</v>
      </c>
      <c r="M3642" s="10" t="str">
        <f t="shared" si="344"/>
        <v>C80</v>
      </c>
      <c r="N3642" s="10" t="str">
        <f t="shared" si="345"/>
        <v>C81</v>
      </c>
      <c r="O3642" s="5">
        <f t="shared" si="346"/>
        <v>12.021415035262949</v>
      </c>
      <c r="P3642" s="22">
        <f>O3642/Explications!$C$8</f>
        <v>0.40071383450876497</v>
      </c>
      <c r="Q3642" s="7" t="str">
        <f t="shared" si="347"/>
        <v>C81</v>
      </c>
      <c r="R3642" s="7" t="str">
        <f t="shared" si="348"/>
        <v>C80</v>
      </c>
      <c r="S3642" s="18">
        <f t="shared" si="349"/>
        <v>12.021415035262949</v>
      </c>
      <c r="T3642" s="18">
        <f>S3642/Explications!$C$8</f>
        <v>0.40071383450876497</v>
      </c>
    </row>
    <row r="3643" spans="7:20">
      <c r="G3643" s="7" t="s">
        <v>96</v>
      </c>
      <c r="H3643" s="7" t="s">
        <v>98</v>
      </c>
      <c r="I3643" s="7">
        <v>46.798400000000001</v>
      </c>
      <c r="J3643" s="7">
        <v>-71.183199999999999</v>
      </c>
      <c r="K3643" s="7">
        <v>46.795499999999997</v>
      </c>
      <c r="L3643" s="7">
        <v>-71.242900000000006</v>
      </c>
      <c r="M3643" s="10" t="str">
        <f t="shared" si="344"/>
        <v>C80</v>
      </c>
      <c r="N3643" s="10" t="str">
        <f t="shared" si="345"/>
        <v>C82</v>
      </c>
      <c r="O3643" s="5">
        <f t="shared" si="346"/>
        <v>4.5559381790291171</v>
      </c>
      <c r="P3643" s="22">
        <f>O3643/Explications!$C$8</f>
        <v>0.15186460596763723</v>
      </c>
      <c r="Q3643" s="7" t="str">
        <f t="shared" si="347"/>
        <v>C82</v>
      </c>
      <c r="R3643" s="7" t="str">
        <f t="shared" si="348"/>
        <v>C80</v>
      </c>
      <c r="S3643" s="18">
        <f t="shared" si="349"/>
        <v>4.5559381790291171</v>
      </c>
      <c r="T3643" s="18">
        <f>S3643/Explications!$C$8</f>
        <v>0.15186460596763723</v>
      </c>
    </row>
    <row r="3644" spans="7:20">
      <c r="G3644" s="7" t="s">
        <v>96</v>
      </c>
      <c r="H3644" s="7" t="s">
        <v>99</v>
      </c>
      <c r="I3644" s="7">
        <v>46.798400000000001</v>
      </c>
      <c r="J3644" s="7">
        <v>-71.183199999999999</v>
      </c>
      <c r="K3644" s="7">
        <v>46.8157</v>
      </c>
      <c r="L3644" s="7">
        <v>-71.201899999999995</v>
      </c>
      <c r="M3644" s="10" t="str">
        <f t="shared" si="344"/>
        <v>C80</v>
      </c>
      <c r="N3644" s="10" t="str">
        <f t="shared" si="345"/>
        <v>C83</v>
      </c>
      <c r="O3644" s="5">
        <f t="shared" si="346"/>
        <v>2.3929226830045485</v>
      </c>
      <c r="P3644" s="22">
        <f>O3644/Explications!$C$8</f>
        <v>7.9764089433484953E-2</v>
      </c>
      <c r="Q3644" s="7" t="str">
        <f t="shared" si="347"/>
        <v>C83</v>
      </c>
      <c r="R3644" s="7" t="str">
        <f t="shared" si="348"/>
        <v>C80</v>
      </c>
      <c r="S3644" s="18">
        <f t="shared" si="349"/>
        <v>2.3929226830045485</v>
      </c>
      <c r="T3644" s="18">
        <f>S3644/Explications!$C$8</f>
        <v>7.9764089433484953E-2</v>
      </c>
    </row>
    <row r="3645" spans="7:20">
      <c r="G3645" s="7" t="s">
        <v>96</v>
      </c>
      <c r="H3645" s="7" t="s">
        <v>100</v>
      </c>
      <c r="I3645" s="7">
        <v>46.798400000000001</v>
      </c>
      <c r="J3645" s="7">
        <v>-71.183199999999999</v>
      </c>
      <c r="K3645" s="7">
        <v>46.837600000000002</v>
      </c>
      <c r="L3645" s="7">
        <v>-71.196299999999994</v>
      </c>
      <c r="M3645" s="10" t="str">
        <f t="shared" si="344"/>
        <v>C80</v>
      </c>
      <c r="N3645" s="10" t="str">
        <f t="shared" si="345"/>
        <v>C84</v>
      </c>
      <c r="O3645" s="5">
        <f t="shared" si="346"/>
        <v>4.4713683101305772</v>
      </c>
      <c r="P3645" s="22">
        <f>O3645/Explications!$C$8</f>
        <v>0.1490456103376859</v>
      </c>
      <c r="Q3645" s="7" t="str">
        <f t="shared" si="347"/>
        <v>C84</v>
      </c>
      <c r="R3645" s="7" t="str">
        <f t="shared" si="348"/>
        <v>C80</v>
      </c>
      <c r="S3645" s="18">
        <f t="shared" si="349"/>
        <v>4.4713683101305772</v>
      </c>
      <c r="T3645" s="18">
        <f>S3645/Explications!$C$8</f>
        <v>0.1490456103376859</v>
      </c>
    </row>
    <row r="3646" spans="7:20">
      <c r="G3646" s="7" t="s">
        <v>96</v>
      </c>
      <c r="H3646" s="7" t="s">
        <v>101</v>
      </c>
      <c r="I3646" s="7">
        <v>46.798400000000001</v>
      </c>
      <c r="J3646" s="7">
        <v>-71.183199999999999</v>
      </c>
      <c r="K3646" s="7">
        <v>46.7988</v>
      </c>
      <c r="L3646" s="7">
        <v>-71.318200000000004</v>
      </c>
      <c r="M3646" s="10" t="str">
        <f t="shared" si="344"/>
        <v>C80</v>
      </c>
      <c r="N3646" s="10" t="str">
        <f t="shared" si="345"/>
        <v>C85</v>
      </c>
      <c r="O3646" s="5">
        <f t="shared" si="346"/>
        <v>10.276314677028722</v>
      </c>
      <c r="P3646" s="22">
        <f>O3646/Explications!$C$8</f>
        <v>0.34254382256762406</v>
      </c>
      <c r="Q3646" s="7" t="str">
        <f t="shared" si="347"/>
        <v>C85</v>
      </c>
      <c r="R3646" s="7" t="str">
        <f t="shared" si="348"/>
        <v>C80</v>
      </c>
      <c r="S3646" s="18">
        <f t="shared" si="349"/>
        <v>10.276314677028722</v>
      </c>
      <c r="T3646" s="18">
        <f>S3646/Explications!$C$8</f>
        <v>0.34254382256762406</v>
      </c>
    </row>
    <row r="3647" spans="7:20">
      <c r="G3647" s="7" t="s">
        <v>97</v>
      </c>
      <c r="H3647" s="7" t="s">
        <v>98</v>
      </c>
      <c r="I3647" s="7">
        <v>46.724800000000002</v>
      </c>
      <c r="J3647" s="7">
        <v>-71.2988</v>
      </c>
      <c r="K3647" s="7">
        <v>46.795499999999997</v>
      </c>
      <c r="L3647" s="7">
        <v>-71.242900000000006</v>
      </c>
      <c r="M3647" s="10" t="str">
        <f t="shared" si="344"/>
        <v>C81</v>
      </c>
      <c r="N3647" s="10" t="str">
        <f t="shared" si="345"/>
        <v>C82</v>
      </c>
      <c r="O3647" s="5">
        <f t="shared" si="346"/>
        <v>8.9406246391544553</v>
      </c>
      <c r="P3647" s="22">
        <f>O3647/Explications!$C$8</f>
        <v>0.29802082130514851</v>
      </c>
      <c r="Q3647" s="7" t="str">
        <f t="shared" si="347"/>
        <v>C82</v>
      </c>
      <c r="R3647" s="7" t="str">
        <f t="shared" si="348"/>
        <v>C81</v>
      </c>
      <c r="S3647" s="18">
        <f t="shared" si="349"/>
        <v>8.9406246391544553</v>
      </c>
      <c r="T3647" s="18">
        <f>S3647/Explications!$C$8</f>
        <v>0.29802082130514851</v>
      </c>
    </row>
    <row r="3648" spans="7:20">
      <c r="G3648" s="7" t="s">
        <v>97</v>
      </c>
      <c r="H3648" s="7" t="s">
        <v>99</v>
      </c>
      <c r="I3648" s="7">
        <v>46.724800000000002</v>
      </c>
      <c r="J3648" s="7">
        <v>-71.2988</v>
      </c>
      <c r="K3648" s="7">
        <v>46.8157</v>
      </c>
      <c r="L3648" s="7">
        <v>-71.201899999999995</v>
      </c>
      <c r="M3648" s="10" t="str">
        <f t="shared" si="344"/>
        <v>C81</v>
      </c>
      <c r="N3648" s="10" t="str">
        <f t="shared" si="345"/>
        <v>C83</v>
      </c>
      <c r="O3648" s="5">
        <f t="shared" si="346"/>
        <v>12.515080178306306</v>
      </c>
      <c r="P3648" s="22">
        <f>O3648/Explications!$C$8</f>
        <v>0.41716933927687688</v>
      </c>
      <c r="Q3648" s="7" t="str">
        <f t="shared" si="347"/>
        <v>C83</v>
      </c>
      <c r="R3648" s="7" t="str">
        <f t="shared" si="348"/>
        <v>C81</v>
      </c>
      <c r="S3648" s="18">
        <f t="shared" si="349"/>
        <v>12.515080178306306</v>
      </c>
      <c r="T3648" s="18">
        <f>S3648/Explications!$C$8</f>
        <v>0.41716933927687688</v>
      </c>
    </row>
    <row r="3649" spans="7:20">
      <c r="G3649" s="7" t="s">
        <v>97</v>
      </c>
      <c r="H3649" s="7" t="s">
        <v>100</v>
      </c>
      <c r="I3649" s="7">
        <v>46.724800000000002</v>
      </c>
      <c r="J3649" s="7">
        <v>-71.2988</v>
      </c>
      <c r="K3649" s="7">
        <v>46.837600000000002</v>
      </c>
      <c r="L3649" s="7">
        <v>-71.196299999999994</v>
      </c>
      <c r="M3649" s="10" t="str">
        <f t="shared" si="344"/>
        <v>C81</v>
      </c>
      <c r="N3649" s="10" t="str">
        <f t="shared" si="345"/>
        <v>C84</v>
      </c>
      <c r="O3649" s="5">
        <f t="shared" si="346"/>
        <v>14.772844007517172</v>
      </c>
      <c r="P3649" s="22">
        <f>O3649/Explications!$C$8</f>
        <v>0.49242813358390575</v>
      </c>
      <c r="Q3649" s="7" t="str">
        <f t="shared" si="347"/>
        <v>C84</v>
      </c>
      <c r="R3649" s="7" t="str">
        <f t="shared" si="348"/>
        <v>C81</v>
      </c>
      <c r="S3649" s="18">
        <f t="shared" si="349"/>
        <v>14.772844007517172</v>
      </c>
      <c r="T3649" s="18">
        <f>S3649/Explications!$C$8</f>
        <v>0.49242813358390575</v>
      </c>
    </row>
    <row r="3650" spans="7:20">
      <c r="G3650" s="7" t="s">
        <v>97</v>
      </c>
      <c r="H3650" s="7" t="s">
        <v>101</v>
      </c>
      <c r="I3650" s="7">
        <v>46.724800000000002</v>
      </c>
      <c r="J3650" s="7">
        <v>-71.2988</v>
      </c>
      <c r="K3650" s="7">
        <v>46.7988</v>
      </c>
      <c r="L3650" s="7">
        <v>-71.318200000000004</v>
      </c>
      <c r="M3650" s="10" t="str">
        <f t="shared" si="344"/>
        <v>C81</v>
      </c>
      <c r="N3650" s="10" t="str">
        <f t="shared" si="345"/>
        <v>C85</v>
      </c>
      <c r="O3650" s="5">
        <f t="shared" si="346"/>
        <v>8.3600649859872238</v>
      </c>
      <c r="P3650" s="22">
        <f>O3650/Explications!$C$8</f>
        <v>0.27866883286624078</v>
      </c>
      <c r="Q3650" s="7" t="str">
        <f t="shared" si="347"/>
        <v>C85</v>
      </c>
      <c r="R3650" s="7" t="str">
        <f t="shared" si="348"/>
        <v>C81</v>
      </c>
      <c r="S3650" s="18">
        <f t="shared" si="349"/>
        <v>8.3600649859872238</v>
      </c>
      <c r="T3650" s="18">
        <f>S3650/Explications!$C$8</f>
        <v>0.27866883286624078</v>
      </c>
    </row>
    <row r="3651" spans="7:20">
      <c r="G3651" s="7" t="s">
        <v>98</v>
      </c>
      <c r="H3651" s="7" t="s">
        <v>99</v>
      </c>
      <c r="I3651" s="7">
        <v>46.795499999999997</v>
      </c>
      <c r="J3651" s="7">
        <v>-71.242900000000006</v>
      </c>
      <c r="K3651" s="7">
        <v>46.8157</v>
      </c>
      <c r="L3651" s="7">
        <v>-71.201899999999995</v>
      </c>
      <c r="M3651" s="10" t="str">
        <f t="shared" ref="M3651:M3656" si="350">G3651</f>
        <v>C82</v>
      </c>
      <c r="N3651" s="10" t="str">
        <f t="shared" ref="N3651:N3656" si="351">H3651</f>
        <v>C83</v>
      </c>
      <c r="O3651" s="5">
        <f t="shared" ref="O3651:O3656" si="352">ACOS(SIN(RADIANS(I3651))*SIN(RADIANS(K3651))+COS(RADIANS(I3651))*COS(RADIANS(K3651))*COS(RADIANS(J3651-L3651)))*6371</f>
        <v>3.844837809672863</v>
      </c>
      <c r="P3651" s="22">
        <f>O3651/Explications!$C$8</f>
        <v>0.12816126032242878</v>
      </c>
      <c r="Q3651" s="7" t="str">
        <f t="shared" si="347"/>
        <v>C83</v>
      </c>
      <c r="R3651" s="7" t="str">
        <f t="shared" si="348"/>
        <v>C82</v>
      </c>
      <c r="S3651" s="18">
        <f t="shared" si="349"/>
        <v>3.844837809672863</v>
      </c>
      <c r="T3651" s="18">
        <f>S3651/Explications!$C$8</f>
        <v>0.12816126032242878</v>
      </c>
    </row>
    <row r="3652" spans="7:20">
      <c r="G3652" s="7" t="s">
        <v>98</v>
      </c>
      <c r="H3652" s="7" t="s">
        <v>100</v>
      </c>
      <c r="I3652" s="7">
        <v>46.795499999999997</v>
      </c>
      <c r="J3652" s="7">
        <v>-71.242900000000006</v>
      </c>
      <c r="K3652" s="7">
        <v>46.837600000000002</v>
      </c>
      <c r="L3652" s="7">
        <v>-71.196299999999994</v>
      </c>
      <c r="M3652" s="10" t="str">
        <f t="shared" si="350"/>
        <v>C82</v>
      </c>
      <c r="N3652" s="10" t="str">
        <f t="shared" si="351"/>
        <v>C84</v>
      </c>
      <c r="O3652" s="5">
        <f t="shared" si="352"/>
        <v>5.8727209359673385</v>
      </c>
      <c r="P3652" s="22">
        <f>O3652/Explications!$C$8</f>
        <v>0.19575736453224463</v>
      </c>
      <c r="Q3652" s="7" t="str">
        <f t="shared" ref="Q3652:Q3656" si="353">N3652</f>
        <v>C84</v>
      </c>
      <c r="R3652" s="7" t="str">
        <f t="shared" ref="R3652:R3656" si="354">M3652</f>
        <v>C82</v>
      </c>
      <c r="S3652" s="18">
        <f t="shared" ref="S3652:S3656" si="355">O3652</f>
        <v>5.8727209359673385</v>
      </c>
      <c r="T3652" s="18">
        <f>S3652/Explications!$C$8</f>
        <v>0.19575736453224463</v>
      </c>
    </row>
    <row r="3653" spans="7:20">
      <c r="G3653" s="7" t="s">
        <v>98</v>
      </c>
      <c r="H3653" s="7" t="s">
        <v>101</v>
      </c>
      <c r="I3653" s="7">
        <v>46.795499999999997</v>
      </c>
      <c r="J3653" s="7">
        <v>-71.242900000000006</v>
      </c>
      <c r="K3653" s="7">
        <v>46.7988</v>
      </c>
      <c r="L3653" s="7">
        <v>-71.318200000000004</v>
      </c>
      <c r="M3653" s="10" t="str">
        <f t="shared" si="350"/>
        <v>C82</v>
      </c>
      <c r="N3653" s="10" t="str">
        <f t="shared" si="351"/>
        <v>C85</v>
      </c>
      <c r="O3653" s="5">
        <f t="shared" si="352"/>
        <v>5.7437344399928421</v>
      </c>
      <c r="P3653" s="22">
        <f>O3653/Explications!$C$8</f>
        <v>0.19145781466642806</v>
      </c>
      <c r="Q3653" s="7" t="str">
        <f t="shared" si="353"/>
        <v>C85</v>
      </c>
      <c r="R3653" s="7" t="str">
        <f t="shared" si="354"/>
        <v>C82</v>
      </c>
      <c r="S3653" s="18">
        <f t="shared" si="355"/>
        <v>5.7437344399928421</v>
      </c>
      <c r="T3653" s="18">
        <f>S3653/Explications!$C$8</f>
        <v>0.19145781466642806</v>
      </c>
    </row>
    <row r="3654" spans="7:20">
      <c r="G3654" s="7" t="s">
        <v>99</v>
      </c>
      <c r="H3654" s="7" t="s">
        <v>100</v>
      </c>
      <c r="I3654" s="7">
        <v>46.8157</v>
      </c>
      <c r="J3654" s="7">
        <v>-71.201899999999995</v>
      </c>
      <c r="K3654" s="7">
        <v>46.837600000000002</v>
      </c>
      <c r="L3654" s="7">
        <v>-71.196299999999994</v>
      </c>
      <c r="M3654" s="10" t="str">
        <f t="shared" si="350"/>
        <v>C83</v>
      </c>
      <c r="N3654" s="10" t="str">
        <f t="shared" si="351"/>
        <v>C84</v>
      </c>
      <c r="O3654" s="5">
        <f t="shared" si="352"/>
        <v>2.4721582887928668</v>
      </c>
      <c r="P3654" s="22">
        <f>O3654/Explications!$C$8</f>
        <v>8.2405276293095561E-2</v>
      </c>
      <c r="Q3654" s="7" t="str">
        <f t="shared" si="353"/>
        <v>C84</v>
      </c>
      <c r="R3654" s="7" t="str">
        <f t="shared" si="354"/>
        <v>C83</v>
      </c>
      <c r="S3654" s="18">
        <f t="shared" si="355"/>
        <v>2.4721582887928668</v>
      </c>
      <c r="T3654" s="18">
        <f>S3654/Explications!$C$8</f>
        <v>8.2405276293095561E-2</v>
      </c>
    </row>
    <row r="3655" spans="7:20">
      <c r="G3655" s="7" t="s">
        <v>99</v>
      </c>
      <c r="H3655" s="7" t="s">
        <v>101</v>
      </c>
      <c r="I3655" s="7">
        <v>46.8157</v>
      </c>
      <c r="J3655" s="7">
        <v>-71.201899999999995</v>
      </c>
      <c r="K3655" s="7">
        <v>46.7988</v>
      </c>
      <c r="L3655" s="7">
        <v>-71.318200000000004</v>
      </c>
      <c r="M3655" s="10" t="str">
        <f t="shared" si="350"/>
        <v>C83</v>
      </c>
      <c r="N3655" s="10" t="str">
        <f t="shared" si="351"/>
        <v>C85</v>
      </c>
      <c r="O3655" s="5">
        <f t="shared" si="352"/>
        <v>9.0486322469876885</v>
      </c>
      <c r="P3655" s="22">
        <f>O3655/Explications!$C$8</f>
        <v>0.30162107489958961</v>
      </c>
      <c r="Q3655" s="7" t="str">
        <f t="shared" si="353"/>
        <v>C85</v>
      </c>
      <c r="R3655" s="7" t="str">
        <f t="shared" si="354"/>
        <v>C83</v>
      </c>
      <c r="S3655" s="18">
        <f t="shared" si="355"/>
        <v>9.0486322469876885</v>
      </c>
      <c r="T3655" s="18">
        <f>S3655/Explications!$C$8</f>
        <v>0.30162107489958961</v>
      </c>
    </row>
    <row r="3656" spans="7:20">
      <c r="G3656" s="7" t="s">
        <v>100</v>
      </c>
      <c r="H3656" s="7" t="s">
        <v>101</v>
      </c>
      <c r="I3656" s="7">
        <v>46.837600000000002</v>
      </c>
      <c r="J3656" s="7">
        <v>-71.196299999999994</v>
      </c>
      <c r="K3656" s="7">
        <v>46.7988</v>
      </c>
      <c r="L3656" s="7">
        <v>-71.318200000000004</v>
      </c>
      <c r="M3656" s="23" t="str">
        <f t="shared" si="350"/>
        <v>C84</v>
      </c>
      <c r="N3656" s="23" t="str">
        <f t="shared" si="351"/>
        <v>C85</v>
      </c>
      <c r="O3656" s="24">
        <f t="shared" si="352"/>
        <v>10.229939518433991</v>
      </c>
      <c r="P3656" s="22">
        <f>O3656/Explications!$C$8</f>
        <v>0.34099798394779968</v>
      </c>
      <c r="Q3656" s="7" t="str">
        <f t="shared" si="353"/>
        <v>C85</v>
      </c>
      <c r="R3656" s="7" t="str">
        <f t="shared" si="354"/>
        <v>C84</v>
      </c>
      <c r="S3656" s="18">
        <f t="shared" si="355"/>
        <v>10.229939518433991</v>
      </c>
      <c r="T3656" s="18">
        <f>S3656/Explications!$C$8</f>
        <v>0.34099798394779968</v>
      </c>
    </row>
    <row r="3657" spans="7:20">
      <c r="M3657" s="25"/>
      <c r="N3657" s="25"/>
      <c r="O3657" s="26"/>
      <c r="P3657" s="26"/>
      <c r="Q3657" s="27"/>
      <c r="R3657" s="27"/>
      <c r="S3657" s="28"/>
      <c r="T3657" s="28"/>
    </row>
    <row r="3658" spans="7:20">
      <c r="M3658" s="25"/>
      <c r="N3658" s="25"/>
      <c r="O3658" s="26"/>
      <c r="P3658" s="26"/>
      <c r="Q3658" s="27"/>
      <c r="R3658" s="27"/>
      <c r="S3658" s="28"/>
      <c r="T3658" s="28"/>
    </row>
    <row r="3659" spans="7:20">
      <c r="M3659" s="25"/>
      <c r="N3659" s="25"/>
      <c r="O3659" s="26"/>
      <c r="P3659" s="26"/>
      <c r="Q3659" s="27"/>
      <c r="R3659" s="27"/>
      <c r="S3659" s="28"/>
      <c r="T3659" s="28"/>
    </row>
    <row r="3660" spans="7:20">
      <c r="M3660" s="25"/>
      <c r="N3660" s="25"/>
      <c r="O3660" s="26"/>
      <c r="P3660" s="29"/>
      <c r="Q3660" s="27"/>
      <c r="R3660" s="27"/>
      <c r="S3660" s="27"/>
      <c r="T3660" s="27"/>
    </row>
    <row r="3661" spans="7:20">
      <c r="M3661" s="25"/>
      <c r="N3661" s="25"/>
      <c r="O3661" s="26"/>
      <c r="P3661" s="29"/>
      <c r="Q3661" s="27"/>
      <c r="R3661" s="27"/>
      <c r="S3661" s="27"/>
      <c r="T3661" s="27"/>
    </row>
    <row r="3662" spans="7:20">
      <c r="M3662" s="25"/>
      <c r="N3662" s="25"/>
      <c r="O3662" s="26"/>
      <c r="P3662" s="29"/>
      <c r="Q3662" s="27"/>
      <c r="R3662" s="27"/>
      <c r="S3662" s="27"/>
      <c r="T3662" s="27"/>
    </row>
    <row r="3663" spans="7:20">
      <c r="M3663" s="25"/>
      <c r="N3663" s="25"/>
      <c r="O3663" s="26"/>
      <c r="P3663" s="29"/>
      <c r="Q3663" s="27"/>
      <c r="R3663" s="27"/>
      <c r="S3663" s="27"/>
      <c r="T3663" s="27"/>
    </row>
    <row r="3664" spans="7:20">
      <c r="M3664" s="25"/>
      <c r="N3664" s="25"/>
      <c r="O3664" s="26"/>
      <c r="P3664" s="29"/>
      <c r="Q3664" s="27"/>
      <c r="R3664" s="27"/>
      <c r="S3664" s="27"/>
      <c r="T3664" s="27"/>
    </row>
    <row r="3665" spans="13:20">
      <c r="M3665" s="25"/>
      <c r="N3665" s="25"/>
      <c r="O3665" s="26"/>
      <c r="P3665" s="29"/>
      <c r="Q3665" s="27"/>
      <c r="R3665" s="27"/>
      <c r="S3665" s="27"/>
      <c r="T3665" s="27"/>
    </row>
    <row r="3666" spans="13:20">
      <c r="M3666" s="25"/>
      <c r="N3666" s="25"/>
      <c r="O3666" s="26"/>
      <c r="P3666" s="29"/>
      <c r="Q3666" s="27"/>
      <c r="R3666" s="27"/>
      <c r="S3666" s="27"/>
      <c r="T3666" s="27"/>
    </row>
    <row r="3667" spans="13:20">
      <c r="M3667" s="25"/>
      <c r="N3667" s="25"/>
      <c r="O3667" s="26"/>
      <c r="P3667" s="29"/>
      <c r="Q3667" s="27"/>
      <c r="R3667" s="27"/>
      <c r="S3667" s="27"/>
      <c r="T3667" s="27"/>
    </row>
    <row r="3668" spans="13:20">
      <c r="M3668" s="25"/>
      <c r="N3668" s="25"/>
      <c r="O3668" s="26"/>
      <c r="P3668" s="29"/>
      <c r="Q3668" s="27"/>
      <c r="R3668" s="27"/>
      <c r="S3668" s="27"/>
      <c r="T3668" s="27"/>
    </row>
    <row r="3669" spans="13:20">
      <c r="M3669" s="25"/>
      <c r="N3669" s="25"/>
      <c r="O3669" s="26"/>
      <c r="P3669" s="29"/>
      <c r="Q3669" s="27"/>
      <c r="R3669" s="27"/>
      <c r="S3669" s="27"/>
      <c r="T3669" s="27"/>
    </row>
    <row r="3670" spans="13:20">
      <c r="M3670" s="25"/>
      <c r="N3670" s="25"/>
      <c r="O3670" s="26"/>
      <c r="P3670" s="29"/>
      <c r="Q3670" s="27"/>
      <c r="R3670" s="27"/>
      <c r="S3670" s="27"/>
      <c r="T3670" s="27"/>
    </row>
    <row r="3671" spans="13:20">
      <c r="M3671" s="25"/>
      <c r="N3671" s="25"/>
      <c r="O3671" s="26"/>
      <c r="P3671" s="29"/>
      <c r="Q3671" s="27"/>
      <c r="R3671" s="27"/>
      <c r="S3671" s="27"/>
      <c r="T3671" s="27"/>
    </row>
    <row r="3672" spans="13:20">
      <c r="M3672" s="25"/>
      <c r="N3672" s="25"/>
      <c r="O3672" s="26"/>
      <c r="P3672" s="29"/>
      <c r="Q3672" s="27"/>
      <c r="R3672" s="27"/>
      <c r="S3672" s="27"/>
      <c r="T3672" s="27"/>
    </row>
    <row r="3673" spans="13:20">
      <c r="M3673" s="25"/>
      <c r="N3673" s="25"/>
      <c r="O3673" s="26"/>
      <c r="P3673" s="29"/>
      <c r="Q3673" s="27"/>
      <c r="R3673" s="27"/>
      <c r="S3673" s="27"/>
      <c r="T3673" s="27"/>
    </row>
    <row r="3674" spans="13:20">
      <c r="M3674" s="25"/>
      <c r="N3674" s="25"/>
      <c r="O3674" s="26"/>
      <c r="P3674" s="29"/>
      <c r="Q3674" s="27"/>
      <c r="R3674" s="27"/>
      <c r="S3674" s="27"/>
      <c r="T3674" s="27"/>
    </row>
    <row r="3675" spans="13:20">
      <c r="M3675" s="25"/>
      <c r="N3675" s="25"/>
      <c r="O3675" s="26"/>
      <c r="P3675" s="29"/>
      <c r="Q3675" s="27"/>
      <c r="R3675" s="27"/>
      <c r="S3675" s="27"/>
      <c r="T3675" s="27"/>
    </row>
    <row r="3676" spans="13:20">
      <c r="M3676" s="25"/>
      <c r="N3676" s="25"/>
      <c r="O3676" s="26"/>
      <c r="P3676" s="29"/>
      <c r="Q3676" s="27"/>
      <c r="R3676" s="27"/>
      <c r="S3676" s="27"/>
      <c r="T3676" s="27"/>
    </row>
    <row r="3677" spans="13:20">
      <c r="M3677" s="25"/>
      <c r="N3677" s="25"/>
      <c r="O3677" s="26"/>
      <c r="P3677" s="29"/>
      <c r="Q3677" s="27"/>
      <c r="R3677" s="27"/>
      <c r="S3677" s="27"/>
      <c r="T3677" s="27"/>
    </row>
    <row r="3678" spans="13:20">
      <c r="M3678" s="25"/>
      <c r="N3678" s="25"/>
      <c r="O3678" s="26"/>
      <c r="P3678" s="29"/>
      <c r="Q3678" s="27"/>
      <c r="R3678" s="27"/>
      <c r="S3678" s="27"/>
      <c r="T3678" s="27"/>
    </row>
    <row r="3679" spans="13:20">
      <c r="M3679" s="25"/>
      <c r="N3679" s="25"/>
      <c r="O3679" s="26"/>
      <c r="P3679" s="29"/>
      <c r="Q3679" s="27"/>
      <c r="R3679" s="27"/>
      <c r="S3679" s="27"/>
      <c r="T3679" s="27"/>
    </row>
    <row r="3680" spans="13:20">
      <c r="M3680" s="25"/>
      <c r="N3680" s="25"/>
      <c r="O3680" s="26"/>
      <c r="P3680" s="29"/>
      <c r="Q3680" s="27"/>
      <c r="R3680" s="27"/>
      <c r="S3680" s="27"/>
      <c r="T3680" s="27"/>
    </row>
    <row r="3681" spans="13:20">
      <c r="M3681" s="25"/>
      <c r="N3681" s="25"/>
      <c r="O3681" s="26"/>
      <c r="P3681" s="29"/>
      <c r="Q3681" s="27"/>
      <c r="R3681" s="27"/>
      <c r="S3681" s="27"/>
      <c r="T3681" s="27"/>
    </row>
    <row r="3682" spans="13:20">
      <c r="M3682" s="25"/>
      <c r="N3682" s="25"/>
      <c r="O3682" s="26"/>
      <c r="P3682" s="29"/>
      <c r="Q3682" s="27"/>
      <c r="R3682" s="27"/>
      <c r="S3682" s="27"/>
      <c r="T3682" s="27"/>
    </row>
    <row r="3683" spans="13:20">
      <c r="M3683" s="27"/>
      <c r="N3683" s="27"/>
      <c r="O3683" s="29"/>
      <c r="P3683" s="29"/>
      <c r="Q3683" s="27"/>
      <c r="R3683" s="27"/>
      <c r="S3683" s="27"/>
      <c r="T3683" s="27"/>
    </row>
    <row r="3684" spans="13:20">
      <c r="M3684" s="27"/>
      <c r="N3684" s="27"/>
      <c r="O3684" s="29"/>
      <c r="P3684" s="29"/>
      <c r="Q3684" s="27"/>
      <c r="R3684" s="27"/>
      <c r="S3684" s="27"/>
      <c r="T3684" s="27"/>
    </row>
    <row r="3685" spans="13:20">
      <c r="M3685" s="27"/>
      <c r="N3685" s="27"/>
      <c r="O3685" s="29"/>
      <c r="P3685" s="29"/>
      <c r="Q3685" s="27"/>
      <c r="R3685" s="27"/>
      <c r="S3685" s="27"/>
      <c r="T3685" s="27"/>
    </row>
  </sheetData>
  <phoneticPr fontId="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7B5EF-5B2C-4F94-8B4C-0E30B5BBF63E}">
  <dimension ref="A1:E3"/>
  <sheetViews>
    <sheetView tabSelected="1" workbookViewId="0">
      <selection activeCell="D4" sqref="D4"/>
    </sheetView>
  </sheetViews>
  <sheetFormatPr baseColWidth="10" defaultColWidth="8.85546875" defaultRowHeight="15"/>
  <cols>
    <col min="1" max="1" width="12.28515625" customWidth="1"/>
    <col min="2" max="2" width="13.140625" customWidth="1"/>
    <col min="3" max="3" width="17" customWidth="1"/>
    <col min="4" max="4" width="22.85546875" customWidth="1"/>
    <col min="5" max="5" width="11.42578125" customWidth="1"/>
    <col min="13" max="13" width="18" customWidth="1"/>
  </cols>
  <sheetData>
    <row r="1" spans="1:5">
      <c r="A1" t="s">
        <v>102</v>
      </c>
      <c r="B1" t="s">
        <v>103</v>
      </c>
      <c r="C1" t="s">
        <v>104</v>
      </c>
      <c r="D1" t="s">
        <v>105</v>
      </c>
      <c r="E1" t="s">
        <v>106</v>
      </c>
    </row>
    <row r="2" spans="1:5">
      <c r="A2" t="s">
        <v>107</v>
      </c>
      <c r="B2" s="21">
        <v>1</v>
      </c>
      <c r="C2" s="21">
        <v>4</v>
      </c>
      <c r="D2">
        <f>Explications!O2 + (Explications!L2*Explications!M2/100 + Explications!N2)/Explications!G7</f>
        <v>58.954999999999998</v>
      </c>
      <c r="E2" s="20">
        <v>60</v>
      </c>
    </row>
    <row r="3" spans="1:5">
      <c r="A3" t="s">
        <v>115</v>
      </c>
      <c r="B3" s="21">
        <v>2</v>
      </c>
      <c r="C3" s="21">
        <v>8</v>
      </c>
      <c r="D3">
        <v>43.954999999999998</v>
      </c>
      <c r="E3" s="20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66096-56CD-420B-ACB1-7FB4CEC5B66D}">
  <dimension ref="A1:S18"/>
  <sheetViews>
    <sheetView workbookViewId="0">
      <selection activeCell="E11" sqref="E11"/>
    </sheetView>
  </sheetViews>
  <sheetFormatPr baseColWidth="10" defaultRowHeight="15"/>
  <cols>
    <col min="2" max="2" width="19.42578125" customWidth="1"/>
  </cols>
  <sheetData>
    <row r="1" spans="1:19">
      <c r="A1" t="s">
        <v>117</v>
      </c>
      <c r="K1" t="s">
        <v>108</v>
      </c>
      <c r="L1" t="s">
        <v>109</v>
      </c>
      <c r="M1" t="s">
        <v>110</v>
      </c>
      <c r="N1" t="s">
        <v>111</v>
      </c>
      <c r="O1" t="s">
        <v>112</v>
      </c>
      <c r="Q1" t="s">
        <v>113</v>
      </c>
      <c r="R1" t="s">
        <v>114</v>
      </c>
    </row>
    <row r="2" spans="1:19">
      <c r="L2">
        <v>55</v>
      </c>
      <c r="M2">
        <v>1.66</v>
      </c>
      <c r="N2">
        <v>0.2</v>
      </c>
      <c r="O2">
        <v>20</v>
      </c>
      <c r="Q2">
        <v>220</v>
      </c>
      <c r="R2" s="20">
        <v>28000</v>
      </c>
      <c r="S2" t="s">
        <v>116</v>
      </c>
    </row>
    <row r="3" spans="1:19">
      <c r="L3">
        <v>64</v>
      </c>
      <c r="M3">
        <v>1.66</v>
      </c>
      <c r="N3">
        <v>0.24</v>
      </c>
      <c r="O3">
        <v>20</v>
      </c>
      <c r="Q3">
        <v>220</v>
      </c>
      <c r="R3" s="20">
        <v>42000</v>
      </c>
    </row>
    <row r="6" spans="1:19">
      <c r="A6" t="s">
        <v>118</v>
      </c>
      <c r="B6" t="s">
        <v>119</v>
      </c>
      <c r="E6" t="s">
        <v>120</v>
      </c>
      <c r="F6">
        <v>35</v>
      </c>
      <c r="G6">
        <v>1</v>
      </c>
    </row>
    <row r="7" spans="1:19">
      <c r="E7" t="s">
        <v>121</v>
      </c>
      <c r="F7">
        <v>1</v>
      </c>
      <c r="G7">
        <f>1/35</f>
        <v>2.8571428571428571E-2</v>
      </c>
    </row>
    <row r="8" spans="1:19">
      <c r="B8" t="s">
        <v>122</v>
      </c>
      <c r="C8" s="16">
        <v>30</v>
      </c>
    </row>
    <row r="11" spans="1:19">
      <c r="A11" t="s">
        <v>123</v>
      </c>
    </row>
    <row r="12" spans="1:19">
      <c r="A12" t="s">
        <v>124</v>
      </c>
    </row>
    <row r="14" spans="1:19">
      <c r="A14" s="19" t="s">
        <v>125</v>
      </c>
    </row>
    <row r="15" spans="1:19">
      <c r="A15" s="19" t="s">
        <v>126</v>
      </c>
    </row>
    <row r="16" spans="1:19">
      <c r="A16" s="19" t="s">
        <v>127</v>
      </c>
    </row>
    <row r="18" spans="1:1">
      <c r="A18" s="19" t="s">
        <v>128</v>
      </c>
    </row>
  </sheetData>
  <hyperlinks>
    <hyperlink ref="A14" r:id="rId1" xr:uid="{1FA14208-EADA-4B1A-B091-5116219B18CA}"/>
    <hyperlink ref="A15" r:id="rId2" xr:uid="{A9EF3FBC-1500-4D0A-83F2-D532CA711B4B}"/>
    <hyperlink ref="A16" r:id="rId3" xr:uid="{959AFC59-C7D4-4551-9165-009DC7E01A01}"/>
    <hyperlink ref="A18" r:id="rId4" xr:uid="{688EBCEF-4951-4215-A48E-958FBA60BAB8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C237F7D675FE4780F4A7FDA2724A15" ma:contentTypeVersion="4" ma:contentTypeDescription="Crée un document." ma:contentTypeScope="" ma:versionID="31ee28217e1c13aeeb587d06d16dae71">
  <xsd:schema xmlns:xsd="http://www.w3.org/2001/XMLSchema" xmlns:xs="http://www.w3.org/2001/XMLSchema" xmlns:p="http://schemas.microsoft.com/office/2006/metadata/properties" xmlns:ns2="17446aa9-79b6-4f35-8504-5fbd3834e13b" targetNamespace="http://schemas.microsoft.com/office/2006/metadata/properties" ma:root="true" ma:fieldsID="ba378ac780b9311d375193073f2cfbf0" ns2:_="">
    <xsd:import namespace="17446aa9-79b6-4f35-8504-5fbd3834e13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446aa9-79b6-4f35-8504-5fbd3834e1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76DD38-FF76-49A4-AF18-DD3946E16A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E9232C-5F56-42CF-AA63-A14A1BA48822}">
  <ds:schemaRefs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http://schemas.microsoft.com/office/2006/documentManagement/types"/>
    <ds:schemaRef ds:uri="17446aa9-79b6-4f35-8504-5fbd3834e13b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D5DE95D-1F0D-4A71-BA55-01A4A606E2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446aa9-79b6-4f35-8504-5fbd3834e1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Temps</vt:lpstr>
      <vt:lpstr>Operateurs</vt:lpstr>
      <vt:lpstr>Explications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Salma Naccache</dc:creator>
  <cp:keywords/>
  <dc:description/>
  <cp:lastModifiedBy>Laurent</cp:lastModifiedBy>
  <cp:revision/>
  <dcterms:created xsi:type="dcterms:W3CDTF">2016-09-09T18:31:02Z</dcterms:created>
  <dcterms:modified xsi:type="dcterms:W3CDTF">2022-04-02T19:33:28Z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0x0101008BC237F7D675FE4780F4A7FDA2724A15</vt:lpwstr>
  </property>
</Properties>
</file>